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Paavo\Documents\Mage Excel\Excel\"/>
    </mc:Choice>
  </mc:AlternateContent>
  <xr:revisionPtr revIDLastSave="0" documentId="13_ncr:1_{F049072F-2020-4455-8C2D-C1B9B89E98A1}" xr6:coauthVersionLast="45" xr6:coauthVersionMax="45" xr10:uidLastSave="{00000000-0000-0000-0000-000000000000}"/>
  <bookViews>
    <workbookView xWindow="-120" yWindow="-120" windowWidth="29040" windowHeight="15840" tabRatio="916" xr2:uid="{7E898CA1-7884-4E39-B787-6F8DE73EFE95}"/>
  </bookViews>
  <sheets>
    <sheet name="Description" sheetId="25" r:id="rId1"/>
    <sheet name="Frost Calculation" sheetId="2" r:id="rId2"/>
    <sheet name="Enchants" sheetId="24" r:id="rId3"/>
    <sheet name="Races" sheetId="23" r:id="rId4"/>
    <sheet name="Gear" sheetId="3" r:id="rId5"/>
    <sheet name="Item Database" sheetId="5" r:id="rId6"/>
    <sheet name="Head" sheetId="7" r:id="rId7"/>
    <sheet name="Neck" sheetId="9" r:id="rId8"/>
    <sheet name="Shoulder" sheetId="10" r:id="rId9"/>
    <sheet name="Back" sheetId="22" r:id="rId10"/>
    <sheet name="Chest" sheetId="11" r:id="rId11"/>
    <sheet name="Wrist" sheetId="12" r:id="rId12"/>
    <sheet name="Hands" sheetId="13" r:id="rId13"/>
    <sheet name="Waist" sheetId="14" r:id="rId14"/>
    <sheet name="Legs" sheetId="15" r:id="rId15"/>
    <sheet name="Feet" sheetId="16" r:id="rId16"/>
    <sheet name="Ring" sheetId="17" r:id="rId17"/>
    <sheet name="Trinket" sheetId="18" r:id="rId18"/>
    <sheet name="Weapon" sheetId="19" r:id="rId19"/>
    <sheet name="Wand" sheetId="21" r:id="rId20"/>
    <sheet name="Offhand" sheetId="20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8" i="19" l="1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B8" i="19"/>
  <c r="A8" i="19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B2" i="11"/>
  <c r="A2" i="11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B7" i="19"/>
  <c r="A7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B6" i="19"/>
  <c r="A6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B5" i="19"/>
  <c r="A5" i="19"/>
  <c r="T4" i="19"/>
  <c r="S4" i="19"/>
  <c r="R4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B4" i="19"/>
  <c r="A4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B3" i="19"/>
  <c r="A3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B2" i="19"/>
  <c r="A2" i="19"/>
  <c r="C15" i="2" l="1"/>
  <c r="O7" i="2" l="1"/>
  <c r="C17" i="2" l="1"/>
  <c r="C18" i="2"/>
  <c r="C16" i="2"/>
  <c r="C14" i="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B21" i="22"/>
  <c r="A21" i="22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B10" i="18"/>
  <c r="A10" i="18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B17" i="9"/>
  <c r="A17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B16" i="9"/>
  <c r="A16" i="9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B20" i="22"/>
  <c r="A20" i="22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B20" i="13"/>
  <c r="A20" i="13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B24" i="15"/>
  <c r="A24" i="15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B19" i="22"/>
  <c r="A19" i="22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B9" i="18"/>
  <c r="A9" i="18"/>
  <c r="T33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B33" i="19"/>
  <c r="A33" i="19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B8" i="18"/>
  <c r="A8" i="18"/>
  <c r="T23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B23" i="10"/>
  <c r="A23" i="10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B14" i="21"/>
  <c r="A14" i="21"/>
  <c r="T32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B32" i="19"/>
  <c r="A32" i="19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B23" i="15"/>
  <c r="A23" i="15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B23" i="16"/>
  <c r="A23" i="16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B13" i="21"/>
  <c r="A13" i="21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B18" i="22"/>
  <c r="A18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B17" i="22"/>
  <c r="A17" i="22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B15" i="9"/>
  <c r="A15" i="9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B31" i="11"/>
  <c r="A31" i="11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B14" i="9"/>
  <c r="A14" i="9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B16" i="22"/>
  <c r="A16" i="22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B12" i="21"/>
  <c r="A12" i="21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B19" i="13"/>
  <c r="A19" i="13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B30" i="11"/>
  <c r="A30" i="11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B22" i="15"/>
  <c r="A22" i="15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B22" i="16"/>
  <c r="A22" i="16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B18" i="13"/>
  <c r="A18" i="13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B23" i="14"/>
  <c r="A23" i="14"/>
  <c r="T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B17" i="13"/>
  <c r="A17" i="13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21" i="16"/>
  <c r="A21" i="16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B11" i="21"/>
  <c r="A11" i="2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B29" i="11"/>
  <c r="A29" i="11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B13" i="9"/>
  <c r="A13" i="9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B10" i="20"/>
  <c r="A10" i="20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B16" i="12"/>
  <c r="A16" i="12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B10" i="21"/>
  <c r="A10" i="21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B15" i="12"/>
  <c r="A15" i="12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B9" i="21"/>
  <c r="A9" i="21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B15" i="22"/>
  <c r="A15" i="22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B16" i="13"/>
  <c r="A16" i="13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B28" i="11"/>
  <c r="A28" i="11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B17" i="17"/>
  <c r="A17" i="17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B22" i="10"/>
  <c r="A22" i="10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B27" i="11"/>
  <c r="A27" i="11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20" i="16"/>
  <c r="A20" i="16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B21" i="15"/>
  <c r="A21" i="15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B26" i="11"/>
  <c r="A26" i="11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B19" i="16"/>
  <c r="A19" i="16"/>
  <c r="T31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B31" i="19"/>
  <c r="A31" i="19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B22" i="7"/>
  <c r="A22" i="7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B14" i="12"/>
  <c r="A14" i="12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B12" i="9"/>
  <c r="A12" i="9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B20" i="15"/>
  <c r="A20" i="15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B18" i="16"/>
  <c r="A18" i="16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B19" i="15"/>
  <c r="A19" i="15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B15" i="13"/>
  <c r="A15" i="13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B17" i="16"/>
  <c r="A17" i="16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B9" i="20"/>
  <c r="A9" i="20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B30" i="19"/>
  <c r="A30" i="19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B22" i="14"/>
  <c r="A22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B21" i="14"/>
  <c r="A21" i="14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B13" i="12"/>
  <c r="A13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B12" i="12"/>
  <c r="A12" i="12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B14" i="13"/>
  <c r="A14" i="13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B21" i="10"/>
  <c r="A21" i="10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B18" i="15"/>
  <c r="A18" i="15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B13" i="13"/>
  <c r="A13" i="13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B21" i="7"/>
  <c r="A21" i="7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B20" i="10"/>
  <c r="A20" i="10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B25" i="11"/>
  <c r="A25" i="11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B20" i="14"/>
  <c r="A20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B19" i="14"/>
  <c r="A19" i="14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6" i="17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B17" i="15"/>
  <c r="A17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B16" i="15"/>
  <c r="A16" i="15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B20" i="7"/>
  <c r="A20" i="7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B18" i="14"/>
  <c r="A18" i="14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B19" i="7"/>
  <c r="A19" i="7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B17" i="14"/>
  <c r="A17" i="14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B24" i="11"/>
  <c r="A24" i="11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B16" i="14"/>
  <c r="A16" i="14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B19" i="10"/>
  <c r="A19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B18" i="10"/>
  <c r="A18" i="10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B18" i="7"/>
  <c r="A18" i="7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B23" i="11"/>
  <c r="A23" i="11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B17" i="7"/>
  <c r="A17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B16" i="7"/>
  <c r="A16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B15" i="7"/>
  <c r="A15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B14" i="7"/>
  <c r="A14" i="7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B22" i="11"/>
  <c r="A22" i="11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B12" i="13"/>
  <c r="A12" i="13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B15" i="17"/>
  <c r="A15" i="17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B29" i="19"/>
  <c r="A29" i="19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B21" i="11"/>
  <c r="A21" i="1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B8" i="21"/>
  <c r="A8" i="21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B11" i="9"/>
  <c r="A11" i="9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B14" i="17"/>
  <c r="A14" i="17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B28" i="19"/>
  <c r="A28" i="19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B17" i="10"/>
  <c r="A17" i="10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B10" i="9"/>
  <c r="A10" i="9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B14" i="22"/>
  <c r="A14" i="22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B16" i="10"/>
  <c r="A16" i="10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B13" i="22"/>
  <c r="A13" i="22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B27" i="19"/>
  <c r="A27" i="19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B11" i="13"/>
  <c r="A11" i="13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B7" i="21"/>
  <c r="A7" i="21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B15" i="14"/>
  <c r="A15" i="14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B10" i="13"/>
  <c r="A10" i="13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B8" i="20"/>
  <c r="A8" i="20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B7" i="18"/>
  <c r="A7" i="18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B13" i="7"/>
  <c r="A13" i="7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B16" i="16"/>
  <c r="A16" i="16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B14" i="14"/>
  <c r="A14" i="14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B15" i="10"/>
  <c r="A15" i="10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B13" i="14"/>
  <c r="A13" i="14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B26" i="19"/>
  <c r="A26" i="19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B11" i="12"/>
  <c r="A11" i="12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B12" i="7"/>
  <c r="A12" i="7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B12" i="22"/>
  <c r="A12" i="2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B10" i="12"/>
  <c r="A10" i="12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B9" i="9"/>
  <c r="A9" i="9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B11" i="22"/>
  <c r="A11" i="22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B14" i="10"/>
  <c r="A14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B13" i="10"/>
  <c r="A13" i="10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B8" i="9"/>
  <c r="A8" i="9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B9" i="12"/>
  <c r="A9" i="12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A15" i="16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B12" i="10"/>
  <c r="A12" i="10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B6" i="21"/>
  <c r="A6" i="21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B12" i="14"/>
  <c r="A12" i="14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B11" i="10"/>
  <c r="A11" i="10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B11" i="14"/>
  <c r="A11" i="14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B9" i="13"/>
  <c r="A9" i="13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B10" i="22"/>
  <c r="A10" i="22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B15" i="15"/>
  <c r="A15" i="15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B10" i="14"/>
  <c r="A10" i="14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B25" i="19"/>
  <c r="A25" i="19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B8" i="13"/>
  <c r="A8" i="13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B24" i="19"/>
  <c r="A24" i="19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B5" i="21"/>
  <c r="A5" i="21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B23" i="19"/>
  <c r="A23" i="19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B9" i="22"/>
  <c r="A9" i="22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A14" i="16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B6" i="18"/>
  <c r="A6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B5" i="18"/>
  <c r="A5" i="18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4" i="21"/>
  <c r="A4" i="21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13" i="17"/>
  <c r="A13" i="17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B8" i="22"/>
  <c r="A8" i="22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B9" i="14"/>
  <c r="A9" i="14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B7" i="9"/>
  <c r="A7" i="9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2" i="17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B20" i="11"/>
  <c r="A20" i="11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B11" i="7"/>
  <c r="A11" i="7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A13" i="16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B8" i="12"/>
  <c r="A8" i="12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B7" i="13"/>
  <c r="A7" i="13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B6" i="9"/>
  <c r="A6" i="9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A12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A11" i="16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B10" i="10"/>
  <c r="A10" i="10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B22" i="19"/>
  <c r="A22" i="19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B10" i="7"/>
  <c r="A10" i="7"/>
  <c r="T21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B21" i="19"/>
  <c r="A21" i="19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B7" i="12"/>
  <c r="A7" i="12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B9" i="10"/>
  <c r="A9" i="10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B6" i="12"/>
  <c r="A6" i="12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B8" i="10"/>
  <c r="A8" i="10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A10" i="16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B7" i="22"/>
  <c r="A7" i="22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B11" i="17"/>
  <c r="A11" i="17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B14" i="15"/>
  <c r="A14" i="15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B20" i="19"/>
  <c r="A20" i="19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B3" i="21"/>
  <c r="A3" i="2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B19" i="11"/>
  <c r="A19" i="11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B7" i="10"/>
  <c r="A7" i="10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B10" i="17"/>
  <c r="A10" i="17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B13" i="15"/>
  <c r="A13" i="15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B8" i="14"/>
  <c r="A8" i="14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D2" i="21"/>
  <c r="B2" i="21"/>
  <c r="A2" i="21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B7" i="20"/>
  <c r="A7" i="20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B7" i="14"/>
  <c r="A7" i="14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B5" i="9"/>
  <c r="A5" i="9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B18" i="11"/>
  <c r="A18" i="11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B6" i="13"/>
  <c r="A6" i="13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B9" i="17"/>
  <c r="A9" i="17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B6" i="10"/>
  <c r="A6" i="10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B5" i="13"/>
  <c r="A5" i="13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B4" i="18"/>
  <c r="A4" i="18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B17" i="11"/>
  <c r="A17" i="11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B5" i="12"/>
  <c r="A5" i="12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B6" i="14"/>
  <c r="A6" i="14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A9" i="16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B6" i="22"/>
  <c r="A6" i="22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A8" i="16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B4" i="12"/>
  <c r="A4" i="1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B5" i="22"/>
  <c r="A5" i="22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B5" i="10"/>
  <c r="A5" i="10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B12" i="15"/>
  <c r="A12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B11" i="15"/>
  <c r="A11" i="15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B9" i="7"/>
  <c r="A9" i="7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B6" i="20"/>
  <c r="A6" i="20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B4" i="13"/>
  <c r="A4" i="13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A7" i="16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B3" i="12"/>
  <c r="A3" i="12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B5" i="20"/>
  <c r="A5" i="20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B10" i="15"/>
  <c r="A10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B9" i="15"/>
  <c r="A9" i="15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B16" i="11"/>
  <c r="A16" i="11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B8" i="17"/>
  <c r="A8" i="1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B8" i="7"/>
  <c r="A8" i="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B7" i="17"/>
  <c r="A7" i="17"/>
  <c r="T19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B19" i="19"/>
  <c r="A19" i="19"/>
  <c r="T18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B18" i="19"/>
  <c r="A18" i="1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4" i="9"/>
  <c r="A4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B3" i="9"/>
  <c r="A3" i="9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B8" i="15"/>
  <c r="A8" i="15"/>
  <c r="T17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B17" i="19"/>
  <c r="A17" i="19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4" i="20"/>
  <c r="A4" i="20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B6" i="17"/>
  <c r="A6" i="17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B2" i="12"/>
  <c r="A2" i="12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B7" i="7"/>
  <c r="A7" i="7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A6" i="16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4" i="10"/>
  <c r="A4" i="10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B5" i="14"/>
  <c r="A5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B4" i="14"/>
  <c r="A4" i="14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A5" i="16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B15" i="11"/>
  <c r="A15" i="11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B2" i="9"/>
  <c r="A2" i="9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B6" i="7"/>
  <c r="A6" i="7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B4" i="22"/>
  <c r="A4" i="22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B14" i="11"/>
  <c r="A14" i="11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B3" i="10"/>
  <c r="A3" i="10"/>
  <c r="T3" i="13"/>
  <c r="S3" i="13"/>
  <c r="R3" i="13"/>
  <c r="Q3" i="13"/>
  <c r="P3" i="13"/>
  <c r="O3" i="13"/>
  <c r="N3" i="13"/>
  <c r="M3" i="13"/>
  <c r="L3" i="13"/>
  <c r="K3" i="13"/>
  <c r="J3" i="13"/>
  <c r="I3" i="13"/>
  <c r="H3" i="13"/>
  <c r="G3" i="13"/>
  <c r="F3" i="13"/>
  <c r="E3" i="13"/>
  <c r="D3" i="13"/>
  <c r="B3" i="13"/>
  <c r="A3" i="13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B16" i="19"/>
  <c r="A16" i="19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B3" i="18"/>
  <c r="A3" i="18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A4" i="16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B5" i="17"/>
  <c r="A5" i="17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B13" i="11"/>
  <c r="A13" i="11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B7" i="15"/>
  <c r="A7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B6" i="15"/>
  <c r="A6" i="15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B12" i="11"/>
  <c r="A12" i="1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B4" i="17"/>
  <c r="A4" i="17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B11" i="11"/>
  <c r="A11" i="11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B3" i="16"/>
  <c r="A3" i="16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B5" i="15"/>
  <c r="A5" i="15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E3" i="20"/>
  <c r="D3" i="20"/>
  <c r="B3" i="20"/>
  <c r="A3" i="20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B10" i="11"/>
  <c r="A10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B9" i="11"/>
  <c r="A9" i="11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B3" i="14"/>
  <c r="A3" i="14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B3" i="22"/>
  <c r="A3" i="22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B8" i="11"/>
  <c r="A8" i="11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B5" i="7"/>
  <c r="A5" i="7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B7" i="11"/>
  <c r="A7" i="11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B3" i="17"/>
  <c r="A3" i="17"/>
  <c r="S2" i="20"/>
  <c r="R2" i="20"/>
  <c r="Q2" i="20"/>
  <c r="P2" i="20"/>
  <c r="O2" i="20"/>
  <c r="N2" i="20"/>
  <c r="M2" i="20"/>
  <c r="L2" i="20"/>
  <c r="K2" i="20"/>
  <c r="J2" i="20"/>
  <c r="I2" i="20"/>
  <c r="H2" i="20"/>
  <c r="G2" i="20"/>
  <c r="F2" i="20"/>
  <c r="E2" i="20"/>
  <c r="D2" i="20"/>
  <c r="B2" i="20"/>
  <c r="A2" i="20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D2" i="22"/>
  <c r="B2" i="22"/>
  <c r="A2" i="22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B2" i="10"/>
  <c r="A2" i="10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B2" i="17"/>
  <c r="A2" i="17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B15" i="19"/>
  <c r="A15" i="19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B6" i="11"/>
  <c r="A6" i="11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B2" i="14"/>
  <c r="A2" i="14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B2" i="13"/>
  <c r="A2" i="13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B4" i="15"/>
  <c r="A4" i="15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B4" i="7"/>
  <c r="A4" i="7"/>
  <c r="T14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B14" i="19"/>
  <c r="A14" i="19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B2" i="16"/>
  <c r="A2" i="16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B13" i="19"/>
  <c r="A13" i="19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B5" i="11"/>
  <c r="A5" i="11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B12" i="19"/>
  <c r="A12" i="19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4" i="11"/>
  <c r="A4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B3" i="11"/>
  <c r="A3" i="11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B3" i="7"/>
  <c r="A3" i="7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B11" i="19"/>
  <c r="A11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B10" i="19"/>
  <c r="A10" i="19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B3" i="15"/>
  <c r="A3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B2" i="15"/>
  <c r="A2" i="15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B9" i="19"/>
  <c r="A9" i="19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B2" i="7"/>
  <c r="A2" i="7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B2" i="18"/>
  <c r="A2" i="18"/>
  <c r="B26" i="3" l="1"/>
  <c r="S26" i="3" s="1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11" i="20"/>
  <c r="U12" i="20"/>
  <c r="U13" i="20"/>
  <c r="U14" i="20"/>
  <c r="U15" i="20"/>
  <c r="U16" i="20"/>
  <c r="U1" i="20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91" i="21"/>
  <c r="U192" i="21"/>
  <c r="U193" i="21"/>
  <c r="U194" i="21"/>
  <c r="U195" i="21"/>
  <c r="U196" i="21"/>
  <c r="U197" i="21"/>
  <c r="U198" i="21"/>
  <c r="U199" i="21"/>
  <c r="U200" i="21"/>
  <c r="U201" i="21"/>
  <c r="U202" i="21"/>
  <c r="U203" i="21"/>
  <c r="U204" i="21"/>
  <c r="U205" i="21"/>
  <c r="U206" i="21"/>
  <c r="U207" i="21"/>
  <c r="U208" i="21"/>
  <c r="U209" i="21"/>
  <c r="U210" i="21"/>
  <c r="U211" i="21"/>
  <c r="U212" i="21"/>
  <c r="U213" i="21"/>
  <c r="U214" i="21"/>
  <c r="U215" i="21"/>
  <c r="U216" i="21"/>
  <c r="U217" i="21"/>
  <c r="U218" i="21"/>
  <c r="U219" i="21"/>
  <c r="U220" i="21"/>
  <c r="U221" i="21"/>
  <c r="U222" i="21"/>
  <c r="U223" i="21"/>
  <c r="U224" i="21"/>
  <c r="U225" i="21"/>
  <c r="U226" i="21"/>
  <c r="U227" i="21"/>
  <c r="U228" i="21"/>
  <c r="U229" i="21"/>
  <c r="U230" i="21"/>
  <c r="U231" i="21"/>
  <c r="U232" i="21"/>
  <c r="U233" i="21"/>
  <c r="U234" i="21"/>
  <c r="U235" i="21"/>
  <c r="U236" i="21"/>
  <c r="U237" i="21"/>
  <c r="U238" i="21"/>
  <c r="U239" i="21"/>
  <c r="U240" i="21"/>
  <c r="U241" i="21"/>
  <c r="U242" i="21"/>
  <c r="U243" i="21"/>
  <c r="U244" i="21"/>
  <c r="U245" i="21"/>
  <c r="U246" i="21"/>
  <c r="U247" i="21"/>
  <c r="U248" i="21"/>
  <c r="U249" i="21"/>
  <c r="U250" i="21"/>
  <c r="U251" i="21"/>
  <c r="U252" i="21"/>
  <c r="U253" i="21"/>
  <c r="U254" i="21"/>
  <c r="U255" i="21"/>
  <c r="U256" i="21"/>
  <c r="U257" i="21"/>
  <c r="U258" i="21"/>
  <c r="U259" i="21"/>
  <c r="U260" i="21"/>
  <c r="U261" i="21"/>
  <c r="U262" i="21"/>
  <c r="U263" i="21"/>
  <c r="U264" i="21"/>
  <c r="U265" i="21"/>
  <c r="U266" i="21"/>
  <c r="U267" i="21"/>
  <c r="U268" i="21"/>
  <c r="U269" i="21"/>
  <c r="U270" i="21"/>
  <c r="U271" i="21"/>
  <c r="U272" i="21"/>
  <c r="U273" i="21"/>
  <c r="U274" i="21"/>
  <c r="U275" i="21"/>
  <c r="U276" i="21"/>
  <c r="U277" i="21"/>
  <c r="U278" i="21"/>
  <c r="U279" i="21"/>
  <c r="U280" i="21"/>
  <c r="U281" i="21"/>
  <c r="U282" i="21"/>
  <c r="U283" i="21"/>
  <c r="U284" i="21"/>
  <c r="U285" i="21"/>
  <c r="U286" i="21"/>
  <c r="U287" i="21"/>
  <c r="U288" i="21"/>
  <c r="U289" i="21"/>
  <c r="U290" i="21"/>
  <c r="U291" i="21"/>
  <c r="U292" i="21"/>
  <c r="U293" i="21"/>
  <c r="U294" i="21"/>
  <c r="U295" i="21"/>
  <c r="U296" i="21"/>
  <c r="U297" i="21"/>
  <c r="U298" i="21"/>
  <c r="U299" i="21"/>
  <c r="U300" i="21"/>
  <c r="U301" i="21"/>
  <c r="U302" i="21"/>
  <c r="U303" i="21"/>
  <c r="U304" i="21"/>
  <c r="U305" i="21"/>
  <c r="U306" i="21"/>
  <c r="U307" i="21"/>
  <c r="U308" i="21"/>
  <c r="U309" i="21"/>
  <c r="U310" i="21"/>
  <c r="U311" i="21"/>
  <c r="U312" i="21"/>
  <c r="U313" i="21"/>
  <c r="U314" i="21"/>
  <c r="U315" i="21"/>
  <c r="U316" i="21"/>
  <c r="U317" i="21"/>
  <c r="U318" i="21"/>
  <c r="U319" i="21"/>
  <c r="U320" i="21"/>
  <c r="U321" i="21"/>
  <c r="U322" i="21"/>
  <c r="U323" i="21"/>
  <c r="U324" i="21"/>
  <c r="U325" i="21"/>
  <c r="U326" i="21"/>
  <c r="U327" i="21"/>
  <c r="U328" i="21"/>
  <c r="U329" i="21"/>
  <c r="U330" i="21"/>
  <c r="U331" i="21"/>
  <c r="U332" i="21"/>
  <c r="U333" i="21"/>
  <c r="U334" i="21"/>
  <c r="U335" i="21"/>
  <c r="U336" i="21"/>
  <c r="U337" i="21"/>
  <c r="U338" i="21"/>
  <c r="U339" i="21"/>
  <c r="U340" i="21"/>
  <c r="U341" i="21"/>
  <c r="U342" i="21"/>
  <c r="U343" i="21"/>
  <c r="U344" i="21"/>
  <c r="U345" i="21"/>
  <c r="U346" i="21"/>
  <c r="U347" i="21"/>
  <c r="U348" i="21"/>
  <c r="U349" i="21"/>
  <c r="U350" i="21"/>
  <c r="U351" i="21"/>
  <c r="U352" i="21"/>
  <c r="U353" i="21"/>
  <c r="U354" i="21"/>
  <c r="U355" i="21"/>
  <c r="U356" i="21"/>
  <c r="U357" i="21"/>
  <c r="U358" i="21"/>
  <c r="U359" i="21"/>
  <c r="U360" i="21"/>
  <c r="U361" i="21"/>
  <c r="U362" i="21"/>
  <c r="U363" i="21"/>
  <c r="U364" i="21"/>
  <c r="U365" i="21"/>
  <c r="U366" i="21"/>
  <c r="U367" i="21"/>
  <c r="U368" i="21"/>
  <c r="U369" i="21"/>
  <c r="U370" i="21"/>
  <c r="U371" i="21"/>
  <c r="U372" i="21"/>
  <c r="U373" i="21"/>
  <c r="U374" i="21"/>
  <c r="U375" i="21"/>
  <c r="U376" i="21"/>
  <c r="U377" i="21"/>
  <c r="U378" i="21"/>
  <c r="U379" i="21"/>
  <c r="U380" i="21"/>
  <c r="U381" i="21"/>
  <c r="U382" i="21"/>
  <c r="U383" i="21"/>
  <c r="U384" i="21"/>
  <c r="U385" i="21"/>
  <c r="U386" i="21"/>
  <c r="U387" i="21"/>
  <c r="U388" i="21"/>
  <c r="U389" i="21"/>
  <c r="U390" i="21"/>
  <c r="U391" i="21"/>
  <c r="U392" i="21"/>
  <c r="U393" i="21"/>
  <c r="U394" i="21"/>
  <c r="U395" i="21"/>
  <c r="U396" i="21"/>
  <c r="U397" i="21"/>
  <c r="U398" i="21"/>
  <c r="U399" i="21"/>
  <c r="U400" i="21"/>
  <c r="U401" i="21"/>
  <c r="U402" i="21"/>
  <c r="U403" i="21"/>
  <c r="U404" i="21"/>
  <c r="U405" i="21"/>
  <c r="U406" i="21"/>
  <c r="U407" i="21"/>
  <c r="U408" i="21"/>
  <c r="U409" i="21"/>
  <c r="U410" i="21"/>
  <c r="U411" i="21"/>
  <c r="U412" i="21"/>
  <c r="U413" i="21"/>
  <c r="U414" i="21"/>
  <c r="U415" i="21"/>
  <c r="U416" i="21"/>
  <c r="U417" i="21"/>
  <c r="U418" i="21"/>
  <c r="U419" i="21"/>
  <c r="U420" i="21"/>
  <c r="U421" i="21"/>
  <c r="U422" i="21"/>
  <c r="U423" i="21"/>
  <c r="U424" i="21"/>
  <c r="U425" i="21"/>
  <c r="U426" i="21"/>
  <c r="U427" i="21"/>
  <c r="U428" i="21"/>
  <c r="U429" i="21"/>
  <c r="U430" i="21"/>
  <c r="U431" i="21"/>
  <c r="U432" i="21"/>
  <c r="U433" i="21"/>
  <c r="U434" i="21"/>
  <c r="U435" i="21"/>
  <c r="U436" i="21"/>
  <c r="U437" i="21"/>
  <c r="U438" i="21"/>
  <c r="U439" i="21"/>
  <c r="U440" i="21"/>
  <c r="U441" i="21"/>
  <c r="U442" i="21"/>
  <c r="U443" i="21"/>
  <c r="U444" i="21"/>
  <c r="U445" i="21"/>
  <c r="U446" i="21"/>
  <c r="U447" i="21"/>
  <c r="U448" i="21"/>
  <c r="U449" i="21"/>
  <c r="U450" i="21"/>
  <c r="U451" i="21"/>
  <c r="U452" i="21"/>
  <c r="U453" i="21"/>
  <c r="U454" i="21"/>
  <c r="U455" i="21"/>
  <c r="U456" i="21"/>
  <c r="U457" i="21"/>
  <c r="U458" i="21"/>
  <c r="U459" i="21"/>
  <c r="U460" i="21"/>
  <c r="U461" i="21"/>
  <c r="U462" i="21"/>
  <c r="U463" i="21"/>
  <c r="U464" i="21"/>
  <c r="U465" i="21"/>
  <c r="U466" i="21"/>
  <c r="U467" i="21"/>
  <c r="U468" i="21"/>
  <c r="U469" i="21"/>
  <c r="U470" i="21"/>
  <c r="U471" i="21"/>
  <c r="U472" i="21"/>
  <c r="U473" i="21"/>
  <c r="U474" i="21"/>
  <c r="U475" i="21"/>
  <c r="U476" i="21"/>
  <c r="U477" i="21"/>
  <c r="U478" i="21"/>
  <c r="U479" i="21"/>
  <c r="U480" i="21"/>
  <c r="U15" i="21"/>
  <c r="U16" i="21"/>
  <c r="U17" i="21"/>
  <c r="U18" i="21"/>
  <c r="U19" i="21"/>
  <c r="U1" i="21"/>
  <c r="U56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U84" i="19"/>
  <c r="U85" i="19"/>
  <c r="U86" i="19"/>
  <c r="U87" i="19"/>
  <c r="U88" i="19"/>
  <c r="U89" i="19"/>
  <c r="U90" i="19"/>
  <c r="U91" i="19"/>
  <c r="U92" i="19"/>
  <c r="U93" i="19"/>
  <c r="U94" i="19"/>
  <c r="U95" i="19"/>
  <c r="U96" i="19"/>
  <c r="U97" i="19"/>
  <c r="U98" i="19"/>
  <c r="U99" i="19"/>
  <c r="U100" i="19"/>
  <c r="U101" i="19"/>
  <c r="U102" i="19"/>
  <c r="U103" i="19"/>
  <c r="U104" i="19"/>
  <c r="U105" i="19"/>
  <c r="U106" i="19"/>
  <c r="U107" i="19"/>
  <c r="U108" i="19"/>
  <c r="U109" i="19"/>
  <c r="U110" i="19"/>
  <c r="U111" i="19"/>
  <c r="U112" i="19"/>
  <c r="U113" i="19"/>
  <c r="U114" i="19"/>
  <c r="U115" i="19"/>
  <c r="U116" i="19"/>
  <c r="U117" i="19"/>
  <c r="U118" i="19"/>
  <c r="U119" i="19"/>
  <c r="U120" i="19"/>
  <c r="U121" i="19"/>
  <c r="U122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7" i="19"/>
  <c r="U378" i="19"/>
  <c r="U379" i="19"/>
  <c r="U380" i="19"/>
  <c r="U381" i="19"/>
  <c r="U382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7" i="19"/>
  <c r="U398" i="19"/>
  <c r="U399" i="19"/>
  <c r="U400" i="19"/>
  <c r="U401" i="19"/>
  <c r="U402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U467" i="19"/>
  <c r="U468" i="19"/>
  <c r="U469" i="19"/>
  <c r="U470" i="19"/>
  <c r="U471" i="19"/>
  <c r="U472" i="19"/>
  <c r="U473" i="19"/>
  <c r="U474" i="19"/>
  <c r="U475" i="19"/>
  <c r="U476" i="19"/>
  <c r="U477" i="19"/>
  <c r="U478" i="19"/>
  <c r="U479" i="19"/>
  <c r="U480" i="19"/>
  <c r="U481" i="19"/>
  <c r="U482" i="19"/>
  <c r="U483" i="19"/>
  <c r="U484" i="19"/>
  <c r="U485" i="19"/>
  <c r="U486" i="19"/>
  <c r="U487" i="19"/>
  <c r="U488" i="19"/>
  <c r="U489" i="19"/>
  <c r="U490" i="19"/>
  <c r="U491" i="19"/>
  <c r="U492" i="19"/>
  <c r="U493" i="19"/>
  <c r="U494" i="19"/>
  <c r="U495" i="19"/>
  <c r="U496" i="19"/>
  <c r="U497" i="19"/>
  <c r="U498" i="19"/>
  <c r="U499" i="19"/>
  <c r="U500" i="19"/>
  <c r="U501" i="19"/>
  <c r="U502" i="19"/>
  <c r="U503" i="19"/>
  <c r="U504" i="19"/>
  <c r="U505" i="19"/>
  <c r="U506" i="19"/>
  <c r="U507" i="19"/>
  <c r="U508" i="19"/>
  <c r="U509" i="19"/>
  <c r="U510" i="19"/>
  <c r="U511" i="19"/>
  <c r="U512" i="19"/>
  <c r="U513" i="19"/>
  <c r="U514" i="19"/>
  <c r="U515" i="19"/>
  <c r="U516" i="19"/>
  <c r="U517" i="19"/>
  <c r="U518" i="19"/>
  <c r="U519" i="19"/>
  <c r="U520" i="19"/>
  <c r="U521" i="19"/>
  <c r="U522" i="19"/>
  <c r="U523" i="19"/>
  <c r="U524" i="19"/>
  <c r="U525" i="19"/>
  <c r="U526" i="19"/>
  <c r="U527" i="19"/>
  <c r="U528" i="19"/>
  <c r="U529" i="19"/>
  <c r="U530" i="19"/>
  <c r="U531" i="19"/>
  <c r="U532" i="19"/>
  <c r="U533" i="19"/>
  <c r="U534" i="19"/>
  <c r="U535" i="19"/>
  <c r="U536" i="19"/>
  <c r="U537" i="19"/>
  <c r="U538" i="19"/>
  <c r="U539" i="19"/>
  <c r="U540" i="19"/>
  <c r="U541" i="19"/>
  <c r="U542" i="19"/>
  <c r="U543" i="19"/>
  <c r="U544" i="19"/>
  <c r="U545" i="19"/>
  <c r="U546" i="19"/>
  <c r="U547" i="19"/>
  <c r="U548" i="19"/>
  <c r="U549" i="19"/>
  <c r="U550" i="19"/>
  <c r="U551" i="19"/>
  <c r="U552" i="19"/>
  <c r="U553" i="19"/>
  <c r="U554" i="19"/>
  <c r="U555" i="19"/>
  <c r="U556" i="19"/>
  <c r="U557" i="19"/>
  <c r="U558" i="19"/>
  <c r="U559" i="19"/>
  <c r="U560" i="19"/>
  <c r="U561" i="19"/>
  <c r="U562" i="19"/>
  <c r="U563" i="19"/>
  <c r="U1" i="19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1" i="18"/>
  <c r="U20" i="18"/>
  <c r="U11" i="18"/>
  <c r="U12" i="18"/>
  <c r="U13" i="18"/>
  <c r="U14" i="18"/>
  <c r="U15" i="18"/>
  <c r="U16" i="18"/>
  <c r="U17" i="18"/>
  <c r="U18" i="18"/>
  <c r="U19" i="18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U67" i="17"/>
  <c r="U68" i="17"/>
  <c r="U69" i="17"/>
  <c r="U70" i="17"/>
  <c r="U71" i="17"/>
  <c r="U72" i="17"/>
  <c r="U73" i="17"/>
  <c r="U74" i="17"/>
  <c r="U75" i="17"/>
  <c r="U76" i="17"/>
  <c r="U77" i="17"/>
  <c r="U78" i="17"/>
  <c r="U79" i="17"/>
  <c r="U80" i="17"/>
  <c r="U81" i="17"/>
  <c r="U82" i="17"/>
  <c r="U83" i="17"/>
  <c r="U84" i="17"/>
  <c r="U85" i="17"/>
  <c r="U86" i="17"/>
  <c r="U87" i="17"/>
  <c r="U88" i="17"/>
  <c r="U89" i="17"/>
  <c r="U90" i="17"/>
  <c r="U91" i="17"/>
  <c r="U92" i="17"/>
  <c r="U93" i="17"/>
  <c r="U94" i="17"/>
  <c r="U95" i="17"/>
  <c r="U96" i="17"/>
  <c r="U97" i="17"/>
  <c r="U98" i="17"/>
  <c r="U99" i="17"/>
  <c r="U100" i="17"/>
  <c r="U101" i="17"/>
  <c r="U102" i="17"/>
  <c r="U103" i="17"/>
  <c r="U104" i="17"/>
  <c r="U105" i="17"/>
  <c r="U106" i="17"/>
  <c r="U107" i="17"/>
  <c r="U108" i="17"/>
  <c r="U109" i="17"/>
  <c r="U110" i="17"/>
  <c r="U111" i="17"/>
  <c r="U112" i="17"/>
  <c r="U113" i="17"/>
  <c r="U114" i="17"/>
  <c r="U115" i="17"/>
  <c r="U116" i="17"/>
  <c r="U117" i="17"/>
  <c r="U118" i="17"/>
  <c r="U119" i="17"/>
  <c r="U120" i="17"/>
  <c r="U121" i="17"/>
  <c r="U122" i="17"/>
  <c r="U123" i="17"/>
  <c r="U124" i="17"/>
  <c r="U125" i="17"/>
  <c r="U126" i="17"/>
  <c r="U127" i="17"/>
  <c r="U128" i="17"/>
  <c r="U129" i="17"/>
  <c r="U130" i="17"/>
  <c r="U131" i="17"/>
  <c r="U132" i="17"/>
  <c r="U133" i="17"/>
  <c r="U134" i="17"/>
  <c r="U135" i="17"/>
  <c r="U136" i="17"/>
  <c r="U137" i="17"/>
  <c r="U138" i="17"/>
  <c r="U139" i="17"/>
  <c r="U140" i="17"/>
  <c r="U141" i="17"/>
  <c r="U142" i="17"/>
  <c r="U143" i="17"/>
  <c r="U144" i="17"/>
  <c r="U145" i="17"/>
  <c r="U146" i="17"/>
  <c r="U147" i="17"/>
  <c r="U148" i="17"/>
  <c r="U149" i="17"/>
  <c r="U150" i="17"/>
  <c r="U151" i="17"/>
  <c r="U152" i="17"/>
  <c r="U153" i="17"/>
  <c r="U154" i="17"/>
  <c r="U155" i="17"/>
  <c r="U156" i="17"/>
  <c r="U157" i="17"/>
  <c r="U158" i="17"/>
  <c r="U159" i="17"/>
  <c r="U160" i="17"/>
  <c r="U161" i="17"/>
  <c r="U162" i="17"/>
  <c r="U163" i="17"/>
  <c r="U164" i="17"/>
  <c r="U165" i="17"/>
  <c r="U166" i="17"/>
  <c r="U167" i="17"/>
  <c r="U168" i="17"/>
  <c r="U169" i="17"/>
  <c r="U170" i="17"/>
  <c r="U171" i="17"/>
  <c r="U172" i="17"/>
  <c r="U173" i="17"/>
  <c r="U174" i="17"/>
  <c r="U175" i="17"/>
  <c r="U176" i="17"/>
  <c r="U177" i="17"/>
  <c r="U178" i="17"/>
  <c r="U179" i="17"/>
  <c r="U180" i="17"/>
  <c r="U181" i="17"/>
  <c r="U182" i="17"/>
  <c r="U183" i="17"/>
  <c r="U184" i="17"/>
  <c r="U185" i="17"/>
  <c r="U186" i="17"/>
  <c r="U187" i="17"/>
  <c r="U188" i="17"/>
  <c r="U189" i="17"/>
  <c r="U190" i="17"/>
  <c r="U191" i="17"/>
  <c r="U192" i="17"/>
  <c r="U193" i="17"/>
  <c r="U194" i="17"/>
  <c r="U195" i="17"/>
  <c r="U196" i="17"/>
  <c r="U197" i="17"/>
  <c r="U198" i="17"/>
  <c r="U199" i="17"/>
  <c r="U200" i="17"/>
  <c r="U201" i="17"/>
  <c r="U202" i="17"/>
  <c r="U203" i="17"/>
  <c r="U204" i="17"/>
  <c r="U205" i="17"/>
  <c r="U206" i="17"/>
  <c r="U207" i="17"/>
  <c r="U208" i="17"/>
  <c r="U209" i="17"/>
  <c r="U210" i="17"/>
  <c r="U211" i="17"/>
  <c r="U212" i="17"/>
  <c r="U213" i="17"/>
  <c r="U214" i="17"/>
  <c r="U215" i="17"/>
  <c r="U216" i="17"/>
  <c r="U217" i="17"/>
  <c r="U218" i="17"/>
  <c r="U219" i="17"/>
  <c r="U220" i="17"/>
  <c r="U221" i="17"/>
  <c r="U222" i="17"/>
  <c r="U223" i="17"/>
  <c r="U224" i="17"/>
  <c r="U225" i="17"/>
  <c r="U226" i="17"/>
  <c r="U227" i="17"/>
  <c r="U228" i="17"/>
  <c r="U229" i="17"/>
  <c r="U230" i="17"/>
  <c r="U231" i="17"/>
  <c r="U232" i="17"/>
  <c r="U233" i="17"/>
  <c r="U234" i="17"/>
  <c r="U235" i="17"/>
  <c r="U236" i="17"/>
  <c r="U237" i="17"/>
  <c r="U238" i="17"/>
  <c r="U239" i="17"/>
  <c r="U240" i="17"/>
  <c r="U241" i="17"/>
  <c r="U242" i="17"/>
  <c r="U243" i="17"/>
  <c r="U244" i="17"/>
  <c r="U245" i="17"/>
  <c r="U246" i="17"/>
  <c r="U247" i="17"/>
  <c r="U248" i="17"/>
  <c r="U249" i="17"/>
  <c r="U250" i="17"/>
  <c r="U251" i="17"/>
  <c r="U252" i="17"/>
  <c r="U253" i="17"/>
  <c r="U254" i="17"/>
  <c r="U255" i="17"/>
  <c r="U256" i="17"/>
  <c r="U257" i="17"/>
  <c r="U258" i="17"/>
  <c r="U259" i="17"/>
  <c r="U260" i="17"/>
  <c r="U261" i="17"/>
  <c r="U262" i="17"/>
  <c r="U263" i="17"/>
  <c r="U264" i="17"/>
  <c r="U265" i="17"/>
  <c r="U266" i="17"/>
  <c r="U267" i="17"/>
  <c r="U268" i="17"/>
  <c r="U269" i="17"/>
  <c r="U270" i="17"/>
  <c r="U271" i="17"/>
  <c r="U272" i="17"/>
  <c r="U273" i="17"/>
  <c r="U274" i="17"/>
  <c r="U275" i="17"/>
  <c r="U276" i="17"/>
  <c r="U277" i="17"/>
  <c r="U278" i="17"/>
  <c r="U279" i="17"/>
  <c r="U280" i="17"/>
  <c r="U281" i="17"/>
  <c r="U282" i="17"/>
  <c r="U283" i="17"/>
  <c r="U284" i="17"/>
  <c r="U285" i="17"/>
  <c r="U286" i="17"/>
  <c r="U287" i="17"/>
  <c r="U288" i="17"/>
  <c r="U289" i="17"/>
  <c r="U290" i="17"/>
  <c r="U291" i="17"/>
  <c r="U292" i="17"/>
  <c r="U293" i="17"/>
  <c r="U294" i="17"/>
  <c r="U295" i="17"/>
  <c r="U296" i="17"/>
  <c r="U297" i="17"/>
  <c r="U298" i="17"/>
  <c r="U299" i="17"/>
  <c r="U300" i="17"/>
  <c r="U301" i="17"/>
  <c r="U302" i="17"/>
  <c r="U303" i="17"/>
  <c r="U304" i="17"/>
  <c r="U305" i="17"/>
  <c r="U306" i="17"/>
  <c r="U307" i="17"/>
  <c r="U308" i="17"/>
  <c r="U309" i="17"/>
  <c r="U310" i="17"/>
  <c r="U311" i="17"/>
  <c r="U312" i="17"/>
  <c r="U313" i="17"/>
  <c r="U314" i="17"/>
  <c r="U315" i="17"/>
  <c r="U316" i="17"/>
  <c r="U317" i="17"/>
  <c r="U318" i="17"/>
  <c r="U319" i="17"/>
  <c r="U320" i="17"/>
  <c r="U321" i="17"/>
  <c r="U322" i="17"/>
  <c r="U323" i="17"/>
  <c r="U324" i="17"/>
  <c r="U325" i="17"/>
  <c r="U326" i="17"/>
  <c r="U327" i="17"/>
  <c r="U328" i="17"/>
  <c r="U329" i="17"/>
  <c r="U330" i="17"/>
  <c r="U331" i="17"/>
  <c r="U332" i="17"/>
  <c r="U333" i="17"/>
  <c r="U334" i="17"/>
  <c r="U335" i="17"/>
  <c r="U336" i="17"/>
  <c r="U337" i="17"/>
  <c r="U338" i="17"/>
  <c r="U339" i="17"/>
  <c r="U340" i="17"/>
  <c r="U341" i="17"/>
  <c r="U342" i="17"/>
  <c r="U343" i="17"/>
  <c r="U344" i="17"/>
  <c r="U345" i="17"/>
  <c r="U346" i="17"/>
  <c r="U347" i="17"/>
  <c r="U348" i="17"/>
  <c r="U349" i="17"/>
  <c r="U350" i="17"/>
  <c r="U351" i="17"/>
  <c r="U352" i="17"/>
  <c r="U353" i="17"/>
  <c r="U354" i="17"/>
  <c r="U355" i="17"/>
  <c r="U356" i="17"/>
  <c r="U357" i="17"/>
  <c r="U358" i="17"/>
  <c r="U359" i="17"/>
  <c r="U360" i="17"/>
  <c r="U361" i="17"/>
  <c r="U362" i="17"/>
  <c r="U363" i="17"/>
  <c r="U364" i="17"/>
  <c r="U365" i="17"/>
  <c r="U366" i="17"/>
  <c r="U367" i="17"/>
  <c r="U368" i="17"/>
  <c r="U369" i="17"/>
  <c r="U370" i="17"/>
  <c r="U371" i="17"/>
  <c r="U372" i="17"/>
  <c r="U373" i="17"/>
  <c r="U374" i="17"/>
  <c r="U375" i="17"/>
  <c r="U376" i="17"/>
  <c r="U377" i="17"/>
  <c r="U378" i="17"/>
  <c r="U379" i="17"/>
  <c r="U380" i="17"/>
  <c r="U381" i="17"/>
  <c r="U382" i="17"/>
  <c r="U383" i="17"/>
  <c r="U384" i="17"/>
  <c r="U385" i="17"/>
  <c r="U386" i="17"/>
  <c r="U387" i="17"/>
  <c r="U388" i="17"/>
  <c r="U389" i="17"/>
  <c r="U390" i="17"/>
  <c r="U391" i="17"/>
  <c r="U392" i="17"/>
  <c r="U393" i="17"/>
  <c r="U394" i="17"/>
  <c r="U395" i="17"/>
  <c r="U396" i="17"/>
  <c r="U397" i="17"/>
  <c r="U398" i="17"/>
  <c r="U399" i="17"/>
  <c r="U400" i="17"/>
  <c r="U401" i="17"/>
  <c r="U402" i="17"/>
  <c r="U403" i="17"/>
  <c r="U404" i="17"/>
  <c r="U405" i="17"/>
  <c r="U406" i="17"/>
  <c r="U407" i="17"/>
  <c r="U408" i="17"/>
  <c r="U409" i="17"/>
  <c r="U410" i="17"/>
  <c r="U411" i="17"/>
  <c r="U412" i="17"/>
  <c r="U413" i="17"/>
  <c r="U414" i="17"/>
  <c r="U415" i="17"/>
  <c r="U416" i="17"/>
  <c r="U417" i="17"/>
  <c r="U18" i="17"/>
  <c r="U19" i="17"/>
  <c r="U20" i="17"/>
  <c r="U21" i="17"/>
  <c r="U22" i="17"/>
  <c r="U23" i="17"/>
  <c r="U24" i="17"/>
  <c r="U25" i="17"/>
  <c r="U26" i="17"/>
  <c r="U1" i="17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24" i="16"/>
  <c r="U25" i="16"/>
  <c r="U26" i="16"/>
  <c r="U27" i="16"/>
  <c r="U28" i="16"/>
  <c r="U29" i="16"/>
  <c r="U30" i="16"/>
  <c r="U31" i="16"/>
  <c r="U1" i="16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25" i="15"/>
  <c r="U26" i="15"/>
  <c r="U27" i="15"/>
  <c r="U28" i="15"/>
  <c r="U29" i="15"/>
  <c r="U30" i="15"/>
  <c r="U31" i="15"/>
  <c r="U32" i="15"/>
  <c r="U33" i="15"/>
  <c r="U34" i="15"/>
  <c r="U1" i="15"/>
  <c r="J8" i="2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U206" i="14"/>
  <c r="U207" i="14"/>
  <c r="U208" i="14"/>
  <c r="U209" i="14"/>
  <c r="U210" i="14"/>
  <c r="U211" i="14"/>
  <c r="U212" i="14"/>
  <c r="U213" i="14"/>
  <c r="U214" i="14"/>
  <c r="U215" i="14"/>
  <c r="U216" i="14"/>
  <c r="U217" i="14"/>
  <c r="U218" i="14"/>
  <c r="U219" i="14"/>
  <c r="U220" i="14"/>
  <c r="U221" i="14"/>
  <c r="U222" i="14"/>
  <c r="U223" i="14"/>
  <c r="U224" i="14"/>
  <c r="U225" i="14"/>
  <c r="U226" i="14"/>
  <c r="U227" i="14"/>
  <c r="U228" i="14"/>
  <c r="U229" i="14"/>
  <c r="U230" i="14"/>
  <c r="U231" i="14"/>
  <c r="U232" i="14"/>
  <c r="U233" i="14"/>
  <c r="U234" i="14"/>
  <c r="U235" i="14"/>
  <c r="U236" i="14"/>
  <c r="U237" i="14"/>
  <c r="U238" i="14"/>
  <c r="U239" i="14"/>
  <c r="U240" i="14"/>
  <c r="U241" i="14"/>
  <c r="U242" i="14"/>
  <c r="U243" i="14"/>
  <c r="U244" i="14"/>
  <c r="U245" i="14"/>
  <c r="U246" i="14"/>
  <c r="U247" i="14"/>
  <c r="U248" i="14"/>
  <c r="U249" i="14"/>
  <c r="U250" i="14"/>
  <c r="U251" i="14"/>
  <c r="U252" i="14"/>
  <c r="U253" i="14"/>
  <c r="U254" i="14"/>
  <c r="U255" i="14"/>
  <c r="U256" i="14"/>
  <c r="U257" i="14"/>
  <c r="U258" i="14"/>
  <c r="U259" i="14"/>
  <c r="U260" i="14"/>
  <c r="U261" i="14"/>
  <c r="U262" i="14"/>
  <c r="U263" i="14"/>
  <c r="U264" i="14"/>
  <c r="U265" i="14"/>
  <c r="U266" i="14"/>
  <c r="U267" i="14"/>
  <c r="U268" i="14"/>
  <c r="U269" i="14"/>
  <c r="U270" i="14"/>
  <c r="U271" i="14"/>
  <c r="U272" i="14"/>
  <c r="U273" i="14"/>
  <c r="U274" i="14"/>
  <c r="U275" i="14"/>
  <c r="U276" i="14"/>
  <c r="U277" i="14"/>
  <c r="U278" i="14"/>
  <c r="U279" i="14"/>
  <c r="U280" i="14"/>
  <c r="U281" i="14"/>
  <c r="U282" i="14"/>
  <c r="U283" i="14"/>
  <c r="U284" i="14"/>
  <c r="U285" i="14"/>
  <c r="U286" i="14"/>
  <c r="U287" i="14"/>
  <c r="U288" i="14"/>
  <c r="U289" i="14"/>
  <c r="U290" i="14"/>
  <c r="U291" i="14"/>
  <c r="U292" i="14"/>
  <c r="U293" i="14"/>
  <c r="U294" i="14"/>
  <c r="U295" i="14"/>
  <c r="U296" i="14"/>
  <c r="U297" i="14"/>
  <c r="U298" i="14"/>
  <c r="U299" i="14"/>
  <c r="U300" i="14"/>
  <c r="U24" i="14"/>
  <c r="U25" i="14"/>
  <c r="U1" i="14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21" i="13"/>
  <c r="U22" i="13"/>
  <c r="U23" i="13"/>
  <c r="U1" i="13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1" i="12"/>
  <c r="U17" i="12"/>
  <c r="U18" i="12"/>
  <c r="U19" i="12"/>
  <c r="U20" i="12"/>
  <c r="U21" i="12"/>
  <c r="U32" i="11"/>
  <c r="U33" i="11"/>
  <c r="U34" i="11"/>
  <c r="U35" i="11"/>
  <c r="U36" i="11"/>
  <c r="U1" i="11"/>
  <c r="T1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129" i="22"/>
  <c r="U130" i="22"/>
  <c r="U131" i="22"/>
  <c r="U132" i="22"/>
  <c r="U133" i="22"/>
  <c r="U134" i="22"/>
  <c r="U135" i="22"/>
  <c r="U136" i="22"/>
  <c r="U137" i="22"/>
  <c r="U138" i="22"/>
  <c r="U139" i="22"/>
  <c r="U140" i="22"/>
  <c r="U141" i="22"/>
  <c r="U142" i="22"/>
  <c r="U143" i="22"/>
  <c r="U144" i="22"/>
  <c r="U145" i="22"/>
  <c r="U146" i="22"/>
  <c r="U147" i="22"/>
  <c r="U148" i="22"/>
  <c r="U149" i="22"/>
  <c r="U150" i="22"/>
  <c r="U151" i="22"/>
  <c r="U152" i="22"/>
  <c r="U153" i="22"/>
  <c r="U154" i="22"/>
  <c r="U155" i="22"/>
  <c r="U156" i="22"/>
  <c r="U157" i="22"/>
  <c r="U158" i="22"/>
  <c r="U159" i="22"/>
  <c r="U160" i="22"/>
  <c r="U161" i="22"/>
  <c r="U162" i="22"/>
  <c r="U163" i="22"/>
  <c r="U164" i="22"/>
  <c r="U165" i="22"/>
  <c r="U166" i="22"/>
  <c r="U167" i="22"/>
  <c r="U168" i="22"/>
  <c r="U169" i="22"/>
  <c r="U170" i="22"/>
  <c r="U171" i="22"/>
  <c r="U172" i="22"/>
  <c r="U173" i="22"/>
  <c r="U174" i="22"/>
  <c r="U175" i="22"/>
  <c r="U176" i="22"/>
  <c r="U177" i="22"/>
  <c r="U178" i="22"/>
  <c r="U179" i="22"/>
  <c r="U180" i="22"/>
  <c r="U181" i="22"/>
  <c r="U182" i="22"/>
  <c r="U183" i="22"/>
  <c r="U184" i="22"/>
  <c r="U185" i="22"/>
  <c r="U186" i="22"/>
  <c r="U187" i="22"/>
  <c r="U188" i="22"/>
  <c r="U189" i="22"/>
  <c r="U190" i="22"/>
  <c r="U191" i="22"/>
  <c r="U192" i="22"/>
  <c r="U193" i="22"/>
  <c r="U194" i="22"/>
  <c r="U195" i="22"/>
  <c r="U196" i="22"/>
  <c r="U197" i="22"/>
  <c r="U198" i="22"/>
  <c r="U199" i="22"/>
  <c r="U200" i="22"/>
  <c r="U201" i="22"/>
  <c r="U202" i="22"/>
  <c r="U203" i="22"/>
  <c r="U204" i="22"/>
  <c r="U205" i="22"/>
  <c r="U206" i="22"/>
  <c r="U207" i="22"/>
  <c r="U208" i="22"/>
  <c r="U209" i="22"/>
  <c r="U210" i="22"/>
  <c r="U211" i="22"/>
  <c r="U212" i="22"/>
  <c r="U213" i="22"/>
  <c r="U214" i="22"/>
  <c r="U215" i="22"/>
  <c r="U216" i="22"/>
  <c r="U217" i="22"/>
  <c r="U218" i="22"/>
  <c r="U219" i="22"/>
  <c r="U220" i="22"/>
  <c r="U221" i="22"/>
  <c r="U222" i="22"/>
  <c r="U223" i="22"/>
  <c r="U224" i="22"/>
  <c r="U225" i="22"/>
  <c r="U226" i="22"/>
  <c r="U227" i="22"/>
  <c r="U228" i="22"/>
  <c r="U229" i="22"/>
  <c r="U230" i="22"/>
  <c r="U231" i="22"/>
  <c r="U232" i="22"/>
  <c r="U233" i="22"/>
  <c r="U234" i="22"/>
  <c r="U235" i="22"/>
  <c r="U236" i="22"/>
  <c r="U237" i="22"/>
  <c r="U238" i="22"/>
  <c r="U239" i="22"/>
  <c r="U240" i="22"/>
  <c r="U241" i="22"/>
  <c r="U242" i="22"/>
  <c r="U243" i="22"/>
  <c r="U244" i="22"/>
  <c r="U245" i="22"/>
  <c r="U246" i="22"/>
  <c r="U247" i="22"/>
  <c r="U248" i="22"/>
  <c r="U249" i="22"/>
  <c r="U250" i="22"/>
  <c r="U251" i="22"/>
  <c r="U252" i="22"/>
  <c r="U253" i="22"/>
  <c r="U254" i="22"/>
  <c r="U255" i="22"/>
  <c r="U256" i="22"/>
  <c r="U257" i="22"/>
  <c r="U258" i="22"/>
  <c r="U259" i="22"/>
  <c r="U260" i="22"/>
  <c r="U261" i="22"/>
  <c r="U262" i="22"/>
  <c r="U263" i="22"/>
  <c r="U264" i="22"/>
  <c r="U265" i="22"/>
  <c r="U266" i="22"/>
  <c r="U267" i="22"/>
  <c r="U268" i="22"/>
  <c r="U269" i="22"/>
  <c r="U270" i="22"/>
  <c r="U271" i="22"/>
  <c r="U272" i="22"/>
  <c r="U273" i="22"/>
  <c r="U274" i="22"/>
  <c r="U275" i="22"/>
  <c r="U276" i="22"/>
  <c r="U277" i="22"/>
  <c r="U278" i="22"/>
  <c r="U279" i="22"/>
  <c r="U280" i="22"/>
  <c r="U281" i="22"/>
  <c r="U282" i="22"/>
  <c r="U283" i="22"/>
  <c r="U284" i="22"/>
  <c r="U285" i="22"/>
  <c r="U286" i="22"/>
  <c r="U287" i="22"/>
  <c r="U288" i="22"/>
  <c r="U289" i="22"/>
  <c r="U290" i="22"/>
  <c r="U291" i="22"/>
  <c r="U292" i="22"/>
  <c r="U293" i="22"/>
  <c r="U294" i="22"/>
  <c r="U295" i="22"/>
  <c r="U296" i="22"/>
  <c r="U297" i="22"/>
  <c r="U298" i="22"/>
  <c r="U299" i="22"/>
  <c r="U300" i="22"/>
  <c r="U301" i="22"/>
  <c r="U302" i="22"/>
  <c r="U303" i="22"/>
  <c r="U304" i="22"/>
  <c r="U305" i="22"/>
  <c r="U306" i="22"/>
  <c r="U307" i="22"/>
  <c r="U308" i="22"/>
  <c r="U309" i="22"/>
  <c r="U310" i="22"/>
  <c r="U311" i="22"/>
  <c r="U312" i="22"/>
  <c r="U313" i="22"/>
  <c r="U314" i="22"/>
  <c r="U315" i="22"/>
  <c r="U316" i="22"/>
  <c r="U317" i="22"/>
  <c r="U318" i="22"/>
  <c r="U319" i="22"/>
  <c r="U320" i="22"/>
  <c r="U321" i="22"/>
  <c r="U322" i="22"/>
  <c r="U323" i="22"/>
  <c r="U324" i="22"/>
  <c r="U325" i="22"/>
  <c r="U326" i="22"/>
  <c r="U327" i="22"/>
  <c r="U328" i="22"/>
  <c r="U329" i="22"/>
  <c r="U330" i="22"/>
  <c r="U331" i="22"/>
  <c r="U332" i="22"/>
  <c r="U333" i="22"/>
  <c r="U334" i="22"/>
  <c r="U335" i="22"/>
  <c r="U336" i="22"/>
  <c r="U337" i="22"/>
  <c r="U338" i="22"/>
  <c r="U339" i="22"/>
  <c r="U340" i="22"/>
  <c r="U341" i="22"/>
  <c r="U342" i="22"/>
  <c r="U343" i="22"/>
  <c r="U344" i="22"/>
  <c r="U345" i="22"/>
  <c r="U346" i="22"/>
  <c r="U347" i="22"/>
  <c r="U348" i="22"/>
  <c r="U349" i="22"/>
  <c r="U350" i="22"/>
  <c r="U351" i="22"/>
  <c r="U352" i="22"/>
  <c r="U353" i="22"/>
  <c r="U354" i="22"/>
  <c r="U355" i="22"/>
  <c r="U356" i="22"/>
  <c r="U357" i="22"/>
  <c r="U358" i="22"/>
  <c r="U359" i="22"/>
  <c r="U360" i="22"/>
  <c r="U361" i="22"/>
  <c r="U362" i="22"/>
  <c r="U363" i="22"/>
  <c r="U364" i="22"/>
  <c r="U365" i="22"/>
  <c r="U366" i="22"/>
  <c r="U367" i="22"/>
  <c r="U368" i="22"/>
  <c r="U369" i="22"/>
  <c r="U370" i="22"/>
  <c r="U371" i="22"/>
  <c r="U372" i="22"/>
  <c r="U373" i="22"/>
  <c r="U374" i="22"/>
  <c r="U375" i="22"/>
  <c r="U376" i="22"/>
  <c r="U377" i="22"/>
  <c r="U378" i="22"/>
  <c r="U379" i="22"/>
  <c r="U380" i="22"/>
  <c r="U381" i="22"/>
  <c r="U382" i="22"/>
  <c r="U383" i="22"/>
  <c r="U384" i="22"/>
  <c r="U385" i="22"/>
  <c r="U386" i="22"/>
  <c r="U387" i="22"/>
  <c r="U388" i="22"/>
  <c r="U389" i="22"/>
  <c r="U390" i="22"/>
  <c r="U391" i="22"/>
  <c r="U392" i="22"/>
  <c r="U393" i="22"/>
  <c r="U394" i="22"/>
  <c r="U395" i="22"/>
  <c r="U396" i="22"/>
  <c r="U397" i="22"/>
  <c r="U398" i="22"/>
  <c r="U399" i="22"/>
  <c r="U400" i="22"/>
  <c r="U401" i="22"/>
  <c r="U402" i="22"/>
  <c r="U403" i="22"/>
  <c r="U404" i="22"/>
  <c r="U405" i="22"/>
  <c r="U406" i="22"/>
  <c r="U407" i="22"/>
  <c r="U408" i="22"/>
  <c r="U409" i="22"/>
  <c r="U410" i="22"/>
  <c r="U411" i="22"/>
  <c r="U412" i="22"/>
  <c r="U413" i="22"/>
  <c r="U414" i="22"/>
  <c r="U415" i="22"/>
  <c r="U416" i="22"/>
  <c r="U417" i="22"/>
  <c r="U418" i="22"/>
  <c r="U419" i="22"/>
  <c r="U420" i="22"/>
  <c r="U421" i="22"/>
  <c r="U422" i="22"/>
  <c r="U423" i="22"/>
  <c r="U424" i="22"/>
  <c r="U425" i="22"/>
  <c r="U426" i="22"/>
  <c r="U427" i="22"/>
  <c r="U428" i="22"/>
  <c r="U429" i="22"/>
  <c r="U430" i="22"/>
  <c r="U431" i="22"/>
  <c r="U432" i="22"/>
  <c r="U433" i="22"/>
  <c r="U434" i="22"/>
  <c r="U435" i="22"/>
  <c r="U436" i="22"/>
  <c r="U437" i="22"/>
  <c r="U438" i="22"/>
  <c r="U439" i="22"/>
  <c r="U440" i="22"/>
  <c r="U441" i="22"/>
  <c r="U442" i="22"/>
  <c r="U443" i="22"/>
  <c r="U444" i="22"/>
  <c r="U445" i="22"/>
  <c r="U446" i="22"/>
  <c r="U447" i="22"/>
  <c r="U448" i="22"/>
  <c r="U449" i="22"/>
  <c r="U450" i="22"/>
  <c r="U451" i="22"/>
  <c r="U452" i="22"/>
  <c r="U453" i="22"/>
  <c r="U454" i="22"/>
  <c r="U455" i="22"/>
  <c r="U456" i="22"/>
  <c r="U457" i="22"/>
  <c r="U458" i="22"/>
  <c r="U459" i="22"/>
  <c r="U460" i="22"/>
  <c r="U461" i="22"/>
  <c r="U462" i="22"/>
  <c r="U463" i="22"/>
  <c r="U464" i="22"/>
  <c r="U465" i="22"/>
  <c r="U466" i="22"/>
  <c r="U467" i="22"/>
  <c r="U468" i="22"/>
  <c r="U469" i="22"/>
  <c r="U470" i="22"/>
  <c r="U471" i="22"/>
  <c r="U472" i="22"/>
  <c r="U473" i="22"/>
  <c r="U474" i="22"/>
  <c r="U475" i="22"/>
  <c r="U476" i="22"/>
  <c r="U477" i="22"/>
  <c r="U478" i="22"/>
  <c r="U479" i="22"/>
  <c r="U480" i="22"/>
  <c r="U481" i="22"/>
  <c r="U482" i="22"/>
  <c r="U483" i="22"/>
  <c r="U484" i="22"/>
  <c r="U485" i="22"/>
  <c r="U486" i="22"/>
  <c r="U487" i="22"/>
  <c r="U488" i="22"/>
  <c r="U489" i="22"/>
  <c r="U490" i="22"/>
  <c r="U491" i="22"/>
  <c r="U492" i="22"/>
  <c r="U493" i="22"/>
  <c r="U494" i="22"/>
  <c r="U495" i="22"/>
  <c r="U496" i="22"/>
  <c r="U497" i="22"/>
  <c r="U498" i="22"/>
  <c r="U499" i="22"/>
  <c r="U500" i="22"/>
  <c r="U501" i="22"/>
  <c r="U502" i="22"/>
  <c r="U503" i="22"/>
  <c r="U504" i="22"/>
  <c r="U505" i="22"/>
  <c r="U506" i="22"/>
  <c r="U507" i="22"/>
  <c r="U508" i="22"/>
  <c r="U509" i="22"/>
  <c r="U510" i="22"/>
  <c r="U511" i="22"/>
  <c r="U512" i="22"/>
  <c r="U513" i="22"/>
  <c r="U514" i="22"/>
  <c r="U515" i="22"/>
  <c r="U516" i="22"/>
  <c r="U517" i="22"/>
  <c r="U518" i="22"/>
  <c r="U519" i="22"/>
  <c r="U520" i="22"/>
  <c r="U521" i="22"/>
  <c r="U522" i="22"/>
  <c r="U523" i="22"/>
  <c r="U524" i="22"/>
  <c r="U525" i="22"/>
  <c r="U526" i="22"/>
  <c r="U527" i="22"/>
  <c r="U528" i="22"/>
  <c r="U529" i="22"/>
  <c r="U530" i="22"/>
  <c r="U531" i="22"/>
  <c r="U532" i="22"/>
  <c r="U533" i="22"/>
  <c r="U534" i="22"/>
  <c r="U535" i="22"/>
  <c r="U536" i="22"/>
  <c r="U537" i="22"/>
  <c r="U538" i="22"/>
  <c r="U539" i="22"/>
  <c r="U540" i="22"/>
  <c r="U541" i="22"/>
  <c r="U542" i="22"/>
  <c r="U543" i="22"/>
  <c r="U544" i="22"/>
  <c r="U545" i="22"/>
  <c r="U546" i="22"/>
  <c r="U547" i="22"/>
  <c r="U548" i="22"/>
  <c r="U549" i="22"/>
  <c r="U550" i="22"/>
  <c r="U551" i="22"/>
  <c r="U552" i="22"/>
  <c r="U553" i="22"/>
  <c r="U554" i="22"/>
  <c r="U555" i="22"/>
  <c r="U556" i="22"/>
  <c r="U557" i="22"/>
  <c r="U558" i="22"/>
  <c r="U559" i="22"/>
  <c r="U560" i="22"/>
  <c r="U561" i="22"/>
  <c r="U562" i="22"/>
  <c r="U563" i="22"/>
  <c r="U564" i="22"/>
  <c r="U565" i="22"/>
  <c r="U566" i="22"/>
  <c r="U567" i="22"/>
  <c r="U568" i="22"/>
  <c r="U569" i="22"/>
  <c r="U570" i="22"/>
  <c r="U571" i="22"/>
  <c r="U572" i="22"/>
  <c r="U573" i="22"/>
  <c r="U574" i="22"/>
  <c r="U575" i="22"/>
  <c r="U576" i="22"/>
  <c r="U577" i="22"/>
  <c r="U578" i="22"/>
  <c r="U579" i="22"/>
  <c r="U580" i="22"/>
  <c r="U581" i="22"/>
  <c r="U582" i="22"/>
  <c r="U583" i="22"/>
  <c r="U584" i="22"/>
  <c r="U585" i="22"/>
  <c r="U586" i="22"/>
  <c r="U587" i="22"/>
  <c r="U588" i="22"/>
  <c r="U589" i="22"/>
  <c r="U590" i="22"/>
  <c r="U591" i="22"/>
  <c r="U592" i="22"/>
  <c r="U593" i="22"/>
  <c r="U594" i="22"/>
  <c r="U595" i="22"/>
  <c r="U596" i="22"/>
  <c r="U597" i="22"/>
  <c r="U598" i="22"/>
  <c r="U599" i="22"/>
  <c r="U600" i="22"/>
  <c r="U601" i="22"/>
  <c r="U602" i="22"/>
  <c r="U603" i="22"/>
  <c r="U604" i="22"/>
  <c r="U605" i="22"/>
  <c r="U606" i="22"/>
  <c r="U607" i="22"/>
  <c r="U608" i="22"/>
  <c r="U609" i="22"/>
  <c r="U610" i="22"/>
  <c r="U611" i="22"/>
  <c r="U612" i="22"/>
  <c r="U613" i="22"/>
  <c r="U614" i="22"/>
  <c r="U615" i="22"/>
  <c r="U616" i="22"/>
  <c r="U617" i="22"/>
  <c r="U618" i="22"/>
  <c r="U619" i="22"/>
  <c r="U620" i="22"/>
  <c r="U621" i="22"/>
  <c r="U622" i="22"/>
  <c r="U623" i="22"/>
  <c r="U624" i="22"/>
  <c r="U625" i="22"/>
  <c r="U626" i="22"/>
  <c r="U627" i="22"/>
  <c r="U1" i="22"/>
  <c r="U22" i="22"/>
  <c r="T1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24" i="10"/>
  <c r="U25" i="10"/>
  <c r="U26" i="10"/>
  <c r="U27" i="10"/>
  <c r="U1" i="10"/>
  <c r="U1" i="9"/>
  <c r="U18" i="9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17" i="20"/>
  <c r="D26" i="3" l="1"/>
  <c r="H26" i="3"/>
  <c r="L26" i="3"/>
  <c r="P26" i="3"/>
  <c r="E26" i="3"/>
  <c r="I26" i="3"/>
  <c r="M26" i="3"/>
  <c r="Q26" i="3"/>
  <c r="F26" i="3"/>
  <c r="J26" i="3"/>
  <c r="N26" i="3"/>
  <c r="R26" i="3"/>
  <c r="C26" i="3"/>
  <c r="G26" i="3"/>
  <c r="K26" i="3"/>
  <c r="O26" i="3"/>
  <c r="B4" i="3"/>
  <c r="B3" i="3"/>
  <c r="B2" i="3"/>
  <c r="A1" i="7"/>
  <c r="A1" i="11" s="1"/>
  <c r="B1" i="7"/>
  <c r="B1" i="10" s="1"/>
  <c r="B1" i="22" s="1"/>
  <c r="C1" i="7"/>
  <c r="C1" i="9" s="1"/>
  <c r="D1" i="7"/>
  <c r="D1" i="9" s="1"/>
  <c r="E1" i="7"/>
  <c r="E1" i="11" s="1"/>
  <c r="F1" i="7"/>
  <c r="F1" i="9" s="1"/>
  <c r="G1" i="7"/>
  <c r="G1" i="11" s="1"/>
  <c r="H1" i="7"/>
  <c r="H1" i="9" s="1"/>
  <c r="I1" i="7"/>
  <c r="I1" i="9" s="1"/>
  <c r="J1" i="7"/>
  <c r="J1" i="10" s="1"/>
  <c r="J1" i="22" s="1"/>
  <c r="K1" i="7"/>
  <c r="K1" i="9" s="1"/>
  <c r="L1" i="7"/>
  <c r="L1" i="9" s="1"/>
  <c r="M1" i="7"/>
  <c r="M1" i="11" s="1"/>
  <c r="N1" i="7"/>
  <c r="N1" i="9" s="1"/>
  <c r="O1" i="7"/>
  <c r="O1" i="11" s="1"/>
  <c r="P1" i="7"/>
  <c r="P1" i="9" s="1"/>
  <c r="Q1" i="7"/>
  <c r="Q1" i="11" s="1"/>
  <c r="R1" i="7"/>
  <c r="R1" i="9" s="1"/>
  <c r="S1" i="7"/>
  <c r="S1" i="9" s="1"/>
  <c r="T1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1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F1" i="11" l="1"/>
  <c r="B1" i="9"/>
  <c r="R1" i="11"/>
  <c r="N1" i="10"/>
  <c r="N1" i="22" s="1"/>
  <c r="B1" i="11"/>
  <c r="F1" i="10"/>
  <c r="F1" i="22" s="1"/>
  <c r="J1" i="11"/>
  <c r="J1" i="9"/>
  <c r="N1" i="11"/>
  <c r="E1" i="10"/>
  <c r="E1" i="22" s="1"/>
  <c r="R1" i="10"/>
  <c r="R1" i="22" s="1"/>
  <c r="D3" i="3"/>
  <c r="M1" i="10"/>
  <c r="M1" i="22" s="1"/>
  <c r="Q1" i="10"/>
  <c r="Q1" i="22" s="1"/>
  <c r="I1" i="10"/>
  <c r="I1" i="22" s="1"/>
  <c r="A1" i="10"/>
  <c r="A1" i="22" s="1"/>
  <c r="M1" i="9"/>
  <c r="K1" i="10"/>
  <c r="K1" i="22" s="1"/>
  <c r="O1" i="10"/>
  <c r="O1" i="22" s="1"/>
  <c r="D1" i="11"/>
  <c r="L1" i="11"/>
  <c r="S1" i="10"/>
  <c r="S1" i="22" s="1"/>
  <c r="C1" i="10"/>
  <c r="C1" i="22" s="1"/>
  <c r="O1" i="9"/>
  <c r="G1" i="9"/>
  <c r="P1" i="11"/>
  <c r="H1" i="11"/>
  <c r="G1" i="10"/>
  <c r="G1" i="22" s="1"/>
  <c r="S1" i="11"/>
  <c r="K1" i="11"/>
  <c r="C1" i="11"/>
  <c r="Q1" i="9"/>
  <c r="A1" i="9"/>
  <c r="E1" i="9"/>
  <c r="I1" i="11"/>
  <c r="P1" i="10"/>
  <c r="P1" i="22" s="1"/>
  <c r="L1" i="10"/>
  <c r="L1" i="22" s="1"/>
  <c r="H1" i="10"/>
  <c r="H1" i="22" s="1"/>
  <c r="D1" i="10"/>
  <c r="D1" i="22" s="1"/>
  <c r="C7" i="2"/>
  <c r="C6" i="2"/>
  <c r="N6" i="2"/>
  <c r="U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T137" i="21"/>
  <c r="T138" i="21"/>
  <c r="T139" i="21"/>
  <c r="T140" i="21"/>
  <c r="T141" i="21"/>
  <c r="T142" i="21"/>
  <c r="T143" i="21"/>
  <c r="T144" i="21"/>
  <c r="T145" i="21"/>
  <c r="T146" i="21"/>
  <c r="T147" i="21"/>
  <c r="T148" i="21"/>
  <c r="T149" i="21"/>
  <c r="T150" i="21"/>
  <c r="T151" i="21"/>
  <c r="T152" i="21"/>
  <c r="T153" i="21"/>
  <c r="T154" i="21"/>
  <c r="T155" i="21"/>
  <c r="T156" i="21"/>
  <c r="T157" i="21"/>
  <c r="T158" i="21"/>
  <c r="T159" i="21"/>
  <c r="T160" i="21"/>
  <c r="T161" i="21"/>
  <c r="T162" i="21"/>
  <c r="T163" i="21"/>
  <c r="T164" i="21"/>
  <c r="T165" i="21"/>
  <c r="T166" i="21"/>
  <c r="T167" i="21"/>
  <c r="T168" i="21"/>
  <c r="T169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91" i="21"/>
  <c r="T192" i="21"/>
  <c r="T193" i="21"/>
  <c r="T194" i="21"/>
  <c r="T195" i="21"/>
  <c r="T196" i="21"/>
  <c r="T197" i="21"/>
  <c r="T198" i="21"/>
  <c r="T199" i="21"/>
  <c r="T200" i="21"/>
  <c r="T201" i="21"/>
  <c r="T202" i="21"/>
  <c r="T203" i="21"/>
  <c r="T204" i="21"/>
  <c r="T205" i="21"/>
  <c r="T206" i="21"/>
  <c r="T207" i="21"/>
  <c r="T208" i="21"/>
  <c r="T209" i="21"/>
  <c r="T210" i="21"/>
  <c r="T211" i="21"/>
  <c r="T212" i="21"/>
  <c r="T213" i="21"/>
  <c r="T214" i="21"/>
  <c r="T215" i="21"/>
  <c r="T216" i="21"/>
  <c r="T217" i="21"/>
  <c r="T218" i="21"/>
  <c r="T219" i="21"/>
  <c r="T220" i="21"/>
  <c r="T221" i="21"/>
  <c r="T222" i="21"/>
  <c r="T223" i="21"/>
  <c r="T224" i="21"/>
  <c r="T225" i="21"/>
  <c r="T226" i="21"/>
  <c r="T227" i="21"/>
  <c r="T228" i="21"/>
  <c r="T229" i="21"/>
  <c r="T230" i="21"/>
  <c r="T231" i="21"/>
  <c r="T232" i="21"/>
  <c r="T233" i="21"/>
  <c r="T234" i="21"/>
  <c r="T235" i="21"/>
  <c r="T236" i="21"/>
  <c r="T237" i="21"/>
  <c r="T238" i="21"/>
  <c r="T239" i="21"/>
  <c r="T240" i="21"/>
  <c r="T241" i="21"/>
  <c r="T242" i="21"/>
  <c r="T243" i="21"/>
  <c r="T244" i="21"/>
  <c r="T245" i="21"/>
  <c r="T246" i="21"/>
  <c r="T247" i="21"/>
  <c r="T248" i="21"/>
  <c r="T249" i="21"/>
  <c r="T250" i="21"/>
  <c r="T251" i="21"/>
  <c r="T252" i="21"/>
  <c r="T253" i="21"/>
  <c r="T254" i="21"/>
  <c r="T255" i="21"/>
  <c r="T256" i="21"/>
  <c r="T257" i="21"/>
  <c r="T258" i="21"/>
  <c r="T259" i="21"/>
  <c r="T260" i="21"/>
  <c r="T261" i="21"/>
  <c r="T262" i="21"/>
  <c r="T263" i="21"/>
  <c r="T264" i="21"/>
  <c r="T265" i="21"/>
  <c r="T266" i="21"/>
  <c r="T267" i="21"/>
  <c r="T268" i="21"/>
  <c r="T269" i="21"/>
  <c r="T270" i="21"/>
  <c r="T271" i="21"/>
  <c r="T272" i="21"/>
  <c r="T273" i="21"/>
  <c r="T274" i="21"/>
  <c r="T275" i="21"/>
  <c r="T276" i="21"/>
  <c r="T277" i="21"/>
  <c r="T278" i="21"/>
  <c r="T279" i="21"/>
  <c r="T280" i="21"/>
  <c r="T281" i="21"/>
  <c r="T282" i="21"/>
  <c r="T283" i="21"/>
  <c r="T284" i="21"/>
  <c r="T285" i="21"/>
  <c r="T286" i="21"/>
  <c r="T287" i="21"/>
  <c r="T288" i="21"/>
  <c r="T289" i="21"/>
  <c r="T290" i="21"/>
  <c r="T291" i="21"/>
  <c r="T292" i="21"/>
  <c r="T293" i="21"/>
  <c r="T294" i="21"/>
  <c r="T295" i="21"/>
  <c r="T296" i="21"/>
  <c r="T297" i="21"/>
  <c r="T298" i="21"/>
  <c r="T299" i="21"/>
  <c r="T300" i="21"/>
  <c r="T301" i="21"/>
  <c r="T302" i="21"/>
  <c r="T303" i="21"/>
  <c r="T304" i="21"/>
  <c r="T305" i="21"/>
  <c r="T306" i="21"/>
  <c r="T307" i="21"/>
  <c r="T308" i="21"/>
  <c r="T309" i="21"/>
  <c r="T310" i="21"/>
  <c r="T311" i="21"/>
  <c r="T312" i="21"/>
  <c r="T313" i="21"/>
  <c r="T314" i="21"/>
  <c r="T315" i="21"/>
  <c r="T316" i="21"/>
  <c r="T317" i="21"/>
  <c r="T318" i="21"/>
  <c r="T319" i="21"/>
  <c r="T320" i="21"/>
  <c r="T321" i="21"/>
  <c r="T322" i="21"/>
  <c r="T323" i="21"/>
  <c r="T324" i="21"/>
  <c r="T325" i="21"/>
  <c r="T326" i="21"/>
  <c r="T327" i="21"/>
  <c r="T328" i="21"/>
  <c r="T329" i="21"/>
  <c r="T330" i="21"/>
  <c r="T331" i="21"/>
  <c r="T332" i="21"/>
  <c r="T333" i="21"/>
  <c r="T334" i="21"/>
  <c r="T335" i="21"/>
  <c r="T336" i="21"/>
  <c r="T337" i="21"/>
  <c r="T338" i="21"/>
  <c r="T339" i="21"/>
  <c r="T340" i="21"/>
  <c r="T341" i="21"/>
  <c r="T342" i="21"/>
  <c r="T343" i="21"/>
  <c r="T344" i="21"/>
  <c r="T345" i="21"/>
  <c r="T346" i="21"/>
  <c r="T347" i="21"/>
  <c r="T348" i="21"/>
  <c r="T349" i="21"/>
  <c r="T350" i="21"/>
  <c r="T351" i="21"/>
  <c r="T352" i="21"/>
  <c r="T353" i="21"/>
  <c r="T354" i="21"/>
  <c r="T355" i="21"/>
  <c r="T356" i="21"/>
  <c r="T357" i="21"/>
  <c r="T358" i="21"/>
  <c r="T359" i="21"/>
  <c r="T360" i="21"/>
  <c r="T361" i="21"/>
  <c r="T362" i="21"/>
  <c r="T363" i="21"/>
  <c r="T364" i="21"/>
  <c r="T365" i="21"/>
  <c r="T366" i="21"/>
  <c r="T367" i="21"/>
  <c r="T368" i="21"/>
  <c r="T369" i="21"/>
  <c r="T370" i="21"/>
  <c r="T371" i="21"/>
  <c r="T372" i="21"/>
  <c r="T373" i="21"/>
  <c r="T374" i="21"/>
  <c r="T375" i="21"/>
  <c r="T376" i="21"/>
  <c r="T377" i="21"/>
  <c r="T378" i="21"/>
  <c r="T379" i="21"/>
  <c r="T380" i="21"/>
  <c r="T381" i="21"/>
  <c r="T382" i="21"/>
  <c r="T383" i="21"/>
  <c r="T384" i="21"/>
  <c r="T385" i="21"/>
  <c r="T386" i="21"/>
  <c r="T387" i="21"/>
  <c r="T388" i="21"/>
  <c r="T389" i="21"/>
  <c r="T390" i="21"/>
  <c r="T391" i="21"/>
  <c r="T392" i="21"/>
  <c r="T393" i="21"/>
  <c r="T394" i="21"/>
  <c r="T395" i="21"/>
  <c r="T396" i="21"/>
  <c r="T397" i="21"/>
  <c r="T398" i="21"/>
  <c r="T399" i="21"/>
  <c r="T400" i="21"/>
  <c r="T401" i="21"/>
  <c r="T402" i="21"/>
  <c r="T403" i="21"/>
  <c r="T404" i="21"/>
  <c r="T405" i="21"/>
  <c r="T406" i="21"/>
  <c r="T407" i="21"/>
  <c r="T408" i="21"/>
  <c r="T409" i="21"/>
  <c r="T410" i="21"/>
  <c r="T411" i="21"/>
  <c r="T412" i="21"/>
  <c r="T413" i="21"/>
  <c r="T414" i="21"/>
  <c r="T415" i="21"/>
  <c r="T416" i="21"/>
  <c r="T417" i="21"/>
  <c r="T418" i="21"/>
  <c r="T419" i="21"/>
  <c r="T420" i="21"/>
  <c r="T421" i="21"/>
  <c r="T422" i="21"/>
  <c r="T423" i="21"/>
  <c r="T424" i="21"/>
  <c r="T425" i="21"/>
  <c r="T426" i="21"/>
  <c r="T427" i="21"/>
  <c r="T428" i="21"/>
  <c r="T429" i="21"/>
  <c r="T430" i="21"/>
  <c r="T431" i="21"/>
  <c r="T432" i="21"/>
  <c r="T433" i="21"/>
  <c r="T434" i="21"/>
  <c r="T435" i="21"/>
  <c r="T436" i="21"/>
  <c r="T437" i="21"/>
  <c r="T438" i="21"/>
  <c r="T439" i="21"/>
  <c r="T440" i="21"/>
  <c r="T441" i="21"/>
  <c r="T442" i="21"/>
  <c r="T443" i="21"/>
  <c r="T444" i="21"/>
  <c r="T445" i="21"/>
  <c r="T446" i="21"/>
  <c r="T447" i="21"/>
  <c r="T448" i="21"/>
  <c r="T449" i="21"/>
  <c r="T450" i="21"/>
  <c r="T451" i="21"/>
  <c r="T452" i="21"/>
  <c r="T453" i="21"/>
  <c r="T454" i="21"/>
  <c r="T455" i="21"/>
  <c r="T456" i="21"/>
  <c r="T457" i="21"/>
  <c r="T458" i="21"/>
  <c r="T459" i="21"/>
  <c r="T460" i="21"/>
  <c r="T461" i="21"/>
  <c r="T462" i="21"/>
  <c r="T463" i="21"/>
  <c r="T464" i="21"/>
  <c r="T465" i="21"/>
  <c r="T466" i="21"/>
  <c r="T467" i="21"/>
  <c r="T468" i="21"/>
  <c r="T469" i="21"/>
  <c r="T470" i="21"/>
  <c r="T471" i="21"/>
  <c r="T472" i="21"/>
  <c r="T473" i="21"/>
  <c r="T474" i="21"/>
  <c r="T475" i="21"/>
  <c r="T476" i="21"/>
  <c r="T477" i="21"/>
  <c r="T478" i="21"/>
  <c r="T479" i="21"/>
  <c r="T480" i="21"/>
  <c r="T1" i="21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T65" i="20"/>
  <c r="T66" i="20"/>
  <c r="T67" i="20"/>
  <c r="T68" i="20"/>
  <c r="T69" i="20"/>
  <c r="T70" i="20"/>
  <c r="T71" i="20"/>
  <c r="T72" i="20"/>
  <c r="T73" i="20"/>
  <c r="T74" i="20"/>
  <c r="T75" i="20"/>
  <c r="T76" i="20"/>
  <c r="T77" i="20"/>
  <c r="T78" i="20"/>
  <c r="T79" i="20"/>
  <c r="T80" i="20"/>
  <c r="T81" i="20"/>
  <c r="T82" i="20"/>
  <c r="T83" i="20"/>
  <c r="T84" i="20"/>
  <c r="T85" i="20"/>
  <c r="T86" i="20"/>
  <c r="T87" i="20"/>
  <c r="T88" i="20"/>
  <c r="T89" i="20"/>
  <c r="T90" i="20"/>
  <c r="T91" i="20"/>
  <c r="T92" i="20"/>
  <c r="T93" i="20"/>
  <c r="T94" i="20"/>
  <c r="T95" i="20"/>
  <c r="T96" i="20"/>
  <c r="T97" i="20"/>
  <c r="T98" i="20"/>
  <c r="T99" i="20"/>
  <c r="T100" i="20"/>
  <c r="T101" i="20"/>
  <c r="T102" i="20"/>
  <c r="T103" i="20"/>
  <c r="T104" i="20"/>
  <c r="T105" i="20"/>
  <c r="T106" i="20"/>
  <c r="T107" i="20"/>
  <c r="T108" i="20"/>
  <c r="T109" i="20"/>
  <c r="T110" i="20"/>
  <c r="T111" i="20"/>
  <c r="T112" i="20"/>
  <c r="T113" i="20"/>
  <c r="T114" i="20"/>
  <c r="T115" i="20"/>
  <c r="T116" i="20"/>
  <c r="T117" i="20"/>
  <c r="T118" i="20"/>
  <c r="T119" i="20"/>
  <c r="T120" i="20"/>
  <c r="T121" i="20"/>
  <c r="T122" i="20"/>
  <c r="T123" i="20"/>
  <c r="T124" i="20"/>
  <c r="T125" i="20"/>
  <c r="T126" i="20"/>
  <c r="T127" i="20"/>
  <c r="T128" i="20"/>
  <c r="T129" i="20"/>
  <c r="T130" i="20"/>
  <c r="T131" i="20"/>
  <c r="T132" i="20"/>
  <c r="T133" i="20"/>
  <c r="T134" i="20"/>
  <c r="T135" i="20"/>
  <c r="T136" i="20"/>
  <c r="T137" i="20"/>
  <c r="T138" i="20"/>
  <c r="T139" i="20"/>
  <c r="T140" i="20"/>
  <c r="T141" i="20"/>
  <c r="T142" i="20"/>
  <c r="T143" i="20"/>
  <c r="T144" i="20"/>
  <c r="T145" i="20"/>
  <c r="T146" i="20"/>
  <c r="T147" i="20"/>
  <c r="T148" i="20"/>
  <c r="T149" i="20"/>
  <c r="T150" i="20"/>
  <c r="T151" i="20"/>
  <c r="T152" i="20"/>
  <c r="T153" i="20"/>
  <c r="T154" i="20"/>
  <c r="T155" i="20"/>
  <c r="T156" i="20"/>
  <c r="T157" i="20"/>
  <c r="T158" i="20"/>
  <c r="T159" i="20"/>
  <c r="T160" i="20"/>
  <c r="T161" i="20"/>
  <c r="T162" i="20"/>
  <c r="T163" i="20"/>
  <c r="T164" i="20"/>
  <c r="T165" i="20"/>
  <c r="T166" i="20"/>
  <c r="T167" i="20"/>
  <c r="T168" i="20"/>
  <c r="T169" i="20"/>
  <c r="T170" i="20"/>
  <c r="T171" i="20"/>
  <c r="T172" i="20"/>
  <c r="T173" i="20"/>
  <c r="T174" i="20"/>
  <c r="T175" i="20"/>
  <c r="T176" i="20"/>
  <c r="T177" i="20"/>
  <c r="T178" i="20"/>
  <c r="T179" i="20"/>
  <c r="T180" i="20"/>
  <c r="T181" i="20"/>
  <c r="T182" i="20"/>
  <c r="T183" i="20"/>
  <c r="T184" i="20"/>
  <c r="T185" i="20"/>
  <c r="T186" i="20"/>
  <c r="T187" i="20"/>
  <c r="T188" i="20"/>
  <c r="T189" i="20"/>
  <c r="T190" i="20"/>
  <c r="T191" i="20"/>
  <c r="T192" i="20"/>
  <c r="T193" i="20"/>
  <c r="T194" i="20"/>
  <c r="T195" i="20"/>
  <c r="T196" i="20"/>
  <c r="T197" i="20"/>
  <c r="T198" i="20"/>
  <c r="T199" i="20"/>
  <c r="T200" i="20"/>
  <c r="T201" i="20"/>
  <c r="T202" i="20"/>
  <c r="T203" i="20"/>
  <c r="T204" i="20"/>
  <c r="T205" i="20"/>
  <c r="T206" i="20"/>
  <c r="T207" i="20"/>
  <c r="T208" i="20"/>
  <c r="T209" i="20"/>
  <c r="T210" i="20"/>
  <c r="T211" i="20"/>
  <c r="T212" i="20"/>
  <c r="T213" i="20"/>
  <c r="T214" i="20"/>
  <c r="T215" i="20"/>
  <c r="T216" i="20"/>
  <c r="T217" i="20"/>
  <c r="T218" i="20"/>
  <c r="T219" i="20"/>
  <c r="T220" i="20"/>
  <c r="T221" i="20"/>
  <c r="T222" i="20"/>
  <c r="T223" i="20"/>
  <c r="T224" i="20"/>
  <c r="T225" i="20"/>
  <c r="T226" i="20"/>
  <c r="T227" i="20"/>
  <c r="T228" i="20"/>
  <c r="T229" i="20"/>
  <c r="T230" i="20"/>
  <c r="T231" i="20"/>
  <c r="T232" i="20"/>
  <c r="T233" i="20"/>
  <c r="T234" i="20"/>
  <c r="T235" i="20"/>
  <c r="T236" i="20"/>
  <c r="T237" i="20"/>
  <c r="T238" i="20"/>
  <c r="T239" i="20"/>
  <c r="T240" i="20"/>
  <c r="T241" i="20"/>
  <c r="T242" i="20"/>
  <c r="T243" i="20"/>
  <c r="T244" i="20"/>
  <c r="T245" i="20"/>
  <c r="T246" i="20"/>
  <c r="T247" i="20"/>
  <c r="T248" i="20"/>
  <c r="T249" i="20"/>
  <c r="T250" i="20"/>
  <c r="T251" i="20"/>
  <c r="T252" i="20"/>
  <c r="T253" i="20"/>
  <c r="T254" i="20"/>
  <c r="T255" i="20"/>
  <c r="T256" i="20"/>
  <c r="T257" i="20"/>
  <c r="T258" i="20"/>
  <c r="T259" i="20"/>
  <c r="T260" i="20"/>
  <c r="T261" i="20"/>
  <c r="T262" i="20"/>
  <c r="T263" i="20"/>
  <c r="T264" i="20"/>
  <c r="T265" i="20"/>
  <c r="T266" i="20"/>
  <c r="T267" i="20"/>
  <c r="T268" i="20"/>
  <c r="T269" i="20"/>
  <c r="T270" i="20"/>
  <c r="T271" i="20"/>
  <c r="T272" i="20"/>
  <c r="T273" i="20"/>
  <c r="T274" i="20"/>
  <c r="T275" i="20"/>
  <c r="T276" i="20"/>
  <c r="T277" i="20"/>
  <c r="T278" i="20"/>
  <c r="T279" i="20"/>
  <c r="T280" i="20"/>
  <c r="T281" i="20"/>
  <c r="T282" i="20"/>
  <c r="T283" i="20"/>
  <c r="T284" i="20"/>
  <c r="T285" i="20"/>
  <c r="T286" i="20"/>
  <c r="T287" i="20"/>
  <c r="T288" i="20"/>
  <c r="T289" i="20"/>
  <c r="T290" i="20"/>
  <c r="T291" i="20"/>
  <c r="T292" i="20"/>
  <c r="T293" i="20"/>
  <c r="T294" i="20"/>
  <c r="T295" i="20"/>
  <c r="T296" i="20"/>
  <c r="T297" i="20"/>
  <c r="T298" i="20"/>
  <c r="T299" i="20"/>
  <c r="T300" i="20"/>
  <c r="T301" i="20"/>
  <c r="T302" i="20"/>
  <c r="T303" i="20"/>
  <c r="T304" i="20"/>
  <c r="T305" i="20"/>
  <c r="T306" i="20"/>
  <c r="T307" i="20"/>
  <c r="T308" i="20"/>
  <c r="T309" i="20"/>
  <c r="T310" i="20"/>
  <c r="T311" i="20"/>
  <c r="T312" i="20"/>
  <c r="T313" i="20"/>
  <c r="T314" i="20"/>
  <c r="T315" i="20"/>
  <c r="T316" i="20"/>
  <c r="T317" i="20"/>
  <c r="T318" i="20"/>
  <c r="T319" i="20"/>
  <c r="T320" i="20"/>
  <c r="T321" i="20"/>
  <c r="T322" i="20"/>
  <c r="T323" i="20"/>
  <c r="T324" i="20"/>
  <c r="T325" i="20"/>
  <c r="T326" i="20"/>
  <c r="T327" i="20"/>
  <c r="T328" i="20"/>
  <c r="T329" i="20"/>
  <c r="T330" i="20"/>
  <c r="T331" i="20"/>
  <c r="T332" i="20"/>
  <c r="T333" i="20"/>
  <c r="T334" i="20"/>
  <c r="T335" i="20"/>
  <c r="T336" i="20"/>
  <c r="T337" i="20"/>
  <c r="T338" i="20"/>
  <c r="T339" i="20"/>
  <c r="T340" i="20"/>
  <c r="T341" i="20"/>
  <c r="T342" i="20"/>
  <c r="T343" i="20"/>
  <c r="T344" i="20"/>
  <c r="T345" i="20"/>
  <c r="T346" i="20"/>
  <c r="T347" i="20"/>
  <c r="T348" i="20"/>
  <c r="T349" i="20"/>
  <c r="T350" i="20"/>
  <c r="T351" i="20"/>
  <c r="T352" i="20"/>
  <c r="T353" i="20"/>
  <c r="T354" i="20"/>
  <c r="T355" i="20"/>
  <c r="T356" i="20"/>
  <c r="T357" i="20"/>
  <c r="T358" i="20"/>
  <c r="T359" i="20"/>
  <c r="T360" i="20"/>
  <c r="T361" i="20"/>
  <c r="T362" i="20"/>
  <c r="T363" i="20"/>
  <c r="T364" i="20"/>
  <c r="T365" i="20"/>
  <c r="T366" i="20"/>
  <c r="T367" i="20"/>
  <c r="T368" i="20"/>
  <c r="T369" i="20"/>
  <c r="T370" i="20"/>
  <c r="T371" i="20"/>
  <c r="T372" i="20"/>
  <c r="T373" i="20"/>
  <c r="T374" i="20"/>
  <c r="T375" i="20"/>
  <c r="T376" i="20"/>
  <c r="T377" i="20"/>
  <c r="T378" i="20"/>
  <c r="T379" i="20"/>
  <c r="T380" i="20"/>
  <c r="T381" i="20"/>
  <c r="T382" i="20"/>
  <c r="T383" i="20"/>
  <c r="T384" i="20"/>
  <c r="T385" i="20"/>
  <c r="T386" i="20"/>
  <c r="T387" i="20"/>
  <c r="T388" i="20"/>
  <c r="T389" i="20"/>
  <c r="T390" i="20"/>
  <c r="T391" i="20"/>
  <c r="T392" i="20"/>
  <c r="T393" i="20"/>
  <c r="T394" i="20"/>
  <c r="T395" i="20"/>
  <c r="T396" i="20"/>
  <c r="T397" i="20"/>
  <c r="T398" i="20"/>
  <c r="T399" i="20"/>
  <c r="T400" i="20"/>
  <c r="T401" i="20"/>
  <c r="T402" i="20"/>
  <c r="T403" i="20"/>
  <c r="T404" i="20"/>
  <c r="T405" i="20"/>
  <c r="T406" i="20"/>
  <c r="T407" i="20"/>
  <c r="T408" i="20"/>
  <c r="T409" i="20"/>
  <c r="T410" i="20"/>
  <c r="T411" i="20"/>
  <c r="T412" i="20"/>
  <c r="T413" i="20"/>
  <c r="T414" i="20"/>
  <c r="T415" i="20"/>
  <c r="T416" i="20"/>
  <c r="T417" i="20"/>
  <c r="T418" i="20"/>
  <c r="T419" i="20"/>
  <c r="T420" i="20"/>
  <c r="T421" i="20"/>
  <c r="T422" i="20"/>
  <c r="T423" i="20"/>
  <c r="T424" i="20"/>
  <c r="T425" i="20"/>
  <c r="T426" i="20"/>
  <c r="T427" i="20"/>
  <c r="T428" i="20"/>
  <c r="T429" i="20"/>
  <c r="T430" i="20"/>
  <c r="T431" i="20"/>
  <c r="T432" i="20"/>
  <c r="T433" i="20"/>
  <c r="T434" i="20"/>
  <c r="T435" i="20"/>
  <c r="T436" i="20"/>
  <c r="T437" i="20"/>
  <c r="T438" i="20"/>
  <c r="T439" i="20"/>
  <c r="T440" i="20"/>
  <c r="T441" i="20"/>
  <c r="T442" i="20"/>
  <c r="T443" i="20"/>
  <c r="T1" i="20"/>
  <c r="U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7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2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7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7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7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T467" i="19"/>
  <c r="T468" i="19"/>
  <c r="T469" i="19"/>
  <c r="T470" i="19"/>
  <c r="T471" i="19"/>
  <c r="T472" i="19"/>
  <c r="T473" i="19"/>
  <c r="T474" i="19"/>
  <c r="T475" i="19"/>
  <c r="T476" i="19"/>
  <c r="T477" i="19"/>
  <c r="T478" i="19"/>
  <c r="T479" i="19"/>
  <c r="T480" i="19"/>
  <c r="T481" i="19"/>
  <c r="T482" i="19"/>
  <c r="T483" i="19"/>
  <c r="T484" i="19"/>
  <c r="T485" i="19"/>
  <c r="T486" i="19"/>
  <c r="T487" i="19"/>
  <c r="T488" i="19"/>
  <c r="T489" i="19"/>
  <c r="T490" i="19"/>
  <c r="T491" i="19"/>
  <c r="T492" i="19"/>
  <c r="T493" i="19"/>
  <c r="T494" i="19"/>
  <c r="T495" i="19"/>
  <c r="T496" i="19"/>
  <c r="T497" i="19"/>
  <c r="T498" i="19"/>
  <c r="T499" i="19"/>
  <c r="T500" i="19"/>
  <c r="T501" i="19"/>
  <c r="T502" i="19"/>
  <c r="T503" i="19"/>
  <c r="T504" i="19"/>
  <c r="T505" i="19"/>
  <c r="T506" i="19"/>
  <c r="T507" i="19"/>
  <c r="T508" i="19"/>
  <c r="T509" i="19"/>
  <c r="T510" i="19"/>
  <c r="T511" i="19"/>
  <c r="T512" i="19"/>
  <c r="T513" i="19"/>
  <c r="T514" i="19"/>
  <c r="T515" i="19"/>
  <c r="T516" i="19"/>
  <c r="T517" i="19"/>
  <c r="T518" i="19"/>
  <c r="T519" i="19"/>
  <c r="T520" i="19"/>
  <c r="T521" i="19"/>
  <c r="T522" i="19"/>
  <c r="T523" i="19"/>
  <c r="T524" i="19"/>
  <c r="T525" i="19"/>
  <c r="T526" i="19"/>
  <c r="T527" i="19"/>
  <c r="T528" i="19"/>
  <c r="T529" i="19"/>
  <c r="T530" i="19"/>
  <c r="T531" i="19"/>
  <c r="T532" i="19"/>
  <c r="T533" i="19"/>
  <c r="T534" i="19"/>
  <c r="T535" i="19"/>
  <c r="T536" i="19"/>
  <c r="T537" i="19"/>
  <c r="T538" i="19"/>
  <c r="T539" i="19"/>
  <c r="T540" i="19"/>
  <c r="T541" i="19"/>
  <c r="T542" i="19"/>
  <c r="T543" i="19"/>
  <c r="T544" i="19"/>
  <c r="T545" i="19"/>
  <c r="T546" i="19"/>
  <c r="T547" i="19"/>
  <c r="T548" i="19"/>
  <c r="T549" i="19"/>
  <c r="T550" i="19"/>
  <c r="T551" i="19"/>
  <c r="T552" i="19"/>
  <c r="T553" i="19"/>
  <c r="T554" i="19"/>
  <c r="T555" i="19"/>
  <c r="T556" i="19"/>
  <c r="T557" i="19"/>
  <c r="T558" i="19"/>
  <c r="T559" i="19"/>
  <c r="T560" i="19"/>
  <c r="T561" i="19"/>
  <c r="T562" i="19"/>
  <c r="T563" i="19"/>
  <c r="T564" i="19"/>
  <c r="T1" i="19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7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7" i="18"/>
  <c r="T458" i="18"/>
  <c r="T459" i="18"/>
  <c r="T460" i="18"/>
  <c r="T461" i="18"/>
  <c r="T462" i="18"/>
  <c r="T463" i="18"/>
  <c r="T464" i="18"/>
  <c r="T465" i="18"/>
  <c r="T466" i="18"/>
  <c r="T467" i="18"/>
  <c r="T1" i="18"/>
  <c r="U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204" i="17"/>
  <c r="T205" i="17"/>
  <c r="T206" i="17"/>
  <c r="T207" i="17"/>
  <c r="T208" i="17"/>
  <c r="T209" i="17"/>
  <c r="T210" i="17"/>
  <c r="T211" i="17"/>
  <c r="T212" i="17"/>
  <c r="T213" i="17"/>
  <c r="T214" i="17"/>
  <c r="T215" i="17"/>
  <c r="T216" i="17"/>
  <c r="T217" i="17"/>
  <c r="T218" i="17"/>
  <c r="T219" i="17"/>
  <c r="T220" i="17"/>
  <c r="T221" i="17"/>
  <c r="T222" i="17"/>
  <c r="T223" i="17"/>
  <c r="T224" i="17"/>
  <c r="T225" i="17"/>
  <c r="T226" i="17"/>
  <c r="T227" i="17"/>
  <c r="T228" i="17"/>
  <c r="T229" i="17"/>
  <c r="T230" i="17"/>
  <c r="T231" i="17"/>
  <c r="T232" i="17"/>
  <c r="T233" i="17"/>
  <c r="T234" i="17"/>
  <c r="T235" i="17"/>
  <c r="T236" i="17"/>
  <c r="T237" i="17"/>
  <c r="T238" i="17"/>
  <c r="T239" i="17"/>
  <c r="T240" i="17"/>
  <c r="T241" i="17"/>
  <c r="T242" i="17"/>
  <c r="T243" i="17"/>
  <c r="T244" i="17"/>
  <c r="T245" i="17"/>
  <c r="T246" i="17"/>
  <c r="T247" i="17"/>
  <c r="T248" i="17"/>
  <c r="T249" i="17"/>
  <c r="T250" i="17"/>
  <c r="T251" i="17"/>
  <c r="T252" i="17"/>
  <c r="T253" i="17"/>
  <c r="T254" i="17"/>
  <c r="T255" i="17"/>
  <c r="T256" i="17"/>
  <c r="T257" i="17"/>
  <c r="T258" i="17"/>
  <c r="T259" i="17"/>
  <c r="T260" i="17"/>
  <c r="T261" i="17"/>
  <c r="T262" i="17"/>
  <c r="T263" i="17"/>
  <c r="T264" i="17"/>
  <c r="T265" i="17"/>
  <c r="T266" i="17"/>
  <c r="T267" i="17"/>
  <c r="T268" i="17"/>
  <c r="T269" i="17"/>
  <c r="T270" i="17"/>
  <c r="T271" i="17"/>
  <c r="T272" i="17"/>
  <c r="T273" i="17"/>
  <c r="T274" i="17"/>
  <c r="T275" i="17"/>
  <c r="T276" i="17"/>
  <c r="T277" i="17"/>
  <c r="T278" i="17"/>
  <c r="T279" i="17"/>
  <c r="T280" i="17"/>
  <c r="T281" i="17"/>
  <c r="T282" i="17"/>
  <c r="T283" i="17"/>
  <c r="T284" i="17"/>
  <c r="T285" i="17"/>
  <c r="T286" i="17"/>
  <c r="T287" i="17"/>
  <c r="T288" i="17"/>
  <c r="T289" i="17"/>
  <c r="T290" i="17"/>
  <c r="T291" i="17"/>
  <c r="T292" i="17"/>
  <c r="T293" i="17"/>
  <c r="T294" i="17"/>
  <c r="T295" i="17"/>
  <c r="T296" i="17"/>
  <c r="T297" i="17"/>
  <c r="T298" i="17"/>
  <c r="T299" i="17"/>
  <c r="T300" i="17"/>
  <c r="T301" i="17"/>
  <c r="T302" i="17"/>
  <c r="T303" i="17"/>
  <c r="T304" i="17"/>
  <c r="T305" i="17"/>
  <c r="T306" i="17"/>
  <c r="T307" i="17"/>
  <c r="T308" i="17"/>
  <c r="T309" i="17"/>
  <c r="T310" i="17"/>
  <c r="T311" i="17"/>
  <c r="T312" i="17"/>
  <c r="T313" i="17"/>
  <c r="T314" i="17"/>
  <c r="T315" i="17"/>
  <c r="T316" i="17"/>
  <c r="T317" i="17"/>
  <c r="T318" i="17"/>
  <c r="T319" i="17"/>
  <c r="T320" i="17"/>
  <c r="T321" i="17"/>
  <c r="T322" i="17"/>
  <c r="T323" i="17"/>
  <c r="T324" i="17"/>
  <c r="T325" i="17"/>
  <c r="T326" i="17"/>
  <c r="T327" i="17"/>
  <c r="T328" i="17"/>
  <c r="T329" i="17"/>
  <c r="T330" i="17"/>
  <c r="T331" i="17"/>
  <c r="T332" i="17"/>
  <c r="T333" i="17"/>
  <c r="T334" i="17"/>
  <c r="T335" i="17"/>
  <c r="T336" i="17"/>
  <c r="T337" i="17"/>
  <c r="T338" i="17"/>
  <c r="T339" i="17"/>
  <c r="T340" i="17"/>
  <c r="T341" i="17"/>
  <c r="T342" i="17"/>
  <c r="T343" i="17"/>
  <c r="T344" i="17"/>
  <c r="T345" i="17"/>
  <c r="T346" i="17"/>
  <c r="T347" i="17"/>
  <c r="T348" i="17"/>
  <c r="T349" i="17"/>
  <c r="T350" i="17"/>
  <c r="T351" i="17"/>
  <c r="T352" i="17"/>
  <c r="T353" i="17"/>
  <c r="T354" i="17"/>
  <c r="T355" i="17"/>
  <c r="T356" i="17"/>
  <c r="T357" i="17"/>
  <c r="T358" i="17"/>
  <c r="T359" i="17"/>
  <c r="T360" i="17"/>
  <c r="T361" i="17"/>
  <c r="T362" i="17"/>
  <c r="T363" i="17"/>
  <c r="T364" i="17"/>
  <c r="T365" i="17"/>
  <c r="T366" i="17"/>
  <c r="T367" i="17"/>
  <c r="T368" i="17"/>
  <c r="T369" i="17"/>
  <c r="T370" i="17"/>
  <c r="T371" i="17"/>
  <c r="T372" i="17"/>
  <c r="T373" i="17"/>
  <c r="T374" i="17"/>
  <c r="T375" i="17"/>
  <c r="T376" i="17"/>
  <c r="T377" i="17"/>
  <c r="T378" i="17"/>
  <c r="T379" i="17"/>
  <c r="T380" i="17"/>
  <c r="T381" i="17"/>
  <c r="T382" i="17"/>
  <c r="T383" i="17"/>
  <c r="T384" i="17"/>
  <c r="T385" i="17"/>
  <c r="T386" i="17"/>
  <c r="T387" i="17"/>
  <c r="T388" i="17"/>
  <c r="T389" i="17"/>
  <c r="T390" i="17"/>
  <c r="T391" i="17"/>
  <c r="T392" i="17"/>
  <c r="T393" i="17"/>
  <c r="T394" i="17"/>
  <c r="T395" i="17"/>
  <c r="T396" i="17"/>
  <c r="T397" i="17"/>
  <c r="T398" i="17"/>
  <c r="T399" i="17"/>
  <c r="T400" i="17"/>
  <c r="T401" i="17"/>
  <c r="T402" i="17"/>
  <c r="T403" i="17"/>
  <c r="T404" i="17"/>
  <c r="T405" i="17"/>
  <c r="T406" i="17"/>
  <c r="T407" i="17"/>
  <c r="T408" i="17"/>
  <c r="T409" i="17"/>
  <c r="T410" i="17"/>
  <c r="T411" i="17"/>
  <c r="T412" i="17"/>
  <c r="T413" i="17"/>
  <c r="T414" i="17"/>
  <c r="T415" i="17"/>
  <c r="T416" i="17"/>
  <c r="T417" i="17"/>
  <c r="T1" i="17"/>
  <c r="U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1" i="16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" i="15"/>
  <c r="T1" i="14"/>
  <c r="U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40" i="14"/>
  <c r="T41" i="14"/>
  <c r="T42" i="14"/>
  <c r="T43" i="14"/>
  <c r="T44" i="14"/>
  <c r="T45" i="14"/>
  <c r="T46" i="14"/>
  <c r="T47" i="14"/>
  <c r="T48" i="14"/>
  <c r="T49" i="14"/>
  <c r="T50" i="14"/>
  <c r="T51" i="14"/>
  <c r="T52" i="14"/>
  <c r="T53" i="14"/>
  <c r="T54" i="14"/>
  <c r="T55" i="14"/>
  <c r="T56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6" i="14"/>
  <c r="T77" i="14"/>
  <c r="T78" i="14"/>
  <c r="T79" i="14"/>
  <c r="T80" i="14"/>
  <c r="T81" i="14"/>
  <c r="T82" i="14"/>
  <c r="T83" i="14"/>
  <c r="T84" i="14"/>
  <c r="T85" i="14"/>
  <c r="T86" i="14"/>
  <c r="T87" i="14"/>
  <c r="T88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6" i="14"/>
  <c r="T107" i="14"/>
  <c r="T108" i="14"/>
  <c r="T109" i="14"/>
  <c r="T110" i="14"/>
  <c r="T111" i="14"/>
  <c r="T112" i="14"/>
  <c r="T113" i="14"/>
  <c r="T114" i="14"/>
  <c r="T115" i="14"/>
  <c r="T116" i="14"/>
  <c r="T117" i="14"/>
  <c r="T118" i="14"/>
  <c r="T119" i="14"/>
  <c r="T120" i="14"/>
  <c r="T121" i="14"/>
  <c r="T122" i="14"/>
  <c r="T123" i="14"/>
  <c r="T124" i="14"/>
  <c r="T125" i="14"/>
  <c r="T126" i="14"/>
  <c r="T127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5" i="14"/>
  <c r="T146" i="14"/>
  <c r="T147" i="14"/>
  <c r="T148" i="14"/>
  <c r="T149" i="14"/>
  <c r="T150" i="14"/>
  <c r="T151" i="14"/>
  <c r="T152" i="14"/>
  <c r="T153" i="14"/>
  <c r="T154" i="14"/>
  <c r="T155" i="14"/>
  <c r="T156" i="14"/>
  <c r="T157" i="14"/>
  <c r="T158" i="14"/>
  <c r="T159" i="14"/>
  <c r="T160" i="14"/>
  <c r="T161" i="14"/>
  <c r="T162" i="14"/>
  <c r="T163" i="14"/>
  <c r="T164" i="14"/>
  <c r="T165" i="14"/>
  <c r="T166" i="14"/>
  <c r="T167" i="14"/>
  <c r="T168" i="14"/>
  <c r="T169" i="14"/>
  <c r="T170" i="14"/>
  <c r="T171" i="14"/>
  <c r="T172" i="14"/>
  <c r="T173" i="14"/>
  <c r="T174" i="14"/>
  <c r="T175" i="14"/>
  <c r="T176" i="14"/>
  <c r="T177" i="14"/>
  <c r="T178" i="14"/>
  <c r="T179" i="14"/>
  <c r="T180" i="14"/>
  <c r="T181" i="14"/>
  <c r="T182" i="14"/>
  <c r="T183" i="14"/>
  <c r="T184" i="14"/>
  <c r="T185" i="14"/>
  <c r="T186" i="14"/>
  <c r="T187" i="14"/>
  <c r="T188" i="14"/>
  <c r="T189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6" i="14"/>
  <c r="T217" i="14"/>
  <c r="T218" i="14"/>
  <c r="T219" i="14"/>
  <c r="T220" i="14"/>
  <c r="T221" i="14"/>
  <c r="T222" i="14"/>
  <c r="T223" i="14"/>
  <c r="T224" i="14"/>
  <c r="T225" i="14"/>
  <c r="T226" i="14"/>
  <c r="T227" i="14"/>
  <c r="T228" i="14"/>
  <c r="T229" i="14"/>
  <c r="T230" i="14"/>
  <c r="T231" i="14"/>
  <c r="T232" i="14"/>
  <c r="T233" i="14"/>
  <c r="T234" i="14"/>
  <c r="T235" i="14"/>
  <c r="T236" i="14"/>
  <c r="T237" i="14"/>
  <c r="T238" i="14"/>
  <c r="T239" i="14"/>
  <c r="T240" i="14"/>
  <c r="T241" i="14"/>
  <c r="T242" i="14"/>
  <c r="T243" i="14"/>
  <c r="T244" i="14"/>
  <c r="T245" i="14"/>
  <c r="T246" i="14"/>
  <c r="T247" i="14"/>
  <c r="T248" i="14"/>
  <c r="T249" i="14"/>
  <c r="T250" i="14"/>
  <c r="T251" i="14"/>
  <c r="T252" i="14"/>
  <c r="T253" i="14"/>
  <c r="T254" i="14"/>
  <c r="T255" i="14"/>
  <c r="T256" i="14"/>
  <c r="T257" i="14"/>
  <c r="T258" i="14"/>
  <c r="T259" i="14"/>
  <c r="T260" i="14"/>
  <c r="T261" i="14"/>
  <c r="T262" i="14"/>
  <c r="T263" i="14"/>
  <c r="T264" i="14"/>
  <c r="T265" i="14"/>
  <c r="T266" i="14"/>
  <c r="T267" i="14"/>
  <c r="T268" i="14"/>
  <c r="T269" i="14"/>
  <c r="T270" i="14"/>
  <c r="T271" i="14"/>
  <c r="T272" i="14"/>
  <c r="T273" i="14"/>
  <c r="T274" i="14"/>
  <c r="T275" i="14"/>
  <c r="T276" i="14"/>
  <c r="T277" i="14"/>
  <c r="T278" i="14"/>
  <c r="T279" i="14"/>
  <c r="T280" i="14"/>
  <c r="T281" i="14"/>
  <c r="T282" i="14"/>
  <c r="T283" i="14"/>
  <c r="T284" i="14"/>
  <c r="T285" i="14"/>
  <c r="T286" i="14"/>
  <c r="T287" i="14"/>
  <c r="T288" i="14"/>
  <c r="T289" i="14"/>
  <c r="T290" i="14"/>
  <c r="T291" i="14"/>
  <c r="T292" i="14"/>
  <c r="T293" i="14"/>
  <c r="T294" i="14"/>
  <c r="T295" i="14"/>
  <c r="T296" i="14"/>
  <c r="T297" i="14"/>
  <c r="T298" i="14"/>
  <c r="T299" i="14"/>
  <c r="T300" i="14"/>
  <c r="U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4" i="13"/>
  <c r="T135" i="13"/>
  <c r="T136" i="13"/>
  <c r="T137" i="13"/>
  <c r="T138" i="13"/>
  <c r="T139" i="13"/>
  <c r="T140" i="13"/>
  <c r="T141" i="13"/>
  <c r="T142" i="13"/>
  <c r="T143" i="13"/>
  <c r="T144" i="13"/>
  <c r="T145" i="13"/>
  <c r="T146" i="13"/>
  <c r="T147" i="13"/>
  <c r="T148" i="13"/>
  <c r="T149" i="13"/>
  <c r="T150" i="13"/>
  <c r="T151" i="13"/>
  <c r="T152" i="13"/>
  <c r="T153" i="13"/>
  <c r="T154" i="13"/>
  <c r="T155" i="13"/>
  <c r="T156" i="13"/>
  <c r="T157" i="13"/>
  <c r="T158" i="13"/>
  <c r="T159" i="13"/>
  <c r="T160" i="13"/>
  <c r="T161" i="13"/>
  <c r="T162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344" i="13"/>
  <c r="T345" i="13"/>
  <c r="T346" i="13"/>
  <c r="T347" i="13"/>
  <c r="T348" i="13"/>
  <c r="T349" i="13"/>
  <c r="T350" i="13"/>
  <c r="T351" i="13"/>
  <c r="T352" i="13"/>
  <c r="T353" i="13"/>
  <c r="T354" i="13"/>
  <c r="T355" i="13"/>
  <c r="T356" i="13"/>
  <c r="T357" i="13"/>
  <c r="T358" i="13"/>
  <c r="T359" i="13"/>
  <c r="T360" i="13"/>
  <c r="T361" i="13"/>
  <c r="T362" i="13"/>
  <c r="T363" i="13"/>
  <c r="T364" i="13"/>
  <c r="T365" i="13"/>
  <c r="T366" i="13"/>
  <c r="T367" i="13"/>
  <c r="T368" i="13"/>
  <c r="T369" i="13"/>
  <c r="T370" i="13"/>
  <c r="T371" i="13"/>
  <c r="T372" i="13"/>
  <c r="T373" i="13"/>
  <c r="T374" i="13"/>
  <c r="T375" i="13"/>
  <c r="T376" i="13"/>
  <c r="T377" i="13"/>
  <c r="T378" i="13"/>
  <c r="T379" i="13"/>
  <c r="T380" i="13"/>
  <c r="T381" i="13"/>
  <c r="T382" i="13"/>
  <c r="T383" i="13"/>
  <c r="T384" i="13"/>
  <c r="T385" i="13"/>
  <c r="T386" i="13"/>
  <c r="T387" i="13"/>
  <c r="T388" i="13"/>
  <c r="T389" i="13"/>
  <c r="T390" i="13"/>
  <c r="T391" i="13"/>
  <c r="T392" i="13"/>
  <c r="T393" i="13"/>
  <c r="T394" i="13"/>
  <c r="T395" i="13"/>
  <c r="T1" i="13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1" i="12"/>
  <c r="D12" i="2" l="1"/>
  <c r="C12" i="2"/>
  <c r="J10" i="2"/>
  <c r="J9" i="2"/>
  <c r="B52" i="2"/>
  <c r="B50" i="2"/>
  <c r="B49" i="2"/>
  <c r="B48" i="2"/>
  <c r="B51" i="2"/>
  <c r="M6" i="2"/>
  <c r="B27" i="3" l="1"/>
  <c r="B25" i="3"/>
  <c r="B22" i="3"/>
  <c r="B23" i="3"/>
  <c r="B24" i="3"/>
  <c r="B21" i="3"/>
  <c r="B20" i="3"/>
  <c r="B19" i="3"/>
  <c r="E19" i="3" l="1"/>
  <c r="I19" i="3"/>
  <c r="M19" i="3"/>
  <c r="Q19" i="3"/>
  <c r="F19" i="3"/>
  <c r="J19" i="3"/>
  <c r="N19" i="3"/>
  <c r="R19" i="3"/>
  <c r="C19" i="3"/>
  <c r="G19" i="3"/>
  <c r="K19" i="3"/>
  <c r="O19" i="3"/>
  <c r="S19" i="3"/>
  <c r="D19" i="3"/>
  <c r="H19" i="3"/>
  <c r="L19" i="3"/>
  <c r="P19" i="3"/>
  <c r="S22" i="3"/>
  <c r="F22" i="3"/>
  <c r="J22" i="3"/>
  <c r="N22" i="3"/>
  <c r="R22" i="3"/>
  <c r="C22" i="3"/>
  <c r="G22" i="3"/>
  <c r="K22" i="3"/>
  <c r="O22" i="3"/>
  <c r="D22" i="3"/>
  <c r="H22" i="3"/>
  <c r="L22" i="3"/>
  <c r="P22" i="3"/>
  <c r="E22" i="3"/>
  <c r="I22" i="3"/>
  <c r="M22" i="3"/>
  <c r="Q22" i="3"/>
  <c r="D20" i="3"/>
  <c r="H20" i="3"/>
  <c r="L20" i="3"/>
  <c r="P20" i="3"/>
  <c r="E20" i="3"/>
  <c r="I20" i="3"/>
  <c r="M20" i="3"/>
  <c r="Q20" i="3"/>
  <c r="F20" i="3"/>
  <c r="J20" i="3"/>
  <c r="N20" i="3"/>
  <c r="R20" i="3"/>
  <c r="C20" i="3"/>
  <c r="G20" i="3"/>
  <c r="K20" i="3"/>
  <c r="O20" i="3"/>
  <c r="S20" i="3"/>
  <c r="C21" i="3"/>
  <c r="G21" i="3"/>
  <c r="K21" i="3"/>
  <c r="O21" i="3"/>
  <c r="S21" i="3"/>
  <c r="D21" i="3"/>
  <c r="H21" i="3"/>
  <c r="L21" i="3"/>
  <c r="P21" i="3"/>
  <c r="E21" i="3"/>
  <c r="I21" i="3"/>
  <c r="M21" i="3"/>
  <c r="Q21" i="3"/>
  <c r="F21" i="3"/>
  <c r="J21" i="3"/>
  <c r="N21" i="3"/>
  <c r="R21" i="3"/>
  <c r="D25" i="3"/>
  <c r="H25" i="3"/>
  <c r="L25" i="3"/>
  <c r="P25" i="3"/>
  <c r="E25" i="3"/>
  <c r="I25" i="3"/>
  <c r="M25" i="3"/>
  <c r="Q25" i="3"/>
  <c r="F25" i="3"/>
  <c r="J25" i="3"/>
  <c r="N25" i="3"/>
  <c r="R25" i="3"/>
  <c r="C25" i="3"/>
  <c r="G25" i="3"/>
  <c r="K25" i="3"/>
  <c r="O25" i="3"/>
  <c r="S25" i="3"/>
  <c r="F23" i="3"/>
  <c r="J23" i="3"/>
  <c r="N23" i="3"/>
  <c r="R23" i="3"/>
  <c r="C23" i="3"/>
  <c r="G23" i="3"/>
  <c r="K23" i="3"/>
  <c r="O23" i="3"/>
  <c r="S23" i="3"/>
  <c r="D23" i="3"/>
  <c r="H23" i="3"/>
  <c r="L23" i="3"/>
  <c r="P23" i="3"/>
  <c r="E23" i="3"/>
  <c r="I23" i="3"/>
  <c r="M23" i="3"/>
  <c r="Q23" i="3"/>
  <c r="E24" i="3"/>
  <c r="I24" i="3"/>
  <c r="M24" i="3"/>
  <c r="Q24" i="3"/>
  <c r="F24" i="3"/>
  <c r="J24" i="3"/>
  <c r="N24" i="3"/>
  <c r="R24" i="3"/>
  <c r="C24" i="3"/>
  <c r="G24" i="3"/>
  <c r="K24" i="3"/>
  <c r="O24" i="3"/>
  <c r="S24" i="3"/>
  <c r="D24" i="3"/>
  <c r="H24" i="3"/>
  <c r="L24" i="3"/>
  <c r="P24" i="3"/>
  <c r="F27" i="3"/>
  <c r="J27" i="3"/>
  <c r="N27" i="3"/>
  <c r="R27" i="3"/>
  <c r="C27" i="3"/>
  <c r="G27" i="3"/>
  <c r="K27" i="3"/>
  <c r="O27" i="3"/>
  <c r="S27" i="3"/>
  <c r="D27" i="3"/>
  <c r="H27" i="3"/>
  <c r="L27" i="3"/>
  <c r="P27" i="3"/>
  <c r="E27" i="3"/>
  <c r="I27" i="3"/>
  <c r="M27" i="3"/>
  <c r="Q27" i="3"/>
  <c r="C9" i="2"/>
  <c r="C19" i="2"/>
  <c r="I5" i="23"/>
  <c r="C4" i="2"/>
  <c r="C1" i="23"/>
  <c r="D1" i="23"/>
  <c r="E1" i="23"/>
  <c r="F1" i="23"/>
  <c r="B1" i="23"/>
  <c r="B5" i="3"/>
  <c r="B6" i="3"/>
  <c r="O3" i="3"/>
  <c r="B7" i="3"/>
  <c r="B8" i="3"/>
  <c r="P8" i="3" s="1"/>
  <c r="B9" i="3"/>
  <c r="P9" i="3" s="1"/>
  <c r="B10" i="3"/>
  <c r="B11" i="3"/>
  <c r="B12" i="3"/>
  <c r="R12" i="3" s="1"/>
  <c r="B13" i="3"/>
  <c r="E13" i="3" s="1"/>
  <c r="B14" i="3"/>
  <c r="B15" i="3"/>
  <c r="Q15" i="3" s="1"/>
  <c r="B16" i="3"/>
  <c r="B17" i="3"/>
  <c r="B18" i="3"/>
  <c r="M18" i="3" s="1"/>
  <c r="B1" i="20"/>
  <c r="C1" i="19"/>
  <c r="D1" i="21"/>
  <c r="E1" i="21"/>
  <c r="F1" i="18"/>
  <c r="G1" i="21"/>
  <c r="H1" i="21"/>
  <c r="I1" i="18"/>
  <c r="J1" i="19"/>
  <c r="K1" i="19"/>
  <c r="L1" i="21"/>
  <c r="M1" i="18"/>
  <c r="N1" i="15"/>
  <c r="O1" i="21"/>
  <c r="P1" i="21"/>
  <c r="Q1" i="18"/>
  <c r="R1" i="18"/>
  <c r="S1" i="20"/>
  <c r="A1" i="21"/>
  <c r="P16" i="3" l="1"/>
  <c r="D16" i="3"/>
  <c r="P6" i="3"/>
  <c r="S29" i="3"/>
  <c r="N1" i="12"/>
  <c r="R1" i="17"/>
  <c r="N1" i="18"/>
  <c r="J1" i="14"/>
  <c r="F1" i="20"/>
  <c r="N1" i="14"/>
  <c r="R1" i="15"/>
  <c r="F1" i="13"/>
  <c r="F1" i="16"/>
  <c r="N1" i="20"/>
  <c r="J1" i="13"/>
  <c r="F1" i="15"/>
  <c r="F1" i="17"/>
  <c r="B1" i="19"/>
  <c r="F1" i="21"/>
  <c r="F1" i="12"/>
  <c r="F1" i="14"/>
  <c r="J1" i="15"/>
  <c r="J1" i="17"/>
  <c r="F1" i="19"/>
  <c r="N1" i="13"/>
  <c r="R1" i="16"/>
  <c r="J1" i="18"/>
  <c r="N1" i="19"/>
  <c r="J1" i="21"/>
  <c r="R1" i="12"/>
  <c r="R1" i="13"/>
  <c r="N1" i="16"/>
  <c r="N1" i="17"/>
  <c r="J1" i="20"/>
  <c r="N1" i="21"/>
  <c r="S1" i="18"/>
  <c r="R1" i="19"/>
  <c r="R1" i="20"/>
  <c r="R1" i="21"/>
  <c r="O1" i="19"/>
  <c r="E1" i="18"/>
  <c r="C1" i="12"/>
  <c r="C1" i="13"/>
  <c r="C1" i="15"/>
  <c r="O1" i="12"/>
  <c r="O1" i="15"/>
  <c r="K1" i="18"/>
  <c r="P17" i="3"/>
  <c r="P11" i="3"/>
  <c r="P5" i="3"/>
  <c r="O1" i="14"/>
  <c r="S1" i="21"/>
  <c r="P7" i="3"/>
  <c r="J1" i="12"/>
  <c r="B1" i="13"/>
  <c r="K1" i="13"/>
  <c r="G1" i="14"/>
  <c r="R1" i="14"/>
  <c r="J1" i="16"/>
  <c r="G1" i="17"/>
  <c r="C1" i="20"/>
  <c r="P1" i="20"/>
  <c r="K1" i="21"/>
  <c r="P14" i="3"/>
  <c r="Q2" i="3"/>
  <c r="B28" i="3"/>
  <c r="J28" i="3" s="1"/>
  <c r="D15" i="3"/>
  <c r="N7" i="3"/>
  <c r="E11" i="3"/>
  <c r="N5" i="3"/>
  <c r="R5" i="3"/>
  <c r="R7" i="3"/>
  <c r="J15" i="3"/>
  <c r="I5" i="3"/>
  <c r="K6" i="3"/>
  <c r="I7" i="3"/>
  <c r="J8" i="3"/>
  <c r="M11" i="3"/>
  <c r="L15" i="3"/>
  <c r="Q16" i="3"/>
  <c r="G5" i="3"/>
  <c r="G7" i="3"/>
  <c r="J11" i="3"/>
  <c r="M5" i="3"/>
  <c r="R6" i="3"/>
  <c r="M7" i="3"/>
  <c r="R8" i="3"/>
  <c r="R11" i="3"/>
  <c r="R15" i="3"/>
  <c r="F2" i="3"/>
  <c r="P3" i="3"/>
  <c r="Q9" i="3"/>
  <c r="L13" i="3"/>
  <c r="F13" i="3"/>
  <c r="Q17" i="3"/>
  <c r="F6" i="3"/>
  <c r="N6" i="3"/>
  <c r="N2" i="3"/>
  <c r="H3" i="3"/>
  <c r="E5" i="3"/>
  <c r="J5" i="3"/>
  <c r="O5" i="3"/>
  <c r="G6" i="3"/>
  <c r="E7" i="3"/>
  <c r="J7" i="3"/>
  <c r="O7" i="3"/>
  <c r="F8" i="3"/>
  <c r="N8" i="3"/>
  <c r="I9" i="3"/>
  <c r="F11" i="3"/>
  <c r="N11" i="3"/>
  <c r="H13" i="3"/>
  <c r="P13" i="3"/>
  <c r="F15" i="3"/>
  <c r="N15" i="3"/>
  <c r="I16" i="3"/>
  <c r="I17" i="3"/>
  <c r="J2" i="3"/>
  <c r="E8" i="3"/>
  <c r="M8" i="3"/>
  <c r="E9" i="3"/>
  <c r="E12" i="3"/>
  <c r="N13" i="3"/>
  <c r="E16" i="3"/>
  <c r="E17" i="3"/>
  <c r="R2" i="3"/>
  <c r="L3" i="3"/>
  <c r="F5" i="3"/>
  <c r="K5" i="3"/>
  <c r="Q5" i="3"/>
  <c r="J6" i="3"/>
  <c r="Q6" i="3"/>
  <c r="F7" i="3"/>
  <c r="K7" i="3"/>
  <c r="Q7" i="3"/>
  <c r="I8" i="3"/>
  <c r="Q8" i="3"/>
  <c r="M9" i="3"/>
  <c r="I11" i="3"/>
  <c r="Q11" i="3"/>
  <c r="J13" i="3"/>
  <c r="R13" i="3"/>
  <c r="H15" i="3"/>
  <c r="P15" i="3"/>
  <c r="M16" i="3"/>
  <c r="M17" i="3"/>
  <c r="P4" i="3"/>
  <c r="L4" i="3"/>
  <c r="H4" i="3"/>
  <c r="D4" i="3"/>
  <c r="O4" i="3"/>
  <c r="K4" i="3"/>
  <c r="G4" i="3"/>
  <c r="F4" i="3"/>
  <c r="R4" i="3"/>
  <c r="N4" i="3"/>
  <c r="J4" i="3"/>
  <c r="F14" i="3"/>
  <c r="J14" i="3"/>
  <c r="R14" i="3"/>
  <c r="P10" i="3"/>
  <c r="L10" i="3"/>
  <c r="H10" i="3"/>
  <c r="D10" i="3"/>
  <c r="O10" i="3"/>
  <c r="K10" i="3"/>
  <c r="G10" i="3"/>
  <c r="R10" i="3"/>
  <c r="N10" i="3"/>
  <c r="J10" i="3"/>
  <c r="F10" i="3"/>
  <c r="M4" i="3"/>
  <c r="M10" i="3"/>
  <c r="Q4" i="3"/>
  <c r="Q10" i="3"/>
  <c r="P18" i="3"/>
  <c r="L18" i="3"/>
  <c r="H18" i="3"/>
  <c r="D18" i="3"/>
  <c r="O18" i="3"/>
  <c r="K18" i="3"/>
  <c r="G18" i="3"/>
  <c r="R18" i="3"/>
  <c r="N18" i="3"/>
  <c r="J18" i="3"/>
  <c r="F18" i="3"/>
  <c r="Q18" i="3"/>
  <c r="N14" i="3"/>
  <c r="E4" i="3"/>
  <c r="E10" i="3"/>
  <c r="D14" i="3"/>
  <c r="H14" i="3"/>
  <c r="L14" i="3"/>
  <c r="E18" i="3"/>
  <c r="Q14" i="3"/>
  <c r="O14" i="3"/>
  <c r="M14" i="3"/>
  <c r="K14" i="3"/>
  <c r="I14" i="3"/>
  <c r="G14" i="3"/>
  <c r="E14" i="3"/>
  <c r="I4" i="3"/>
  <c r="I10" i="3"/>
  <c r="I18" i="3"/>
  <c r="I3" i="3"/>
  <c r="M3" i="3"/>
  <c r="Q3" i="3"/>
  <c r="F9" i="3"/>
  <c r="J9" i="3"/>
  <c r="N9" i="3"/>
  <c r="R9" i="3"/>
  <c r="F12" i="3"/>
  <c r="I12" i="3"/>
  <c r="K12" i="3"/>
  <c r="M12" i="3"/>
  <c r="O12" i="3"/>
  <c r="Q12" i="3"/>
  <c r="G13" i="3"/>
  <c r="F16" i="3"/>
  <c r="J16" i="3"/>
  <c r="N16" i="3"/>
  <c r="R16" i="3"/>
  <c r="F17" i="3"/>
  <c r="J17" i="3"/>
  <c r="N17" i="3"/>
  <c r="R17" i="3"/>
  <c r="F3" i="3"/>
  <c r="N3" i="3"/>
  <c r="D6" i="3"/>
  <c r="H6" i="3"/>
  <c r="L6" i="3"/>
  <c r="O6" i="3"/>
  <c r="G8" i="3"/>
  <c r="K8" i="3"/>
  <c r="O8" i="3"/>
  <c r="G9" i="3"/>
  <c r="K9" i="3"/>
  <c r="O9" i="3"/>
  <c r="G11" i="3"/>
  <c r="K11" i="3"/>
  <c r="O11" i="3"/>
  <c r="G12" i="3"/>
  <c r="I13" i="3"/>
  <c r="K13" i="3"/>
  <c r="M13" i="3"/>
  <c r="O13" i="3"/>
  <c r="Q13" i="3"/>
  <c r="D13" i="3"/>
  <c r="G16" i="3"/>
  <c r="K16" i="3"/>
  <c r="O16" i="3"/>
  <c r="G17" i="3"/>
  <c r="K17" i="3"/>
  <c r="O17" i="3"/>
  <c r="G2" i="3"/>
  <c r="K2" i="3"/>
  <c r="O2" i="3"/>
  <c r="E3" i="3"/>
  <c r="D2" i="3"/>
  <c r="H2" i="3"/>
  <c r="L2" i="3"/>
  <c r="P2" i="3"/>
  <c r="J3" i="3"/>
  <c r="R3" i="3"/>
  <c r="E2" i="3"/>
  <c r="I2" i="3"/>
  <c r="M2" i="3"/>
  <c r="G3" i="3"/>
  <c r="K3" i="3"/>
  <c r="D5" i="3"/>
  <c r="H5" i="3"/>
  <c r="L5" i="3"/>
  <c r="E6" i="3"/>
  <c r="I6" i="3"/>
  <c r="M6" i="3"/>
  <c r="D7" i="3"/>
  <c r="H7" i="3"/>
  <c r="L7" i="3"/>
  <c r="D8" i="3"/>
  <c r="H8" i="3"/>
  <c r="L8" i="3"/>
  <c r="D9" i="3"/>
  <c r="H9" i="3"/>
  <c r="L9" i="3"/>
  <c r="D11" i="3"/>
  <c r="H11" i="3"/>
  <c r="L11" i="3"/>
  <c r="D12" i="3"/>
  <c r="H12" i="3"/>
  <c r="J12" i="3"/>
  <c r="L12" i="3"/>
  <c r="N12" i="3"/>
  <c r="P12" i="3"/>
  <c r="E15" i="3"/>
  <c r="G15" i="3"/>
  <c r="I15" i="3"/>
  <c r="K15" i="3"/>
  <c r="M15" i="3"/>
  <c r="O15" i="3"/>
  <c r="H16" i="3"/>
  <c r="L16" i="3"/>
  <c r="D17" i="3"/>
  <c r="H17" i="3"/>
  <c r="L17" i="3"/>
  <c r="B1" i="12"/>
  <c r="B1" i="18"/>
  <c r="B1" i="14"/>
  <c r="B1" i="15"/>
  <c r="B1" i="17"/>
  <c r="B1" i="21"/>
  <c r="B1" i="16"/>
  <c r="S1" i="13"/>
  <c r="S1" i="16"/>
  <c r="C1" i="18"/>
  <c r="S1" i="12"/>
  <c r="G1" i="13"/>
  <c r="O1" i="13"/>
  <c r="C1" i="14"/>
  <c r="K1" i="14"/>
  <c r="S1" i="14"/>
  <c r="G1" i="15"/>
  <c r="K1" i="16"/>
  <c r="K1" i="20"/>
  <c r="H1" i="15"/>
  <c r="G1" i="12"/>
  <c r="C1" i="16"/>
  <c r="O1" i="17"/>
  <c r="G1" i="19"/>
  <c r="G1" i="20"/>
  <c r="O1" i="20"/>
  <c r="C1" i="21"/>
  <c r="P1" i="12"/>
  <c r="D1" i="20"/>
  <c r="D1" i="12"/>
  <c r="K1" i="12"/>
  <c r="K1" i="15"/>
  <c r="S1" i="15"/>
  <c r="G1" i="16"/>
  <c r="O1" i="16"/>
  <c r="C1" i="17"/>
  <c r="K1" i="17"/>
  <c r="S1" i="17"/>
  <c r="G1" i="18"/>
  <c r="O1" i="18"/>
  <c r="S1" i="19"/>
  <c r="A1" i="17"/>
  <c r="A1" i="18"/>
  <c r="L1" i="18"/>
  <c r="D1" i="19"/>
  <c r="M1" i="13"/>
  <c r="E1" i="17"/>
  <c r="M1" i="21"/>
  <c r="A1" i="16"/>
  <c r="H1" i="18"/>
  <c r="A1" i="19"/>
  <c r="Q1" i="17"/>
  <c r="A1" i="12"/>
  <c r="E1" i="13"/>
  <c r="A1" i="14"/>
  <c r="P1" i="16"/>
  <c r="M1" i="17"/>
  <c r="A1" i="20"/>
  <c r="I1" i="13"/>
  <c r="I1" i="21"/>
  <c r="L1" i="14"/>
  <c r="D1" i="15"/>
  <c r="A1" i="13"/>
  <c r="Q1" i="13"/>
  <c r="H1" i="14"/>
  <c r="A1" i="15"/>
  <c r="D1" i="16"/>
  <c r="I1" i="17"/>
  <c r="H1" i="19"/>
  <c r="Q1" i="21"/>
  <c r="L1" i="12"/>
  <c r="D1" i="14"/>
  <c r="P1" i="15"/>
  <c r="L1" i="16"/>
  <c r="D1" i="18"/>
  <c r="P1" i="19"/>
  <c r="L1" i="20"/>
  <c r="H1" i="12"/>
  <c r="D1" i="13"/>
  <c r="H1" i="13"/>
  <c r="L1" i="13"/>
  <c r="P1" i="13"/>
  <c r="P1" i="14"/>
  <c r="L1" i="15"/>
  <c r="H1" i="16"/>
  <c r="D1" i="17"/>
  <c r="H1" i="17"/>
  <c r="L1" i="17"/>
  <c r="P1" i="17"/>
  <c r="P1" i="18"/>
  <c r="L1" i="19"/>
  <c r="H1" i="20"/>
  <c r="E1" i="12"/>
  <c r="I1" i="12"/>
  <c r="M1" i="12"/>
  <c r="Q1" i="12"/>
  <c r="E1" i="16"/>
  <c r="I1" i="16"/>
  <c r="M1" i="16"/>
  <c r="Q1" i="16"/>
  <c r="E1" i="20"/>
  <c r="I1" i="20"/>
  <c r="M1" i="20"/>
  <c r="Q1" i="20"/>
  <c r="E1" i="15"/>
  <c r="I1" i="15"/>
  <c r="M1" i="15"/>
  <c r="Q1" i="15"/>
  <c r="E1" i="19"/>
  <c r="I1" i="19"/>
  <c r="M1" i="19"/>
  <c r="Q1" i="19"/>
  <c r="E1" i="14"/>
  <c r="I1" i="14"/>
  <c r="M1" i="14"/>
  <c r="Q1" i="14"/>
  <c r="E29" i="3" l="1"/>
  <c r="F29" i="3"/>
  <c r="F28" i="2" s="1"/>
  <c r="H29" i="3"/>
  <c r="F29" i="2" s="1"/>
  <c r="K29" i="3"/>
  <c r="D29" i="3"/>
  <c r="G29" i="3"/>
  <c r="Q29" i="3"/>
  <c r="F39" i="2" s="1"/>
  <c r="I29" i="3"/>
  <c r="F30" i="2" s="1"/>
  <c r="M29" i="3"/>
  <c r="P29" i="3"/>
  <c r="F37" i="2" s="1"/>
  <c r="R29" i="3"/>
  <c r="F35" i="2" s="1"/>
  <c r="G35" i="2" s="1"/>
  <c r="L29" i="3"/>
  <c r="F32" i="2" s="1"/>
  <c r="O29" i="3"/>
  <c r="F38" i="2" s="1"/>
  <c r="N29" i="3"/>
  <c r="F36" i="2" s="1"/>
  <c r="J29" i="3"/>
  <c r="F31" i="2" s="1"/>
  <c r="C3" i="2"/>
  <c r="N7" i="2"/>
  <c r="M7" i="2"/>
  <c r="G3" i="2"/>
  <c r="C8" i="2"/>
  <c r="C13" i="2"/>
  <c r="J16" i="2"/>
  <c r="I16" i="2"/>
  <c r="H16" i="2"/>
  <c r="G16" i="2"/>
  <c r="V17" i="2"/>
  <c r="G8" i="2"/>
  <c r="G7" i="2"/>
  <c r="M5" i="2"/>
  <c r="C10" i="2"/>
  <c r="C11" i="2"/>
  <c r="G4" i="2"/>
  <c r="M3" i="2"/>
  <c r="M4" i="2"/>
  <c r="F34" i="2" l="1"/>
  <c r="F33" i="2"/>
  <c r="F27" i="2"/>
  <c r="G27" i="2" s="1"/>
  <c r="F26" i="2"/>
  <c r="G26" i="2" s="1"/>
  <c r="G30" i="2"/>
  <c r="G28" i="2"/>
  <c r="F40" i="2"/>
  <c r="G31" i="2"/>
  <c r="M18" i="2" s="1"/>
  <c r="M21" i="2" s="1"/>
  <c r="G36" i="2"/>
  <c r="G39" i="2"/>
  <c r="G38" i="2"/>
  <c r="G37" i="2"/>
  <c r="G32" i="2"/>
  <c r="U17" i="2"/>
  <c r="C5" i="2"/>
  <c r="G29" i="2" s="1"/>
  <c r="G34" i="2" l="1"/>
  <c r="M22" i="2"/>
  <c r="F18" i="2" s="1"/>
  <c r="F20" i="2" s="1"/>
  <c r="M17" i="2"/>
  <c r="N17" i="2" s="1"/>
  <c r="M19" i="2"/>
  <c r="N19" i="2" s="1"/>
  <c r="G33" i="2"/>
  <c r="F17" i="2" s="1"/>
  <c r="F41" i="2"/>
  <c r="G40" i="2"/>
  <c r="M20" i="2" l="1"/>
  <c r="B21" i="2" s="1"/>
  <c r="B22" i="2" s="1"/>
  <c r="N18" i="2"/>
  <c r="C28" i="3"/>
  <c r="G41" i="2"/>
  <c r="G18" i="2" l="1"/>
  <c r="G17" i="2"/>
  <c r="F19" i="2" l="1"/>
  <c r="G19" i="2" s="1"/>
  <c r="H18" i="2"/>
  <c r="H17" i="2"/>
  <c r="I18" i="2" l="1"/>
  <c r="H19" i="2"/>
  <c r="I19" i="2"/>
  <c r="I17" i="2"/>
  <c r="C3" i="5"/>
  <c r="C3" i="19" s="1"/>
  <c r="C66" i="5"/>
  <c r="C13" i="5"/>
  <c r="C2" i="15" s="1"/>
  <c r="C139" i="5"/>
  <c r="C71" i="5"/>
  <c r="C106" i="5"/>
  <c r="C32" i="5"/>
  <c r="C113" i="5"/>
  <c r="C163" i="5"/>
  <c r="C55" i="5"/>
  <c r="C34" i="5"/>
  <c r="C2" i="10" s="1"/>
  <c r="C33" i="5"/>
  <c r="C68" i="5"/>
  <c r="C166" i="5"/>
  <c r="C117" i="5"/>
  <c r="C20" i="19" s="1"/>
  <c r="C88" i="5"/>
  <c r="C158" i="5"/>
  <c r="C119" i="5"/>
  <c r="C11" i="17" s="1"/>
  <c r="C115" i="5"/>
  <c r="C192" i="5"/>
  <c r="C64" i="5"/>
  <c r="C39" i="5"/>
  <c r="C3" i="22" s="1"/>
  <c r="C18" i="5"/>
  <c r="C3" i="11" s="1"/>
  <c r="C111" i="5"/>
  <c r="C2" i="5"/>
  <c r="C2" i="19" s="1"/>
  <c r="C43" i="5"/>
  <c r="C133" i="5"/>
  <c r="C85" i="5"/>
  <c r="C3" i="12" s="1"/>
  <c r="C44" i="5"/>
  <c r="C116" i="5"/>
  <c r="C80" i="5"/>
  <c r="C150" i="5"/>
  <c r="C120" i="5"/>
  <c r="C7" i="22" s="1"/>
  <c r="C16" i="5"/>
  <c r="C11" i="19" s="1"/>
  <c r="C58" i="5"/>
  <c r="C14" i="11" s="1"/>
  <c r="C40" i="5"/>
  <c r="C3" i="20" s="1"/>
  <c r="C28" i="5"/>
  <c r="C2" i="14" s="1"/>
  <c r="C222" i="5"/>
  <c r="C13" i="13" s="1"/>
  <c r="C23" i="5"/>
  <c r="C98" i="5"/>
  <c r="C59" i="5"/>
  <c r="C4" i="22" s="1"/>
  <c r="C29" i="5"/>
  <c r="C25" i="5"/>
  <c r="C4" i="7" s="1"/>
  <c r="C164" i="5"/>
  <c r="C9" i="12" s="1"/>
  <c r="C251" i="5"/>
  <c r="C9" i="21" s="1"/>
  <c r="C20" i="5"/>
  <c r="C72" i="5"/>
  <c r="C17" i="19" s="1"/>
  <c r="C78" i="5"/>
  <c r="C4" i="5"/>
  <c r="C4" i="19" s="1"/>
  <c r="C131" i="5"/>
  <c r="C12" i="16" s="1"/>
  <c r="C61" i="5"/>
  <c r="C2" i="9" s="1"/>
  <c r="C27" i="5"/>
  <c r="C2" i="13" s="1"/>
  <c r="C77" i="5"/>
  <c r="C35" i="5"/>
  <c r="C3" i="17" s="1"/>
  <c r="C258" i="5"/>
  <c r="C11" i="21" s="1"/>
  <c r="C90" i="5"/>
  <c r="C11" i="15" s="1"/>
  <c r="C289" i="5"/>
  <c r="C10" i="18" s="1"/>
  <c r="C290" i="5"/>
  <c r="C21" i="22" s="1"/>
  <c r="C145" i="5"/>
  <c r="C45" i="5"/>
  <c r="C3" i="16" s="1"/>
  <c r="C96" i="5"/>
  <c r="C283" i="5"/>
  <c r="C19" i="22" s="1"/>
  <c r="C156" i="5"/>
  <c r="C147" i="5"/>
  <c r="C24" i="19" s="1"/>
  <c r="C151" i="5"/>
  <c r="C8" i="13" s="1"/>
  <c r="C263" i="5"/>
  <c r="C22" i="16" s="1"/>
  <c r="C227" i="5"/>
  <c r="C13" i="12" s="1"/>
  <c r="C149" i="5"/>
  <c r="C286" i="5"/>
  <c r="C20" i="22" s="1"/>
  <c r="C228" i="5"/>
  <c r="C21" i="14" s="1"/>
  <c r="C211" i="5"/>
  <c r="C19" i="7" s="1"/>
  <c r="C130" i="5"/>
  <c r="C221" i="5"/>
  <c r="C21" i="7" s="1"/>
  <c r="C257" i="5"/>
  <c r="C29" i="11" s="1"/>
  <c r="C190" i="5"/>
  <c r="C17" i="10" s="1"/>
  <c r="C230" i="5"/>
  <c r="C30" i="19" s="1"/>
  <c r="C38" i="5"/>
  <c r="C8" i="11" s="1"/>
  <c r="C79" i="5"/>
  <c r="C8" i="7" s="1"/>
  <c r="C93" i="5"/>
  <c r="C152" i="5"/>
  <c r="C25" i="19" s="1"/>
  <c r="C92" i="5"/>
  <c r="C10" i="5"/>
  <c r="C56" i="5"/>
  <c r="C3" i="13" s="1"/>
  <c r="C52" i="5"/>
  <c r="C5" i="17" s="1"/>
  <c r="C121" i="5"/>
  <c r="C143" i="5"/>
  <c r="C26" i="5"/>
  <c r="C4" i="15" s="1"/>
  <c r="C240" i="5"/>
  <c r="C31" i="19" s="1"/>
  <c r="C241" i="5"/>
  <c r="C19" i="16" s="1"/>
  <c r="C167" i="5"/>
  <c r="C108" i="5"/>
  <c r="C284" i="5"/>
  <c r="C24" i="15" s="1"/>
  <c r="C244" i="5"/>
  <c r="C20" i="16" s="1"/>
  <c r="C270" i="5"/>
  <c r="C31" i="11" s="1"/>
  <c r="C191" i="5"/>
  <c r="C28" i="19" s="1"/>
  <c r="C63" i="5"/>
  <c r="C195" i="5"/>
  <c r="C15" i="5"/>
  <c r="C10" i="19" s="1"/>
  <c r="C53" i="5"/>
  <c r="C4" i="16" s="1"/>
  <c r="C87" i="5"/>
  <c r="C6" i="20" s="1"/>
  <c r="C126" i="5"/>
  <c r="C75" i="5"/>
  <c r="C188" i="5"/>
  <c r="C104" i="5"/>
  <c r="C202" i="5"/>
  <c r="C16" i="7" s="1"/>
  <c r="C243" i="5"/>
  <c r="C21" i="15" s="1"/>
  <c r="C198" i="5"/>
  <c r="C12" i="13" s="1"/>
  <c r="C248" i="5"/>
  <c r="C28" i="11" s="1"/>
  <c r="C212" i="5"/>
  <c r="C18" i="14" s="1"/>
  <c r="C255" i="5"/>
  <c r="C10" i="20" s="1"/>
  <c r="C256" i="5"/>
  <c r="C13" i="9" s="1"/>
  <c r="C118" i="5"/>
  <c r="C14" i="15" s="1"/>
  <c r="C189" i="5"/>
  <c r="C213" i="5"/>
  <c r="C20" i="7" s="1"/>
  <c r="C239" i="5"/>
  <c r="C22" i="7" s="1"/>
  <c r="C184" i="5"/>
  <c r="C48" i="5"/>
  <c r="C110" i="5"/>
  <c r="C7" i="5"/>
  <c r="C7" i="19" s="1"/>
  <c r="C172" i="5"/>
  <c r="C168" i="5"/>
  <c r="C57" i="5"/>
  <c r="C3" i="10" s="1"/>
  <c r="C41" i="5"/>
  <c r="C47" i="5"/>
  <c r="C250" i="5"/>
  <c r="C15" i="22" s="1"/>
  <c r="C103" i="5"/>
  <c r="C6" i="5"/>
  <c r="C6" i="19" s="1"/>
  <c r="C109" i="5"/>
  <c r="C193" i="5"/>
  <c r="C122" i="5"/>
  <c r="C140" i="5"/>
  <c r="C219" i="5"/>
  <c r="C25" i="11" s="1"/>
  <c r="C285" i="5"/>
  <c r="C20" i="13" s="1"/>
  <c r="C287" i="5"/>
  <c r="C16" i="9" s="1"/>
  <c r="C194" i="5"/>
  <c r="C288" i="5"/>
  <c r="C17" i="9" s="1"/>
  <c r="C264" i="5"/>
  <c r="C22" i="15" s="1"/>
  <c r="C271" i="5"/>
  <c r="C15" i="9" s="1"/>
  <c r="C265" i="5"/>
  <c r="C30" i="11" s="1"/>
  <c r="C245" i="5"/>
  <c r="C27" i="11" s="1"/>
  <c r="C37" i="5"/>
  <c r="C5" i="7" s="1"/>
  <c r="C101" i="5"/>
  <c r="C82" i="5"/>
  <c r="C9" i="5"/>
  <c r="C8" i="19" s="1"/>
  <c r="C142" i="5"/>
  <c r="C54" i="5"/>
  <c r="C16" i="19" s="1"/>
  <c r="C8" i="5"/>
  <c r="C2" i="11" s="1"/>
  <c r="C14" i="5"/>
  <c r="C3" i="15" s="1"/>
  <c r="C146" i="5"/>
  <c r="C14" i="16" s="1"/>
  <c r="C136" i="5"/>
  <c r="C238" i="5"/>
  <c r="C14" i="12" s="1"/>
  <c r="C181" i="5"/>
  <c r="C183" i="5"/>
  <c r="C242" i="5"/>
  <c r="C26" i="11" s="1"/>
  <c r="C272" i="5"/>
  <c r="C17" i="22" s="1"/>
  <c r="C215" i="5"/>
  <c r="C17" i="15" s="1"/>
  <c r="C220" i="5"/>
  <c r="C20" i="10" s="1"/>
  <c r="C249" i="5"/>
  <c r="C16" i="13" s="1"/>
  <c r="C229" i="5"/>
  <c r="C22" i="14" s="1"/>
  <c r="C197" i="5"/>
  <c r="C105" i="5"/>
  <c r="C83" i="5"/>
  <c r="C124" i="5"/>
  <c r="C99" i="5"/>
  <c r="C5" i="12" s="1"/>
  <c r="C21" i="5"/>
  <c r="C51" i="5"/>
  <c r="C13" i="11" s="1"/>
  <c r="C201" i="5"/>
  <c r="C15" i="7" s="1"/>
  <c r="C204" i="5"/>
  <c r="C23" i="11" s="1"/>
  <c r="C226" i="5"/>
  <c r="C12" i="12" s="1"/>
  <c r="C210" i="5"/>
  <c r="C17" i="14" s="1"/>
  <c r="C137" i="5"/>
  <c r="C199" i="5"/>
  <c r="C22" i="11" s="1"/>
  <c r="C254" i="5"/>
  <c r="C16" i="12" s="1"/>
  <c r="C237" i="5"/>
  <c r="C12" i="9" s="1"/>
  <c r="C135" i="5"/>
  <c r="C13" i="16" s="1"/>
  <c r="C209" i="5"/>
  <c r="C24" i="11" s="1"/>
  <c r="C262" i="5"/>
  <c r="C18" i="13" s="1"/>
  <c r="C129" i="5"/>
  <c r="C95" i="5"/>
  <c r="C206" i="5"/>
  <c r="C18" i="10" s="1"/>
  <c r="C132" i="5"/>
  <c r="C269" i="5"/>
  <c r="C14" i="9" s="1"/>
  <c r="C268" i="5"/>
  <c r="C16" i="22" s="1"/>
  <c r="C214" i="5"/>
  <c r="C16" i="15" s="1"/>
  <c r="C232" i="5"/>
  <c r="C17" i="16" s="1"/>
  <c r="C207" i="5"/>
  <c r="C19" i="10" s="1"/>
  <c r="C205" i="5"/>
  <c r="C18" i="7" s="1"/>
  <c r="C259" i="5"/>
  <c r="C21" i="16" s="1"/>
  <c r="C107" i="5"/>
  <c r="C18" i="11" s="1"/>
  <c r="C153" i="5"/>
  <c r="C10" i="14" s="1"/>
  <c r="C70" i="5"/>
  <c r="C7" i="7" s="1"/>
  <c r="C134" i="5"/>
  <c r="C8" i="12" s="1"/>
  <c r="C31" i="5"/>
  <c r="C148" i="5"/>
  <c r="C171" i="5"/>
  <c r="C185" i="5"/>
  <c r="C128" i="5"/>
  <c r="C176" i="5"/>
  <c r="C14" i="14" s="1"/>
  <c r="C76" i="5"/>
  <c r="C127" i="5"/>
  <c r="C84" i="5"/>
  <c r="C282" i="5"/>
  <c r="C9" i="18" s="1"/>
  <c r="C65" i="5"/>
  <c r="C89" i="5"/>
  <c r="C6" i="14" s="1"/>
  <c r="C24" i="5"/>
  <c r="C160" i="5"/>
  <c r="C217" i="5"/>
  <c r="C19" i="14" s="1"/>
  <c r="C186" i="5"/>
  <c r="C30" i="5"/>
  <c r="C196" i="5"/>
  <c r="C275" i="5"/>
  <c r="C23" i="16" s="1"/>
  <c r="C208" i="5"/>
  <c r="C16" i="14" s="1"/>
  <c r="C223" i="5"/>
  <c r="C18" i="15" s="1"/>
  <c r="C224" i="5"/>
  <c r="C21" i="10" s="1"/>
  <c r="C60" i="5"/>
  <c r="C6" i="7" s="1"/>
  <c r="C123" i="5"/>
  <c r="C11" i="16" s="1"/>
  <c r="C36" i="5"/>
  <c r="C7" i="11" s="1"/>
  <c r="C247" i="5"/>
  <c r="C17" i="17" s="1"/>
  <c r="C179" i="5"/>
  <c r="C175" i="5"/>
  <c r="C279" i="5"/>
  <c r="C23" i="10" s="1"/>
  <c r="C62" i="5"/>
  <c r="C5" i="5"/>
  <c r="C5" i="19" s="1"/>
  <c r="C182" i="5"/>
  <c r="C15" i="14" s="1"/>
  <c r="C169" i="5"/>
  <c r="C165" i="5"/>
  <c r="C273" i="5"/>
  <c r="C18" i="22" s="1"/>
  <c r="C114" i="5"/>
  <c r="C138" i="5"/>
  <c r="C266" i="5"/>
  <c r="C19" i="13" s="1"/>
  <c r="C246" i="5"/>
  <c r="C22" i="10" s="1"/>
  <c r="C233" i="5"/>
  <c r="C15" i="13" s="1"/>
  <c r="C203" i="5"/>
  <c r="C17" i="7" s="1"/>
  <c r="C234" i="5"/>
  <c r="C19" i="15" s="1"/>
  <c r="C260" i="5"/>
  <c r="C17" i="13" s="1"/>
  <c r="C170" i="5"/>
  <c r="C112" i="5"/>
  <c r="C46" i="5"/>
  <c r="C5" i="15" s="1"/>
  <c r="C261" i="5"/>
  <c r="C23" i="14" s="1"/>
  <c r="C141" i="5"/>
  <c r="C7" i="9" s="1"/>
  <c r="C100" i="5"/>
  <c r="C17" i="11" s="1"/>
  <c r="C277" i="5"/>
  <c r="C32" i="19" s="1"/>
  <c r="C173" i="5"/>
  <c r="C235" i="5"/>
  <c r="C18" i="16" s="1"/>
  <c r="C155" i="5"/>
  <c r="C280" i="5"/>
  <c r="C8" i="18" s="1"/>
  <c r="C162" i="5"/>
  <c r="C50" i="5"/>
  <c r="C12" i="5"/>
  <c r="C9" i="19" s="1"/>
  <c r="C17" i="5"/>
  <c r="C3" i="7" s="1"/>
  <c r="C144" i="5"/>
  <c r="C19" i="5"/>
  <c r="C102" i="5"/>
  <c r="C97" i="5"/>
  <c r="C9" i="16" s="1"/>
  <c r="C253" i="5"/>
  <c r="C10" i="21" s="1"/>
  <c r="C161" i="5"/>
  <c r="C91" i="5"/>
  <c r="C22" i="5"/>
  <c r="C13" i="19" s="1"/>
  <c r="C73" i="5"/>
  <c r="C4" i="20" s="1"/>
  <c r="C94" i="5"/>
  <c r="C67" i="5"/>
  <c r="C4" i="14" s="1"/>
  <c r="C231" i="5"/>
  <c r="C9" i="20" s="1"/>
  <c r="C49" i="5"/>
  <c r="C252" i="5"/>
  <c r="C15" i="12" s="1"/>
  <c r="C86" i="5"/>
  <c r="C174" i="5"/>
  <c r="C180" i="5"/>
  <c r="C69" i="5"/>
  <c r="C4" i="10" s="1"/>
  <c r="C276" i="5"/>
  <c r="C23" i="15" s="1"/>
  <c r="C74" i="5"/>
  <c r="C19" i="19" s="1"/>
  <c r="C267" i="5"/>
  <c r="C12" i="21" s="1"/>
  <c r="C154" i="5"/>
  <c r="C159" i="5"/>
  <c r="C187" i="5"/>
  <c r="C225" i="5"/>
  <c r="C14" i="13" s="1"/>
  <c r="C216" i="5"/>
  <c r="C16" i="17" s="1"/>
  <c r="C178" i="5"/>
  <c r="C218" i="5"/>
  <c r="C20" i="14" s="1"/>
  <c r="C125" i="5"/>
  <c r="C9" i="10" s="1"/>
  <c r="C278" i="5"/>
  <c r="C14" i="21" s="1"/>
  <c r="C236" i="5"/>
  <c r="C20" i="15" s="1"/>
  <c r="C11" i="5"/>
  <c r="C2" i="18" s="1"/>
  <c r="C274" i="5"/>
  <c r="C13" i="21" s="1"/>
  <c r="C81" i="5"/>
  <c r="C157" i="5"/>
  <c r="C10" i="22" s="1"/>
  <c r="C42" i="5"/>
  <c r="C200" i="5"/>
  <c r="C14" i="7" s="1"/>
  <c r="C281" i="5"/>
  <c r="C33" i="19" s="1"/>
  <c r="C177" i="5"/>
  <c r="I20" i="2"/>
  <c r="G20" i="2"/>
  <c r="H20" i="2"/>
  <c r="J18" i="2"/>
  <c r="J19" i="2"/>
  <c r="J20" i="2"/>
  <c r="J17" i="2"/>
  <c r="C2" i="20" l="1"/>
  <c r="C5" i="11"/>
  <c r="C12" i="11"/>
  <c r="C6" i="3" s="1"/>
  <c r="U8" i="11" s="1"/>
  <c r="C13" i="17"/>
  <c r="C5" i="10"/>
  <c r="C10" i="9"/>
  <c r="C9" i="9"/>
  <c r="C21" i="11"/>
  <c r="C10" i="16"/>
  <c r="C14" i="10"/>
  <c r="C6" i="11"/>
  <c r="C7" i="21"/>
  <c r="C10" i="15"/>
  <c r="C11" i="22"/>
  <c r="C5" i="22"/>
  <c r="C9" i="13"/>
  <c r="C2" i="16"/>
  <c r="C8" i="17"/>
  <c r="C7" i="13"/>
  <c r="C9" i="14"/>
  <c r="C11" i="14"/>
  <c r="C12" i="14"/>
  <c r="C6" i="15"/>
  <c r="C10" i="12"/>
  <c r="C13" i="15"/>
  <c r="C13" i="7"/>
  <c r="C8" i="21"/>
  <c r="C6" i="13"/>
  <c r="C7" i="14"/>
  <c r="C6" i="22"/>
  <c r="C3" i="21"/>
  <c r="C6" i="18"/>
  <c r="C26" i="19"/>
  <c r="C5" i="14"/>
  <c r="C9" i="15"/>
  <c r="C19" i="11"/>
  <c r="C14" i="22"/>
  <c r="C10" i="13"/>
  <c r="C6" i="21"/>
  <c r="C11" i="12"/>
  <c r="C11" i="13"/>
  <c r="C11" i="7"/>
  <c r="C3" i="14"/>
  <c r="C9" i="22"/>
  <c r="C15" i="10"/>
  <c r="C4" i="13"/>
  <c r="C4" i="18"/>
  <c r="C8" i="14"/>
  <c r="C10" i="10"/>
  <c r="C6" i="10"/>
  <c r="C14" i="17"/>
  <c r="C13" i="22"/>
  <c r="C27" i="19"/>
  <c r="C11" i="11"/>
  <c r="C12" i="22"/>
  <c r="C8" i="20"/>
  <c r="C6" i="16"/>
  <c r="C22" i="19"/>
  <c r="C23" i="19"/>
  <c r="C18" i="19"/>
  <c r="C5" i="21"/>
  <c r="C7" i="20"/>
  <c r="C11" i="9"/>
  <c r="C7" i="16"/>
  <c r="C2" i="12"/>
  <c r="C3" i="9"/>
  <c r="C6" i="12"/>
  <c r="C16" i="11"/>
  <c r="C29" i="19"/>
  <c r="C20" i="11"/>
  <c r="C16" i="10"/>
  <c r="C5" i="9"/>
  <c r="C8" i="16"/>
  <c r="C15" i="16"/>
  <c r="C4" i="21"/>
  <c r="C4" i="11"/>
  <c r="C5" i="20"/>
  <c r="C6" i="9"/>
  <c r="C10" i="17"/>
  <c r="C2" i="22"/>
  <c r="C10" i="7"/>
  <c r="C12" i="17"/>
  <c r="C5" i="13"/>
  <c r="C9" i="17"/>
  <c r="C7" i="10"/>
  <c r="C8" i="15"/>
  <c r="C12" i="7"/>
  <c r="C8" i="22"/>
  <c r="C2" i="7"/>
  <c r="C14" i="19"/>
  <c r="C2" i="17"/>
  <c r="C4" i="17"/>
  <c r="C13" i="10"/>
  <c r="C3" i="18"/>
  <c r="C2" i="21"/>
  <c r="C6" i="17"/>
  <c r="C16" i="16"/>
  <c r="C9" i="7"/>
  <c r="C15" i="15"/>
  <c r="C5" i="18"/>
  <c r="C15" i="19"/>
  <c r="C7" i="18"/>
  <c r="C7" i="15"/>
  <c r="C7" i="12"/>
  <c r="C15" i="17"/>
  <c r="C8" i="10"/>
  <c r="C12" i="15"/>
  <c r="C4" i="12"/>
  <c r="C7" i="17"/>
  <c r="C10" i="11"/>
  <c r="C5" i="16"/>
  <c r="C8" i="9"/>
  <c r="C15" i="11"/>
  <c r="C12" i="10"/>
  <c r="C4" i="9"/>
  <c r="C13" i="14"/>
  <c r="C11" i="10"/>
  <c r="C21" i="19"/>
  <c r="C9" i="11"/>
  <c r="C12" i="19"/>
  <c r="C3" i="3"/>
  <c r="C11" i="3"/>
  <c r="C12" i="3"/>
  <c r="U17" i="17" s="1"/>
  <c r="U13" i="21"/>
  <c r="U14" i="21"/>
  <c r="U17" i="9"/>
  <c r="U24" i="15"/>
  <c r="U33" i="19"/>
  <c r="U16" i="9"/>
  <c r="U30" i="11"/>
  <c r="U8" i="18"/>
  <c r="U21" i="22"/>
  <c r="U23" i="15"/>
  <c r="U20" i="13"/>
  <c r="U28" i="11"/>
  <c r="C7" i="3"/>
  <c r="U23" i="16"/>
  <c r="U32" i="19"/>
  <c r="U9" i="18"/>
  <c r="U19" i="22"/>
  <c r="U23" i="10"/>
  <c r="U20" i="22"/>
  <c r="U10" i="18"/>
  <c r="C18" i="3"/>
  <c r="C9" i="3"/>
  <c r="C15" i="3"/>
  <c r="C10" i="3"/>
  <c r="C5" i="3"/>
  <c r="U18" i="22" s="1"/>
  <c r="C2" i="3"/>
  <c r="C4" i="3"/>
  <c r="C17" i="3"/>
  <c r="C16" i="3"/>
  <c r="C14" i="3"/>
  <c r="C8" i="3"/>
  <c r="U31" i="11" l="1"/>
  <c r="U23" i="11"/>
  <c r="U26" i="11"/>
  <c r="U29" i="11"/>
  <c r="U24" i="11"/>
  <c r="U3" i="11"/>
  <c r="U18" i="11"/>
  <c r="U27" i="11"/>
  <c r="U10" i="11"/>
  <c r="U22" i="11"/>
  <c r="U5" i="11"/>
  <c r="U7" i="11"/>
  <c r="U9" i="11"/>
  <c r="U15" i="11"/>
  <c r="U11" i="11"/>
  <c r="U6" i="11"/>
  <c r="U17" i="11"/>
  <c r="U25" i="11"/>
  <c r="U20" i="11"/>
  <c r="U21" i="11"/>
  <c r="U14" i="11"/>
  <c r="U2" i="11"/>
  <c r="U19" i="11"/>
  <c r="U12" i="11"/>
  <c r="U13" i="11"/>
  <c r="U4" i="11"/>
  <c r="U16" i="11"/>
  <c r="U12" i="22"/>
  <c r="U12" i="12"/>
  <c r="U18" i="15"/>
  <c r="U13" i="9"/>
  <c r="U9" i="21"/>
  <c r="C13" i="3"/>
  <c r="C29" i="3" s="1"/>
  <c r="U5" i="7"/>
  <c r="U7" i="13"/>
  <c r="U14" i="17"/>
  <c r="U6" i="14"/>
  <c r="U7" i="18"/>
  <c r="U14" i="19"/>
  <c r="U9" i="9"/>
  <c r="U14" i="9"/>
  <c r="U11" i="9"/>
  <c r="U3" i="9"/>
  <c r="U7" i="9"/>
  <c r="U2" i="16"/>
  <c r="U8" i="20"/>
  <c r="U10" i="20"/>
  <c r="U6" i="20"/>
  <c r="U2" i="18"/>
  <c r="U7" i="20"/>
  <c r="U11" i="19"/>
  <c r="U9" i="19"/>
  <c r="U29" i="19"/>
  <c r="U23" i="19"/>
  <c r="U8" i="19"/>
  <c r="U4" i="20"/>
  <c r="U3" i="20"/>
  <c r="U15" i="19"/>
  <c r="U6" i="19"/>
  <c r="U31" i="19"/>
  <c r="U16" i="19"/>
  <c r="U17" i="19"/>
  <c r="U5" i="19"/>
  <c r="U21" i="19"/>
  <c r="U3" i="19"/>
  <c r="U5" i="20"/>
  <c r="U19" i="19"/>
  <c r="U25" i="19"/>
  <c r="U2" i="19"/>
  <c r="U26" i="19"/>
  <c r="U27" i="19"/>
  <c r="U22" i="19"/>
  <c r="U24" i="19"/>
  <c r="U4" i="19"/>
  <c r="U9" i="20"/>
  <c r="U2" i="20"/>
  <c r="U11" i="16"/>
  <c r="U11" i="21"/>
  <c r="U10" i="21"/>
  <c r="U7" i="21"/>
  <c r="U2" i="21"/>
  <c r="U8" i="21"/>
  <c r="U22" i="16"/>
  <c r="U6" i="18"/>
  <c r="U13" i="19"/>
  <c r="U4" i="21"/>
  <c r="U12" i="21"/>
  <c r="U3" i="21"/>
  <c r="U9" i="16"/>
  <c r="U6" i="21"/>
  <c r="U5" i="21"/>
  <c r="U12" i="16"/>
  <c r="U5" i="18"/>
  <c r="U10" i="19"/>
  <c r="U12" i="19"/>
  <c r="U20" i="19"/>
  <c r="U7" i="19"/>
  <c r="U18" i="19"/>
  <c r="U30" i="19"/>
  <c r="U28" i="19"/>
  <c r="U5" i="16"/>
  <c r="U8" i="16"/>
  <c r="U6" i="16"/>
  <c r="U3" i="17"/>
  <c r="U16" i="16"/>
  <c r="U3" i="16"/>
  <c r="U13" i="17"/>
  <c r="U3" i="18"/>
  <c r="U4" i="18"/>
  <c r="U7" i="17"/>
  <c r="U10" i="17"/>
  <c r="U9" i="17"/>
  <c r="U6" i="17"/>
  <c r="U4" i="17"/>
  <c r="U10" i="16"/>
  <c r="U4" i="16"/>
  <c r="U13" i="16"/>
  <c r="U5" i="17"/>
  <c r="U12" i="17"/>
  <c r="U8" i="17"/>
  <c r="U15" i="17"/>
  <c r="U2" i="17"/>
  <c r="U16" i="17"/>
  <c r="U11" i="17"/>
  <c r="U4" i="13"/>
  <c r="U21" i="15"/>
  <c r="U7" i="16"/>
  <c r="U18" i="16"/>
  <c r="U20" i="16"/>
  <c r="U3" i="13"/>
  <c r="U21" i="16"/>
  <c r="U15" i="16"/>
  <c r="U14" i="16"/>
  <c r="U17" i="16"/>
  <c r="U19" i="16"/>
  <c r="U12" i="14"/>
  <c r="U7" i="14"/>
  <c r="U14" i="15"/>
  <c r="U13" i="15"/>
  <c r="U10" i="15"/>
  <c r="U11" i="14"/>
  <c r="U11" i="15"/>
  <c r="U4" i="15"/>
  <c r="U3" i="15"/>
  <c r="U5" i="15"/>
  <c r="U7" i="15"/>
  <c r="U10" i="13"/>
  <c r="U18" i="14"/>
  <c r="U2" i="15"/>
  <c r="U19" i="15"/>
  <c r="U20" i="15"/>
  <c r="U17" i="15"/>
  <c r="U12" i="15"/>
  <c r="U22" i="15"/>
  <c r="U19" i="14"/>
  <c r="U8" i="15"/>
  <c r="U6" i="15"/>
  <c r="U9" i="15"/>
  <c r="U16" i="15"/>
  <c r="U15" i="15"/>
  <c r="U16" i="13"/>
  <c r="U11" i="13"/>
  <c r="U14" i="13"/>
  <c r="U2" i="13"/>
  <c r="U21" i="14"/>
  <c r="U5" i="14"/>
  <c r="U3" i="14"/>
  <c r="U23" i="14"/>
  <c r="U9" i="14"/>
  <c r="U14" i="14"/>
  <c r="U22" i="14"/>
  <c r="U8" i="14"/>
  <c r="U16" i="14"/>
  <c r="U2" i="14"/>
  <c r="U5" i="13"/>
  <c r="U19" i="13"/>
  <c r="U12" i="13"/>
  <c r="U8" i="13"/>
  <c r="U6" i="13"/>
  <c r="U17" i="14"/>
  <c r="U13" i="13"/>
  <c r="U9" i="13"/>
  <c r="U17" i="13"/>
  <c r="U18" i="13"/>
  <c r="U15" i="13"/>
  <c r="U10" i="14"/>
  <c r="U20" i="14"/>
  <c r="U15" i="14"/>
  <c r="U4" i="14"/>
  <c r="U13" i="14"/>
  <c r="U2" i="12"/>
  <c r="U9" i="12"/>
  <c r="U13" i="12"/>
  <c r="U11" i="12"/>
  <c r="U4" i="12"/>
  <c r="U15" i="12"/>
  <c r="U14" i="12"/>
  <c r="U16" i="12"/>
  <c r="U8" i="12"/>
  <c r="U3" i="12"/>
  <c r="U6" i="12"/>
  <c r="U5" i="12"/>
  <c r="U10" i="12"/>
  <c r="U7" i="12"/>
  <c r="U10" i="7"/>
  <c r="U15" i="7"/>
  <c r="U19" i="7"/>
  <c r="U11" i="7"/>
  <c r="U8" i="7"/>
  <c r="U21" i="7"/>
  <c r="U17" i="7"/>
  <c r="U12" i="7"/>
  <c r="U15" i="9"/>
  <c r="U10" i="9"/>
  <c r="U6" i="9"/>
  <c r="U22" i="7"/>
  <c r="U2" i="9"/>
  <c r="U14" i="7"/>
  <c r="U13" i="7"/>
  <c r="U8" i="9"/>
  <c r="U2" i="7"/>
  <c r="U18" i="7"/>
  <c r="U6" i="7"/>
  <c r="U9" i="7"/>
  <c r="U20" i="7"/>
  <c r="U12" i="9"/>
  <c r="U4" i="7"/>
  <c r="U3" i="7"/>
  <c r="U5" i="9"/>
  <c r="U7" i="7"/>
  <c r="U4" i="9"/>
  <c r="U16" i="7"/>
  <c r="U7" i="22" l="1"/>
  <c r="U16" i="22"/>
  <c r="U17" i="22"/>
  <c r="U9" i="22"/>
  <c r="U5" i="22"/>
  <c r="U11" i="22"/>
  <c r="U15" i="22"/>
  <c r="U6" i="22"/>
  <c r="U10" i="22"/>
  <c r="U3" i="22"/>
  <c r="U14" i="22"/>
  <c r="U8" i="22"/>
  <c r="U13" i="22"/>
  <c r="U4" i="22"/>
  <c r="U2" i="22"/>
  <c r="U15" i="10"/>
  <c r="U10" i="10"/>
  <c r="U17" i="10"/>
  <c r="U12" i="10"/>
  <c r="U7" i="10"/>
  <c r="U5" i="10"/>
  <c r="U16" i="10"/>
  <c r="U19" i="10"/>
  <c r="U9" i="10"/>
  <c r="U2" i="10"/>
  <c r="U3" i="10"/>
  <c r="U13" i="10"/>
  <c r="U8" i="10"/>
  <c r="U6" i="10"/>
  <c r="U14" i="10"/>
  <c r="U4" i="10"/>
  <c r="U21" i="10"/>
  <c r="U20" i="10"/>
  <c r="U18" i="10"/>
  <c r="U11" i="10"/>
  <c r="U22" i="10"/>
</calcChain>
</file>

<file path=xl/sharedStrings.xml><?xml version="1.0" encoding="utf-8"?>
<sst xmlns="http://schemas.openxmlformats.org/spreadsheetml/2006/main" count="1183" uniqueCount="763">
  <si>
    <t>Stats</t>
  </si>
  <si>
    <t>Ratio</t>
  </si>
  <si>
    <t>Spirit</t>
  </si>
  <si>
    <t>Presence of Mind</t>
  </si>
  <si>
    <t>Arcane Power</t>
  </si>
  <si>
    <t>Improved Frostbolt</t>
  </si>
  <si>
    <t>Elemental Precision</t>
  </si>
  <si>
    <t>Ice Shards</t>
  </si>
  <si>
    <t>Piercing Ice</t>
  </si>
  <si>
    <t>Buffs</t>
  </si>
  <si>
    <t>Talents</t>
  </si>
  <si>
    <t>Arcane Intellect</t>
  </si>
  <si>
    <t>Blessing of Kings</t>
  </si>
  <si>
    <t>Blessing of Wisdom</t>
  </si>
  <si>
    <t>Mark of the Wild</t>
  </si>
  <si>
    <t>Debuffs</t>
  </si>
  <si>
    <t>Curse of Elements</t>
  </si>
  <si>
    <t>Winterchill</t>
  </si>
  <si>
    <t>Consumables</t>
  </si>
  <si>
    <t>Flask of Supreme Power</t>
  </si>
  <si>
    <t>Elixir of Frost Power</t>
  </si>
  <si>
    <t>Arcane Elixir</t>
  </si>
  <si>
    <t>Wizard Oil</t>
  </si>
  <si>
    <t>Yes</t>
  </si>
  <si>
    <t>No</t>
  </si>
  <si>
    <t>Improved</t>
  </si>
  <si>
    <t>Greater Arcane Elixir</t>
  </si>
  <si>
    <t>Unbuffed</t>
  </si>
  <si>
    <t>Lesser Wizard Oil</t>
  </si>
  <si>
    <t>Minor Wizard Oil</t>
  </si>
  <si>
    <t>Brilliant Wizard Oil</t>
  </si>
  <si>
    <t>Blessed Wizard Oil</t>
  </si>
  <si>
    <t>Strength:</t>
  </si>
  <si>
    <t>Stamina</t>
  </si>
  <si>
    <t>Agility:</t>
  </si>
  <si>
    <t>Stamina:</t>
  </si>
  <si>
    <t>Intellect:</t>
  </si>
  <si>
    <t>Spirit:</t>
  </si>
  <si>
    <t>Buffed</t>
  </si>
  <si>
    <t>Mage Armor</t>
  </si>
  <si>
    <t>Arcane Meditation</t>
  </si>
  <si>
    <t>Spell Hit</t>
  </si>
  <si>
    <t>Spell Crit</t>
  </si>
  <si>
    <t>Frostbolt Min</t>
  </si>
  <si>
    <t>Frostbolt Avg</t>
  </si>
  <si>
    <t>Frostbold Max</t>
  </si>
  <si>
    <t>Frostbolt Rank</t>
  </si>
  <si>
    <t>Frostbolt Rank 11</t>
  </si>
  <si>
    <t>Normal</t>
  </si>
  <si>
    <t>Crit</t>
  </si>
  <si>
    <t>Average Potential DPS</t>
  </si>
  <si>
    <t>Average Real DPS</t>
  </si>
  <si>
    <t>Frostbolt Damage Calculation</t>
  </si>
  <si>
    <t>Frostbolt DPS Calculation</t>
  </si>
  <si>
    <t>Average Damage per Frostbolt</t>
  </si>
  <si>
    <t>Stat Calculation</t>
  </si>
  <si>
    <t>DPS</t>
  </si>
  <si>
    <t>Stat Matrix</t>
  </si>
  <si>
    <t>Blood Pakt</t>
  </si>
  <si>
    <t>Onyxia Buff</t>
  </si>
  <si>
    <t>Bufffood</t>
  </si>
  <si>
    <t>MP5</t>
  </si>
  <si>
    <t>Stam/Spirit</t>
  </si>
  <si>
    <t>Head</t>
  </si>
  <si>
    <t>Neck</t>
  </si>
  <si>
    <t>Shoulder</t>
  </si>
  <si>
    <t>Back</t>
  </si>
  <si>
    <t>Chest</t>
  </si>
  <si>
    <t>Wrist</t>
  </si>
  <si>
    <t>Hands</t>
  </si>
  <si>
    <t>Waist</t>
  </si>
  <si>
    <t>Legs</t>
  </si>
  <si>
    <t>Feet</t>
  </si>
  <si>
    <t>Ring</t>
  </si>
  <si>
    <t>Trinket</t>
  </si>
  <si>
    <t>Weapon</t>
  </si>
  <si>
    <t>Offhand</t>
  </si>
  <si>
    <t>Wand</t>
  </si>
  <si>
    <t>ID</t>
  </si>
  <si>
    <t>Slot</t>
  </si>
  <si>
    <t>Armor</t>
  </si>
  <si>
    <t>Strength</t>
  </si>
  <si>
    <t>Agility</t>
  </si>
  <si>
    <t>Intellect</t>
  </si>
  <si>
    <t>Spell Power</t>
  </si>
  <si>
    <t>Name</t>
  </si>
  <si>
    <t>Score</t>
  </si>
  <si>
    <t>Fire Resistance</t>
  </si>
  <si>
    <t>Frost Resistance</t>
  </si>
  <si>
    <t>Nature Resistance</t>
  </si>
  <si>
    <t>Arcane Resistance</t>
  </si>
  <si>
    <t>Shadow Resistance</t>
  </si>
  <si>
    <t>Arcanist Boots</t>
  </si>
  <si>
    <t>Choker of the Fire Lord</t>
  </si>
  <si>
    <t>Boreal Mantle</t>
  </si>
  <si>
    <t>Spritecaster Cape</t>
  </si>
  <si>
    <t>Freezing Lich Robes</t>
  </si>
  <si>
    <t>Arcanist Bindings</t>
  </si>
  <si>
    <t>Frostweave Gloves</t>
  </si>
  <si>
    <t>Mana Igniting Cord</t>
  </si>
  <si>
    <t>Netherwind Pants</t>
  </si>
  <si>
    <t>Ring of Spell Power</t>
  </si>
  <si>
    <t>Eye of the Beast</t>
  </si>
  <si>
    <t>Briarwood Reed</t>
  </si>
  <si>
    <t>Azuresong Mageblade</t>
  </si>
  <si>
    <t>Tome of the Ice Lord</t>
  </si>
  <si>
    <t>Wand of Biting Cold</t>
  </si>
  <si>
    <t>Warsong Sash</t>
  </si>
  <si>
    <t>Kentic Amice</t>
  </si>
  <si>
    <t>Enthralled Sphere</t>
  </si>
  <si>
    <t>Staff of the Shadow Flame</t>
  </si>
  <si>
    <t>Two-Hand</t>
  </si>
  <si>
    <t>Archivist Cape</t>
  </si>
  <si>
    <t>Arcanist Crown</t>
  </si>
  <si>
    <t>Charakter</t>
  </si>
  <si>
    <t>Race</t>
  </si>
  <si>
    <t>Gear</t>
  </si>
  <si>
    <t>Item</t>
  </si>
  <si>
    <t>Races</t>
  </si>
  <si>
    <t>Human</t>
  </si>
  <si>
    <t>Gnome</t>
  </si>
  <si>
    <t>Undead</t>
  </si>
  <si>
    <t>Troll</t>
  </si>
  <si>
    <t>Spirit Bonus</t>
  </si>
  <si>
    <t>Int Bonus</t>
  </si>
  <si>
    <t>Troll Rage</t>
  </si>
  <si>
    <t>Enchant</t>
  </si>
  <si>
    <t>Arcane Instability</t>
  </si>
  <si>
    <t>Arcane Mind</t>
  </si>
  <si>
    <t>Health Points</t>
  </si>
  <si>
    <t>Mana Points</t>
  </si>
  <si>
    <t>Magic Absorption</t>
  </si>
  <si>
    <t>Entchant</t>
  </si>
  <si>
    <t>Lesser Arcanum of Voracity</t>
  </si>
  <si>
    <t>Arcanum of Focus</t>
  </si>
  <si>
    <t>Head, Legs</t>
  </si>
  <si>
    <t>Pressence of Sight</t>
  </si>
  <si>
    <t>Chromatic Mantle of the Dawn</t>
  </si>
  <si>
    <t>Greater Stats</t>
  </si>
  <si>
    <t>Greater Resistance</t>
  </si>
  <si>
    <t xml:space="preserve">Chest </t>
  </si>
  <si>
    <t>Major Mana</t>
  </si>
  <si>
    <t>Greater Intellect</t>
  </si>
  <si>
    <t>Major Intellect (Twohand)</t>
  </si>
  <si>
    <t>Zandalar Signet of Mojo</t>
  </si>
  <si>
    <t>Greater Fire Resistance</t>
  </si>
  <si>
    <t>Gloves</t>
  </si>
  <si>
    <t>Fire Power</t>
  </si>
  <si>
    <t>Frost Power</t>
  </si>
  <si>
    <t>TBD</t>
  </si>
  <si>
    <t>Power of the Scourge</t>
  </si>
  <si>
    <t>Greater Nature Resistance</t>
  </si>
  <si>
    <t>Summe</t>
  </si>
  <si>
    <t>Head Enchant</t>
  </si>
  <si>
    <t>Shoulder Enchant</t>
  </si>
  <si>
    <t>Back Enchant</t>
  </si>
  <si>
    <t>Chest Enchant</t>
  </si>
  <si>
    <t>Wrist Enchant</t>
  </si>
  <si>
    <t>Gloves Enchant</t>
  </si>
  <si>
    <t>Leg Enchant</t>
  </si>
  <si>
    <t>Weapon Enchant</t>
  </si>
  <si>
    <t>Mana</t>
  </si>
  <si>
    <t>Base Stats</t>
  </si>
  <si>
    <t>Average DPS without Crit</t>
  </si>
  <si>
    <t>Average Real DPS without Crit</t>
  </si>
  <si>
    <t>Classic Frost Mage</t>
  </si>
  <si>
    <t>T1 3er Set Bonus</t>
  </si>
  <si>
    <t>Delta</t>
  </si>
  <si>
    <t>Netherwind Crown</t>
  </si>
  <si>
    <t>Netherwind Mantle</t>
  </si>
  <si>
    <t>Forst Spell Power</t>
  </si>
  <si>
    <t>Frost Spell Power</t>
  </si>
  <si>
    <t>Netherwind Robes</t>
  </si>
  <si>
    <t>Robe of Volatile Power</t>
  </si>
  <si>
    <t>Netherwind Bindings</t>
  </si>
  <si>
    <t>Mantle of the Blackwing Cabal</t>
  </si>
  <si>
    <t>Bonecrusher</t>
  </si>
  <si>
    <t>Robe of the Archmage</t>
  </si>
  <si>
    <t>Bloodvine Vest</t>
  </si>
  <si>
    <t>Dreamweave Circlet</t>
  </si>
  <si>
    <t>Flarecore Leggings</t>
  </si>
  <si>
    <t>Frostweave Pants</t>
  </si>
  <si>
    <t>Azure Shoulders</t>
  </si>
  <si>
    <t>Belt of the Archmage</t>
  </si>
  <si>
    <t>Choker of Enlightenment</t>
  </si>
  <si>
    <t>Crimson Shocker</t>
  </si>
  <si>
    <t>Talisman of Ephemeral Power</t>
  </si>
  <si>
    <t>Arcanist Leggings</t>
  </si>
  <si>
    <t>Manastorm Leggings</t>
  </si>
  <si>
    <t>Sorcerous Dagger</t>
  </si>
  <si>
    <t>Arcanist Gloves</t>
  </si>
  <si>
    <t>Seal of the Archmagus</t>
  </si>
  <si>
    <t>Arcanist Robes</t>
  </si>
  <si>
    <t>Staff of Dominance</t>
  </si>
  <si>
    <t>Gloves of the Hypnotic Flame</t>
  </si>
  <si>
    <t>Arcanist Belt</t>
  </si>
  <si>
    <t>Sapphiron Drape</t>
  </si>
  <si>
    <t>Mind Quickening Gem</t>
  </si>
  <si>
    <t>Netherwind Belt</t>
  </si>
  <si>
    <t>Bracers of Arcane Accuracy</t>
  </si>
  <si>
    <t>Netherwind Boots</t>
  </si>
  <si>
    <t>Netherwind Gloves</t>
  </si>
  <si>
    <t>Firemaw's Clutch</t>
  </si>
  <si>
    <t>Spineshatter</t>
  </si>
  <si>
    <t>Ring of Blackrock</t>
  </si>
  <si>
    <t>Angelista's Grasp</t>
  </si>
  <si>
    <t>Claw of Chromaggus</t>
  </si>
  <si>
    <t>Mish'undare, Circlet of the Mind Flayer</t>
  </si>
  <si>
    <t>Cloak of the Brood Lord</t>
  </si>
  <si>
    <t>Neltharion's Tear</t>
  </si>
  <si>
    <t>Ringo's Blizzard Boots</t>
  </si>
  <si>
    <t>Essence Gatherer</t>
  </si>
  <si>
    <t>Grimgore Noose</t>
  </si>
  <si>
    <t>Star of Mystaria</t>
  </si>
  <si>
    <t>Crimson Felt Hat</t>
  </si>
  <si>
    <t>Dreadmist Sandals</t>
  </si>
  <si>
    <t>Shadowy Laced Handwraps</t>
  </si>
  <si>
    <t>Banshee Finger</t>
  </si>
  <si>
    <t>Thuzadin Sash</t>
  </si>
  <si>
    <t>Soulstealer Mantle</t>
  </si>
  <si>
    <t>Seal of Rivendare</t>
  </si>
  <si>
    <t>Beaststalker's Pants</t>
  </si>
  <si>
    <t>Devout Skirt</t>
  </si>
  <si>
    <t>Dreadmist Leggings</t>
  </si>
  <si>
    <t>Magister's Boots</t>
  </si>
  <si>
    <t>Devout Bracers</t>
  </si>
  <si>
    <t>Magister's Belt</t>
  </si>
  <si>
    <t>Dreadmist Belt</t>
  </si>
  <si>
    <t>Sacred Cloth Leggings</t>
  </si>
  <si>
    <t>Clutch of Andros</t>
  </si>
  <si>
    <t>Heart of the Fiend</t>
  </si>
  <si>
    <t>Dreadmist Mantle</t>
  </si>
  <si>
    <t>Darkshade Gloves</t>
  </si>
  <si>
    <t>Magister's Mantle</t>
  </si>
  <si>
    <t>Windchaser Cloak</t>
  </si>
  <si>
    <t>Burial Shawl</t>
  </si>
  <si>
    <t>Scorpashi Slippers</t>
  </si>
  <si>
    <t>Necropile Mantle</t>
  </si>
  <si>
    <t>Necropile Robe</t>
  </si>
  <si>
    <t>Necropile Leggings</t>
  </si>
  <si>
    <t>Necropile Boots</t>
  </si>
  <si>
    <t>Magister's Gloves</t>
  </si>
  <si>
    <t>Dreadmist Wraps</t>
  </si>
  <si>
    <t>Devout Crown</t>
  </si>
  <si>
    <t>Magister's Crown</t>
  </si>
  <si>
    <t>Dreadmist Mask</t>
  </si>
  <si>
    <t>Bonecreeper Stylus</t>
  </si>
  <si>
    <t>Coldstone Slippers</t>
  </si>
  <si>
    <t>Heliotrope Cloak</t>
  </si>
  <si>
    <t>Sublime Wristguards</t>
  </si>
  <si>
    <t>Crown of the Ogre King</t>
  </si>
  <si>
    <t>Rod of the Ogre Magi</t>
  </si>
  <si>
    <t>Oddly Magical Belt</t>
  </si>
  <si>
    <t>Mana Channeling Wand</t>
  </si>
  <si>
    <t>Amplifying Cloak</t>
  </si>
  <si>
    <t>Brightspark Gloves</t>
  </si>
  <si>
    <t>Robe of Everlasting Night</t>
  </si>
  <si>
    <t>Mind Carver</t>
  </si>
  <si>
    <t>Diabolic Mantle</t>
  </si>
  <si>
    <t>Tempest Talisman</t>
  </si>
  <si>
    <t>Dustfeather Sash</t>
  </si>
  <si>
    <t>Starfire Tiara</t>
  </si>
  <si>
    <t>Dragonskin Cowl</t>
  </si>
  <si>
    <t>Dragonrider Boots</t>
  </si>
  <si>
    <t>Tooth of Gnarr</t>
  </si>
  <si>
    <t>Devout Robe</t>
  </si>
  <si>
    <t>Magister's Robes</t>
  </si>
  <si>
    <t>Dreadmist Robe</t>
  </si>
  <si>
    <t>Devout Belt</t>
  </si>
  <si>
    <t>Magister's Bindings</t>
  </si>
  <si>
    <t>Dreadmist Bracers</t>
  </si>
  <si>
    <t>Demonskin Gloves</t>
  </si>
  <si>
    <t>Butcher's Apron</t>
  </si>
  <si>
    <t>Skyshroud Leggings</t>
  </si>
  <si>
    <t>Ogreseer Tower Boots</t>
  </si>
  <si>
    <t>Funeral Cuffs</t>
  </si>
  <si>
    <t>Kayser's Boots of Precision</t>
  </si>
  <si>
    <t>Sunderseer Mantle</t>
  </si>
  <si>
    <t>Hands of Power</t>
  </si>
  <si>
    <t>Wolfshear Leggings</t>
  </si>
  <si>
    <t>Trindlehaven Staff</t>
  </si>
  <si>
    <t>Ban'thok Sash</t>
  </si>
  <si>
    <t>Cyclopean Band</t>
  </si>
  <si>
    <t>Kindling Stave</t>
  </si>
  <si>
    <t>Mana Shaping Handwraps</t>
  </si>
  <si>
    <t>Chief Architect's Monocle</t>
  </si>
  <si>
    <t>Omnicast Boots</t>
  </si>
  <si>
    <t>Burst of Knowledge</t>
  </si>
  <si>
    <t>Soot Encrusted Footwear</t>
  </si>
  <si>
    <t>Haunting Specter Leggings</t>
  </si>
  <si>
    <t>Robes of the Royal Crown</t>
  </si>
  <si>
    <t>Funeral Pyre Vestment</t>
  </si>
  <si>
    <t>Aristocratic Cuffs</t>
  </si>
  <si>
    <t>Atal'ai Gloves</t>
  </si>
  <si>
    <t>Embrace of the Wind Serpent</t>
  </si>
  <si>
    <t>Featherskin Cape</t>
  </si>
  <si>
    <t>Spire of Hakkar</t>
  </si>
  <si>
    <t>Vestments of the Atal'ai Prophet</t>
  </si>
  <si>
    <t>Gloves of the Atal'ai Prophet</t>
  </si>
  <si>
    <t>Kilt of the Atal'ai Prophet</t>
  </si>
  <si>
    <t>Nightfall Drape</t>
  </si>
  <si>
    <t>Dawnspire Cord</t>
  </si>
  <si>
    <t>Dragon's Eye</t>
  </si>
  <si>
    <t>Vinerot Sandals</t>
  </si>
  <si>
    <t>Satyrmane Sash</t>
  </si>
  <si>
    <t>Cloud Stone</t>
  </si>
  <si>
    <t>Inventor's Focal Sword</t>
  </si>
  <si>
    <t>Rotgrip Mantle</t>
  </si>
  <si>
    <t>Eye of Theradras</t>
  </si>
  <si>
    <t>Gemshard Heart</t>
  </si>
  <si>
    <t>Lifeblood Amulet</t>
  </si>
  <si>
    <t>Jumanza Grips</t>
  </si>
  <si>
    <t>Zum'rah's Vexing Cane</t>
  </si>
  <si>
    <t>Spellshock Leggings</t>
  </si>
  <si>
    <t>Stoneweaver Leggings</t>
  </si>
  <si>
    <t>Grimlok's Tribal Vestments</t>
  </si>
  <si>
    <t>Miner's Hat of the Deep</t>
  </si>
  <si>
    <t>Mantle of Lady Falther'ess</t>
  </si>
  <si>
    <t>Glowing Eye of Mordresh</t>
  </si>
  <si>
    <t>Deathmage Sash</t>
  </si>
  <si>
    <t>Robes of the Lich</t>
  </si>
  <si>
    <t>Corpseshroud</t>
  </si>
  <si>
    <t>Death's Head Vestment</t>
  </si>
  <si>
    <t>Freezing Shard</t>
  </si>
  <si>
    <t>Inquisitor's Shawl</t>
  </si>
  <si>
    <t>Whitemane's Chapeau</t>
  </si>
  <si>
    <t>Beguiler Robes</t>
  </si>
  <si>
    <t>Hypnotic Blade</t>
  </si>
  <si>
    <t>Illusionary Rod</t>
  </si>
  <si>
    <t>Orb of the Forgotten Seer</t>
  </si>
  <si>
    <t>Field Marshal's Coronet</t>
  </si>
  <si>
    <t>Field Marshal's Silk Spaulders</t>
  </si>
  <si>
    <t>Field Marshal's Silk Vestments</t>
  </si>
  <si>
    <t>Marshal's Silk Leggings</t>
  </si>
  <si>
    <t>Marshal's Silk Gloves</t>
  </si>
  <si>
    <t>Marshal's Silk Footwraps</t>
  </si>
  <si>
    <t>Lieutenant Commander's Silk Cowl</t>
  </si>
  <si>
    <t>Lieutenant Commander's Silk Mantle</t>
  </si>
  <si>
    <t>Knight-Captain's Silk Tunic</t>
  </si>
  <si>
    <t>Knight-Captain's Silk Legguards</t>
  </si>
  <si>
    <t>Knight-Lieutenant's Silk Walkers</t>
  </si>
  <si>
    <t>Grand Marshal's Mageblade</t>
  </si>
  <si>
    <t>Grand Marshal's Stave</t>
  </si>
  <si>
    <t>Don Rodrigo's Band</t>
  </si>
  <si>
    <t>Crackling Staff</t>
  </si>
  <si>
    <t>Stormpike Sage's Cloak</t>
  </si>
  <si>
    <t>Stormpike Cloth Girdle</t>
  </si>
  <si>
    <t>Dryad's Wrist Bindings</t>
  </si>
  <si>
    <t>Sentinel's Silk Leggings</t>
  </si>
  <si>
    <t>Highlander's Epaulets</t>
  </si>
  <si>
    <t>Sageclaw</t>
  </si>
  <si>
    <t>Ironbark Staff</t>
  </si>
  <si>
    <t>Frostfire Circlet</t>
  </si>
  <si>
    <t>Frostfire Shoulderpads</t>
  </si>
  <si>
    <t>Frostfire Robe</t>
  </si>
  <si>
    <t>Frostfire Bindings</t>
  </si>
  <si>
    <t>Frostfire Gloves</t>
  </si>
  <si>
    <t>Frostfire Belt</t>
  </si>
  <si>
    <t>Frostfire Leggings</t>
  </si>
  <si>
    <t>Frostfire Sandals</t>
  </si>
  <si>
    <t>Frostfire Ring</t>
  </si>
  <si>
    <t>Vestments of the Shifting Sands</t>
  </si>
  <si>
    <t>Dustwind Turban</t>
  </si>
  <si>
    <t>Talon of Furious Concentration</t>
  </si>
  <si>
    <t>Mantle of Maz'Nadir</t>
  </si>
  <si>
    <t>Cloak of the Savior</t>
  </si>
  <si>
    <t>Quicksand Waders</t>
  </si>
  <si>
    <t>Blade of Vaulted Secrets</t>
  </si>
  <si>
    <t>Drape of Vaulted Secrets</t>
  </si>
  <si>
    <t>Band of Vaulted Secrets</t>
  </si>
  <si>
    <t>Ring of the Desert Winds</t>
  </si>
  <si>
    <t>Shackles of the Unscarred</t>
  </si>
  <si>
    <t>Leggings of the Black Blizzard</t>
  </si>
  <si>
    <t>Staff of the Ruins</t>
  </si>
  <si>
    <t>Charm of the Shifting Sands</t>
  </si>
  <si>
    <t>Darkwater Robes</t>
  </si>
  <si>
    <t>Fang of Korialstrasz</t>
  </si>
  <si>
    <t>Zandalar Illusionist's Mantle</t>
  </si>
  <si>
    <t>Zandalar Illusionist's Robe</t>
  </si>
  <si>
    <t>Zandalar Illusionist's Wraps</t>
  </si>
  <si>
    <t>Jeklik's Opaline Talisman</t>
  </si>
  <si>
    <t>Fang of Venoxis</t>
  </si>
  <si>
    <t>Flowing Ritual Robes</t>
  </si>
  <si>
    <t>Mar'li's Touch</t>
  </si>
  <si>
    <t>Bloodtinged Kilt</t>
  </si>
  <si>
    <t>Betrayer's Boots</t>
  </si>
  <si>
    <t>Jin'do's Bag of Whammies</t>
  </si>
  <si>
    <t>Jin'do's Judgement</t>
  </si>
  <si>
    <t>Cloak of Consumption</t>
  </si>
  <si>
    <t>Soul Corrupter's Necklace</t>
  </si>
  <si>
    <t>Touch of Chaos</t>
  </si>
  <si>
    <t>Bloodcaller</t>
  </si>
  <si>
    <t>Zandalarian Hero Charm</t>
  </si>
  <si>
    <t>Band of Servitude</t>
  </si>
  <si>
    <t>Cloak of the Hakkari Worshipers</t>
  </si>
  <si>
    <t>Zulian Ceremonial Staff</t>
  </si>
  <si>
    <t>Cloak of Concentrated Hatred</t>
  </si>
  <si>
    <t>Ring of Swarming Thought</t>
  </si>
  <si>
    <t>Staff of the Qiraji Prophets</t>
  </si>
  <si>
    <t>Blessed Qiraji Acolyte Staff</t>
  </si>
  <si>
    <t>Wand of Qiraji Nobility</t>
  </si>
  <si>
    <t>Necklace of Purity</t>
  </si>
  <si>
    <t>Robes of the Battleguard</t>
  </si>
  <si>
    <t>Recomposed Boots</t>
  </si>
  <si>
    <t>Enigma Boots</t>
  </si>
  <si>
    <t>Boots of Epiphany</t>
  </si>
  <si>
    <t>Royal Scepter of Vek'lor</t>
  </si>
  <si>
    <t>Amulet of Vek'nilash</t>
  </si>
  <si>
    <t>Burrower Bracers</t>
  </si>
  <si>
    <t>Cloak of the Devoured</t>
  </si>
  <si>
    <t>Eyestalk Waist Cord</t>
  </si>
  <si>
    <t>Dark Storm Gauntlets</t>
  </si>
  <si>
    <t>Ring of the Fallen God</t>
  </si>
  <si>
    <t>Garb of Royal Ascension</t>
  </si>
  <si>
    <t>Gloves of the Immortal</t>
  </si>
  <si>
    <t>Ritssyn's Ring of Chaos</t>
  </si>
  <si>
    <t>Gem of Nerubis</t>
  </si>
  <si>
    <t>Crystal Webbed Robe</t>
  </si>
  <si>
    <t>Band of the Inevitable</t>
  </si>
  <si>
    <t>Preceptor's Hat</t>
  </si>
  <si>
    <t>Brimstone Staff</t>
  </si>
  <si>
    <t>Veil of Eclipse</t>
  </si>
  <si>
    <t>Wand of the Whispering Dead</t>
  </si>
  <si>
    <t>The Soul Harvester's Bindings</t>
  </si>
  <si>
    <t>Seal of the Damned</t>
  </si>
  <si>
    <t>Wand of Fates</t>
  </si>
  <si>
    <t>Glacial Mantle</t>
  </si>
  <si>
    <t>Rime Covered Mantle</t>
  </si>
  <si>
    <t>Leggings of Polarity</t>
  </si>
  <si>
    <t>Eye of Diminution</t>
  </si>
  <si>
    <t>Cloak of the Necropolis</t>
  </si>
  <si>
    <t>The Restrained Essence of Sapphiron</t>
  </si>
  <si>
    <t>Sapphiron's Left Eye</t>
  </si>
  <si>
    <t>Gem of Trapped Innocents</t>
  </si>
  <si>
    <t>Doomfinger</t>
  </si>
  <si>
    <t>Soulseeker</t>
  </si>
  <si>
    <t>Necro-Knight's Garb</t>
  </si>
  <si>
    <t>Link</t>
  </si>
  <si>
    <t>https://classic.wowhead.com/item=22799</t>
  </si>
  <si>
    <t>https://classic.wowhead.com/item=21701</t>
  </si>
  <si>
    <t>https://classic.wowhead.com/item=22800</t>
  </si>
  <si>
    <t>https://classic.wowhead.com/item=18873</t>
  </si>
  <si>
    <t>https://classic.wowhead.com/item=21273</t>
  </si>
  <si>
    <t>https://classic.wowhead.com/item=23451</t>
  </si>
  <si>
    <t>https://classic.wowhead.com/item=21452</t>
  </si>
  <si>
    <t>https://classic.wowhead.com/item=19347</t>
  </si>
  <si>
    <t>https://classic.wowhead.com/item=19356</t>
  </si>
  <si>
    <t>https://classic.wowhead.com/item=22496</t>
  </si>
  <si>
    <t>https://classic.wowhead.com/item=19379</t>
  </si>
  <si>
    <t>https://classic.wowhead.com/item=21128</t>
  </si>
  <si>
    <t>https://classic.wowhead.com/item=22498</t>
  </si>
  <si>
    <t>https://classic.wowhead.com/item=23070</t>
  </si>
  <si>
    <t>https://classic.wowhead.com/item=22497</t>
  </si>
  <si>
    <t>https://classic.wowhead.com/item=23220</t>
  </si>
  <si>
    <t>https://classic.wowhead.com/item=20069</t>
  </si>
  <si>
    <t>https://classic.wowhead.com/item=23035</t>
  </si>
  <si>
    <t>https://classic.wowhead.com/item=18842</t>
  </si>
  <si>
    <t>https://classic.wowhead.com/item=21413</t>
  </si>
  <si>
    <t>https://classic.wowhead.com/item=19375</t>
  </si>
  <si>
    <t>https://classic.wowhead.com/item=19438</t>
  </si>
  <si>
    <t>https://classic.wowhead.com/item=21461</t>
  </si>
  <si>
    <t>https://classic.wowhead.com/item=22730</t>
  </si>
  <si>
    <t>https://classic.wowhead.com/item=14152</t>
  </si>
  <si>
    <t>https://classic.wowhead.com/item=17103</t>
  </si>
  <si>
    <t>https://classic.wowhead.com/item=21585</t>
  </si>
  <si>
    <t>https://classic.wowhead.com/item=21838</t>
  </si>
  <si>
    <t>https://classic.wowhead.com/item=22983</t>
  </si>
  <si>
    <t>https://classic.wowhead.com/item=21709</t>
  </si>
  <si>
    <t>https://classic.wowhead.com/item=19682</t>
  </si>
  <si>
    <t>https://classic.wowhead.com/item=19884</t>
  </si>
  <si>
    <t>https://classic.wowhead.com/item=23031</t>
  </si>
  <si>
    <t>https://classic.wowhead.com/item=14340</t>
  </si>
  <si>
    <t>https://classic.wowhead.com/item=19165</t>
  </si>
  <si>
    <t>https://classic.wowhead.com/item=23050</t>
  </si>
  <si>
    <t>https://classic.wowhead.com/item=23049</t>
  </si>
  <si>
    <t>https://classic.wowhead.com/item=16441</t>
  </si>
  <si>
    <t>https://classic.wowhead.com/item=16443</t>
  </si>
  <si>
    <t>https://classic.wowhead.com/item=16916</t>
  </si>
  <si>
    <t>https://classic.wowhead.com/item=21527</t>
  </si>
  <si>
    <t>https://classic.wowhead.com/item=23046</t>
  </si>
  <si>
    <t>https://classic.wowhead.com/item=21499</t>
  </si>
  <si>
    <t>https://classic.wowhead.com/item=22731</t>
  </si>
  <si>
    <t>https://classic.wowhead.com/item=16915</t>
  </si>
  <si>
    <t>https://classic.wowhead.com/item=22502</t>
  </si>
  <si>
    <t>https://classic.wowhead.com/item=16442</t>
  </si>
  <si>
    <t>https://classic.wowhead.com/item=22501</t>
  </si>
  <si>
    <t>https://classic.wowhead.com/item=21344</t>
  </si>
  <si>
    <t>https://classic.wowhead.com/item=20034</t>
  </si>
  <si>
    <t>https://classic.wowhead.com/item=22499</t>
  </si>
  <si>
    <t>https://classic.wowhead.com/item=21671</t>
  </si>
  <si>
    <t>https://classic.wowhead.com/item=23062</t>
  </si>
  <si>
    <t>https://classic.wowhead.com/item=19145</t>
  </si>
  <si>
    <t>https://classic.wowhead.com/item=23069</t>
  </si>
  <si>
    <t>https://classic.wowhead.com/item=19400</t>
  </si>
  <si>
    <t>https://classic.wowhead.com/item=20070</t>
  </si>
  <si>
    <t>https://classic.wowhead.com/item=22500</t>
  </si>
  <si>
    <t>https://classic.wowhead.com/item=21600</t>
  </si>
  <si>
    <t>https://classic.wowhead.com/item=19370</t>
  </si>
  <si>
    <t>https://classic.wowhead.com/item=23025</t>
  </si>
  <si>
    <t>https://classic.wowhead.com/item=21597</t>
  </si>
  <si>
    <t>https://classic.wowhead.com/item=19310</t>
  </si>
  <si>
    <t>https://classic.wowhead.com/item=13170</t>
  </si>
  <si>
    <t>https://classic.wowhead.com/item=18814</t>
  </si>
  <si>
    <t>https://classic.wowhead.com/item=16914</t>
  </si>
  <si>
    <t>https://classic.wowhead.com/item=19864</t>
  </si>
  <si>
    <t>https://classic.wowhead.com/item=21608</t>
  </si>
  <si>
    <t>https://classic.wowhead.com/item=20258</t>
  </si>
  <si>
    <t>https://classic.wowhead.com/item=19147</t>
  </si>
  <si>
    <t>https://classic.wowhead.com/item=19136</t>
  </si>
  <si>
    <t>https://classic.wowhead.com/item=19857</t>
  </si>
  <si>
    <t>https://classic.wowhead.com/item=19897</t>
  </si>
  <si>
    <t>https://classic.wowhead.com/item=21836</t>
  </si>
  <si>
    <t>https://classic.wowhead.com/item=16795</t>
  </si>
  <si>
    <t>https://classic.wowhead.com/item=16437</t>
  </si>
  <si>
    <t>https://classic.wowhead.com/item=18727</t>
  </si>
  <si>
    <t>https://classic.wowhead.com/item=18534</t>
  </si>
  <si>
    <t>https://classic.wowhead.com/item=19374</t>
  </si>
  <si>
    <t>https://classic.wowhead.com/item=19895</t>
  </si>
  <si>
    <t>https://classic.wowhead.com/item=22752</t>
  </si>
  <si>
    <t>https://classic.wowhead.com/item=11782</t>
  </si>
  <si>
    <t>https://classic.wowhead.com/item=19378</t>
  </si>
  <si>
    <t>https://classic.wowhead.com/item=21611</t>
  </si>
  <si>
    <t>https://classic.wowhead.com/item=23318</t>
  </si>
  <si>
    <t>https://classic.wowhead.com/item=23017</t>
  </si>
  <si>
    <t>https://classic.wowhead.com/item=23305</t>
  </si>
  <si>
    <t>https://classic.wowhead.com/item=23304</t>
  </si>
  <si>
    <t>https://classic.wowhead.com/item=12930</t>
  </si>
  <si>
    <t>https://classic.wowhead.com/item=16912</t>
  </si>
  <si>
    <t>https://classic.wowhead.com/item=16796</t>
  </si>
  <si>
    <t>https://classic.wowhead.com/item=22503</t>
  </si>
  <si>
    <t>https://classic.wowhead.com/item=18385</t>
  </si>
  <si>
    <t>https://classic.wowhead.com/item=23057</t>
  </si>
  <si>
    <t>https://classic.wowhead.com/item=21471</t>
  </si>
  <si>
    <t>https://classic.wowhead.com/item=16913</t>
  </si>
  <si>
    <t>https://classic.wowhead.com/item=13253</t>
  </si>
  <si>
    <t>https://classic.wowhead.com/item=23021</t>
  </si>
  <si>
    <t>https://classic.wowhead.com/item=16440</t>
  </si>
  <si>
    <t>https://classic.wowhead.com/item=19891</t>
  </si>
  <si>
    <t>https://classic.wowhead.com/item=16444</t>
  </si>
  <si>
    <t>https://classic.wowhead.com/item=22937</t>
  </si>
  <si>
    <t>https://classic.wowhead.com/item=21707</t>
  </si>
  <si>
    <t>https://classic.wowhead.com/item=16818</t>
  </si>
  <si>
    <t>https://classic.wowhead.com/item=23291</t>
  </si>
  <si>
    <t>https://classic.wowhead.com/item=21504</t>
  </si>
  <si>
    <t>https://classic.wowhead.com/item=13871</t>
  </si>
  <si>
    <t>https://classic.wowhead.com/item=16798</t>
  </si>
  <si>
    <t>https://classic.wowhead.com/item=19903</t>
  </si>
  <si>
    <t>https://classic.wowhead.com/item=20032</t>
  </si>
  <si>
    <t>https://classic.wowhead.com/item=9484</t>
  </si>
  <si>
    <t>https://classic.wowhead.com/item=22721</t>
  </si>
  <si>
    <t>https://classic.wowhead.com/item=22711</t>
  </si>
  <si>
    <t>https://classic.wowhead.com/item=11822</t>
  </si>
  <si>
    <t>https://classic.wowhead.com/item=19595</t>
  </si>
  <si>
    <t>https://classic.wowhead.com/item=21414</t>
  </si>
  <si>
    <t>https://classic.wowhead.com/item=21468</t>
  </si>
  <si>
    <t>https://classic.wowhead.com/item=23319</t>
  </si>
  <si>
    <t>https://classic.wowhead.com/item=16917</t>
  </si>
  <si>
    <t>https://classic.wowhead.com/item=22821</t>
  </si>
  <si>
    <t>https://classic.wowhead.com/item=10041</t>
  </si>
  <si>
    <t>https://classic.wowhead.com/item=18082</t>
  </si>
  <si>
    <t>https://classic.wowhead.com/item=19923</t>
  </si>
  <si>
    <t>https://classic.wowhead.com/item=18681</t>
  </si>
  <si>
    <t>https://classic.wowhead.com/item=13870</t>
  </si>
  <si>
    <t>https://classic.wowhead.com/item=21648</t>
  </si>
  <si>
    <t>https://classic.wowhead.com/item=16918</t>
  </si>
  <si>
    <t>https://classic.wowhead.com/item=22225</t>
  </si>
  <si>
    <t>https://classic.wowhead.com/item=17109</t>
  </si>
  <si>
    <t>https://classic.wowhead.com/item=19397</t>
  </si>
  <si>
    <t>https://classic.wowhead.com/item=21464</t>
  </si>
  <si>
    <t>https://classic.wowhead.com/item=18878</t>
  </si>
  <si>
    <t>https://classic.wowhead.com/item=11662</t>
  </si>
  <si>
    <t>https://classic.wowhead.com/item=22820</t>
  </si>
  <si>
    <t>https://classic.wowhead.com/item=18102</t>
  </si>
  <si>
    <t>https://classic.wowhead.com/item=11924</t>
  </si>
  <si>
    <t>https://classic.wowhead.com/item=19094</t>
  </si>
  <si>
    <t>https://classic.wowhead.com/item=21603</t>
  </si>
  <si>
    <t>https://classic.wowhead.com/item=21415</t>
  </si>
  <si>
    <t>https://classic.wowhead.com/item=19388</t>
  </si>
  <si>
    <t>https://classic.wowhead.com/item=16800</t>
  </si>
  <si>
    <t>https://classic.wowhead.com/item=18350</t>
  </si>
  <si>
    <t>https://classic.wowhead.com/item=10844</t>
  </si>
  <si>
    <t>https://classic.wowhead.com/item=19861</t>
  </si>
  <si>
    <t>https://classic.wowhead.com/item=21489</t>
  </si>
  <si>
    <t>https://classic.wowhead.com/item=22256</t>
  </si>
  <si>
    <t>https://classic.wowhead.com/item=19102</t>
  </si>
  <si>
    <t>https://classic.wowhead.com/item=13161</t>
  </si>
  <si>
    <t>https://classic.wowhead.com/item=21483</t>
  </si>
  <si>
    <t>https://classic.wowhead.com/item=16802</t>
  </si>
  <si>
    <t>https://classic.wowhead.com/item=18475</t>
  </si>
  <si>
    <t>https://classic.wowhead.com/item=19108</t>
  </si>
  <si>
    <t>https://classic.wowhead.com/item=22968</t>
  </si>
  <si>
    <t>https://classic.wowhead.com/item=18745</t>
  </si>
  <si>
    <t>https://classic.wowhead.com/item=17078</t>
  </si>
  <si>
    <t>https://classic.wowhead.com/item=16801</t>
  </si>
  <si>
    <t>https://classic.wowhead.com/item=11624</t>
  </si>
  <si>
    <t>https://classic.wowhead.com/item=19846</t>
  </si>
  <si>
    <t>https://classic.wowhead.com/item=11623</t>
  </si>
  <si>
    <t>https://classic.wowhead.com/item=19845</t>
  </si>
  <si>
    <t>https://classic.wowhead.com/item=19086</t>
  </si>
  <si>
    <t>https://classic.wowhead.com/item=20061</t>
  </si>
  <si>
    <t>https://classic.wowhead.com/item=16799</t>
  </si>
  <si>
    <t>https://classic.wowhead.com/item=18497</t>
  </si>
  <si>
    <t>https://classic.wowhead.com/item=7060</t>
  </si>
  <si>
    <t>https://classic.wowhead.com/item=18396</t>
  </si>
  <si>
    <t>https://classic.wowhead.com/item=13968</t>
  </si>
  <si>
    <t>https://classic.wowhead.com/item=23001</t>
  </si>
  <si>
    <t>https://classic.wowhead.com/item=18740</t>
  </si>
  <si>
    <t>https://classic.wowhead.com/item=14631</t>
  </si>
  <si>
    <t>https://classic.wowhead.com/item=11832</t>
  </si>
  <si>
    <t>https://classic.wowhead.com/item=7685</t>
  </si>
  <si>
    <t>https://classic.wowhead.com/item=13938</t>
  </si>
  <si>
    <t>https://classic.wowhead.com/item=18808</t>
  </si>
  <si>
    <t>https://classic.wowhead.com/item=12589</t>
  </si>
  <si>
    <t>https://classic.wowhead.com/item=13956</t>
  </si>
  <si>
    <t>https://classic.wowhead.com/item=22231</t>
  </si>
  <si>
    <t>https://classic.wowhead.com/item=19876</t>
  </si>
  <si>
    <t>https://classic.wowhead.com/item=10572</t>
  </si>
  <si>
    <t>https://classic.wowhead.com/item=23178</t>
  </si>
  <si>
    <t>https://classic.wowhead.com/item=19507</t>
  </si>
  <si>
    <t>https://classic.wowhead.com/item=7714</t>
  </si>
  <si>
    <t>https://classic.wowhead.com/item=13185</t>
  </si>
  <si>
    <t>https://classic.wowhead.com/item=11824</t>
  </si>
  <si>
    <t>https://classic.wowhead.com/item=21678</t>
  </si>
  <si>
    <t>https://classic.wowhead.com/item=12103</t>
  </si>
  <si>
    <t>https://classic.wowhead.com/item=21472</t>
  </si>
  <si>
    <t>https://classic.wowhead.com/item=14626</t>
  </si>
  <si>
    <t>https://classic.wowhead.com/item=10787</t>
  </si>
  <si>
    <t>https://classic.wowhead.com/item=18405</t>
  </si>
  <si>
    <t>https://classic.wowhead.com/item=18526</t>
  </si>
  <si>
    <t>https://classic.wowhead.com/item=18387</t>
  </si>
  <si>
    <t>https://classic.wowhead.com/item=11750</t>
  </si>
  <si>
    <t>https://classic.wowhead.com/item=18496</t>
  </si>
  <si>
    <t>https://classic.wowhead.com/item=18317</t>
  </si>
  <si>
    <t>https://classic.wowhead.com/item=17719</t>
  </si>
  <si>
    <t>https://classic.wowhead.com/item=16688</t>
  </si>
  <si>
    <t>https://classic.wowhead.com/item=16686</t>
  </si>
  <si>
    <t>https://classic.wowhead.com/item=12604</t>
  </si>
  <si>
    <t>https://classic.wowhead.com/item=11839</t>
  </si>
  <si>
    <t>https://classic.wowhead.com/item=16693</t>
  </si>
  <si>
    <t>https://classic.wowhead.com/item=16690</t>
  </si>
  <si>
    <t>https://classic.wowhead.com/item=21563</t>
  </si>
  <si>
    <t>https://classic.wowhead.com/item=16698</t>
  </si>
  <si>
    <t>https://classic.wowhead.com/item=13374</t>
  </si>
  <si>
    <t>https://classic.wowhead.com/item=16689</t>
  </si>
  <si>
    <t>https://classic.wowhead.com/item=16685</t>
  </si>
  <si>
    <t>https://classic.wowhead.com/item=16700</t>
  </si>
  <si>
    <t>https://classic.wowhead.com/item=16696</t>
  </si>
  <si>
    <t>https://classic.wowhead.com/item=17715</t>
  </si>
  <si>
    <t>https://classic.wowhead.com/item=12466</t>
  </si>
  <si>
    <t>https://classic.wowhead.com/item=10574</t>
  </si>
  <si>
    <t>https://classic.wowhead.com/item=14632</t>
  </si>
  <si>
    <t>https://classic.wowhead.com/item=13345</t>
  </si>
  <si>
    <t>https://classic.wowhead.com/item=13403</t>
  </si>
  <si>
    <t>https://classic.wowhead.com/item=16702</t>
  </si>
  <si>
    <t>https://classic.wowhead.com/item=12462</t>
  </si>
  <si>
    <t>https://classic.wowhead.com/item=17732</t>
  </si>
  <si>
    <t>https://classic.wowhead.com/item=9429</t>
  </si>
  <si>
    <t>https://classic.wowhead.com/item=21888</t>
  </si>
  <si>
    <t>https://classic.wowhead.com/item=16694</t>
  </si>
  <si>
    <t>https://classic.wowhead.com/item=10807</t>
  </si>
  <si>
    <t>https://classic.wowhead.com/item=16701</t>
  </si>
  <si>
    <t>https://classic.wowhead.com/item=18730</t>
  </si>
  <si>
    <t>https://classic.wowhead.com/item=16683</t>
  </si>
  <si>
    <t>https://classic.wowhead.com/item=12546</t>
  </si>
  <si>
    <t>https://classic.wowhead.com/item=17755</t>
  </si>
  <si>
    <t>https://classic.wowhead.com/item=10771</t>
  </si>
  <si>
    <t>https://classic.wowhead.com/item=7713</t>
  </si>
  <si>
    <t>https://classic.wowhead.com/item=11625</t>
  </si>
  <si>
    <t>https://classic.wowhead.com/item=16682</t>
  </si>
  <si>
    <t>https://classic.wowhead.com/item=16684</t>
  </si>
  <si>
    <t>https://classic.wowhead.com/item=16699</t>
  </si>
  <si>
    <t>https://classic.wowhead.com/item=18697</t>
  </si>
  <si>
    <t>https://classic.wowhead.com/item=18872</t>
  </si>
  <si>
    <t>https://classic.wowhead.com/item=13141</t>
  </si>
  <si>
    <t>https://classic.wowhead.com/item=12626</t>
  </si>
  <si>
    <t>https://classic.wowhead.com/item=7720</t>
  </si>
  <si>
    <t>https://classic.wowhead.com/item=21523</t>
  </si>
  <si>
    <t>https://classic.wowhead.com/item=13282</t>
  </si>
  <si>
    <t>https://classic.wowhead.com/item=12542</t>
  </si>
  <si>
    <t>https://classic.wowhead.com/item=11929</t>
  </si>
  <si>
    <t>https://classic.wowhead.com/item=17748</t>
  </si>
  <si>
    <t>https://classic.wowhead.com/item=7728</t>
  </si>
  <si>
    <t>https://classic.wowhead.com/item=14633</t>
  </si>
  <si>
    <t>https://classic.wowhead.com/item=17110</t>
  </si>
  <si>
    <t>https://classic.wowhead.com/item=10806</t>
  </si>
  <si>
    <t>https://classic.wowhead.com/item=18083</t>
  </si>
  <si>
    <t>https://classic.wowhead.com/item=21470</t>
  </si>
  <si>
    <t>https://classic.wowhead.com/item=19927</t>
  </si>
  <si>
    <t>https://classic.wowhead.com/item=16697</t>
  </si>
  <si>
    <t>https://classic.wowhead.com/item=17077</t>
  </si>
  <si>
    <t>https://classic.wowhead.com/item=16703</t>
  </si>
  <si>
    <t>https://classic.wowhead.com/item=17737</t>
  </si>
  <si>
    <t>https://classic.wowhead.com/item=17707</t>
  </si>
  <si>
    <t>https://classic.wowhead.com/item=10762</t>
  </si>
  <si>
    <t>https://classic.wowhead.com/item=23009</t>
  </si>
  <si>
    <t>https://classic.wowhead.com/item=16704</t>
  </si>
  <si>
    <t>https://classic.wowhead.com/item=16705</t>
  </si>
  <si>
    <t>https://classic.wowhead.com/item=16975</t>
  </si>
  <si>
    <t>https://classic.wowhead.com/item=13181</t>
  </si>
  <si>
    <t>https://classic.wowhead.com/item=22245</t>
  </si>
  <si>
    <t>https://classic.wowhead.com/item=9407</t>
  </si>
  <si>
    <t>https://classic.wowhead.com/item=10581</t>
  </si>
  <si>
    <t>https://classic.wowhead.com/item=14543</t>
  </si>
  <si>
    <t>https://classic.wowhead.com/item=19435</t>
  </si>
  <si>
    <t>https://classic.wowhead.com/item=14430</t>
  </si>
  <si>
    <t>https://classic.wowhead.com/item=13960</t>
  </si>
  <si>
    <t>https://classic.wowhead.com/item=9415</t>
  </si>
  <si>
    <t>https://classic.wowhead.com/item=10769</t>
  </si>
  <si>
    <t>https://classic.wowhead.com/item=10843</t>
  </si>
  <si>
    <t>https://classic.wowhead.com/item=13386</t>
  </si>
  <si>
    <t>https://classic.wowhead.com/item=13534</t>
  </si>
  <si>
    <t>https://classic.wowhead.com/item=14653</t>
  </si>
  <si>
    <t>https://classic.wowhead.com/item=16678</t>
  </si>
  <si>
    <t>https://classic.wowhead.com/item=18420</t>
  </si>
  <si>
    <t>https://classic.wowhead.com/item=18483</t>
  </si>
  <si>
    <t>https://classic.wowhead.com/item=18757</t>
  </si>
  <si>
    <t>https://classic.wowhead.com/item=18820</t>
  </si>
  <si>
    <t>https://classic.wowhead.com/item=19335</t>
  </si>
  <si>
    <t>https://classic.wowhead.com/item=19339</t>
  </si>
  <si>
    <t>https://classic.wowhead.com/item=12608</t>
  </si>
  <si>
    <t>https://classic.wowhead.com/item=13206</t>
  </si>
  <si>
    <t>https://classic.wowhead.com/item=12465</t>
  </si>
  <si>
    <t>https://classic.wowhead.com/item=10829</t>
  </si>
  <si>
    <t>https://classic.wowhead.com/item=9641</t>
  </si>
  <si>
    <t>https://classic.wowhead.com/item=19950</t>
  </si>
  <si>
    <t>https://classic.wowhead.com/item=10808</t>
  </si>
  <si>
    <t>Description</t>
  </si>
  <si>
    <t>Roadmap</t>
  </si>
  <si>
    <t>Calculate the Effect of Trinkets</t>
  </si>
  <si>
    <t>Combine Weapon and Offhands vs. Staffs</t>
  </si>
  <si>
    <t>Create a Gear Opitimizing Algorithm</t>
  </si>
  <si>
    <t>Add further Set Boni</t>
  </si>
  <si>
    <t>Lesser Spirit</t>
  </si>
  <si>
    <t>Minor Speed</t>
  </si>
  <si>
    <t>Feet Enchant</t>
  </si>
  <si>
    <t>=Hyperlink('Item Database'!T34)</t>
  </si>
  <si>
    <t>=Hyperlink('Item Database'!T43)</t>
  </si>
  <si>
    <t>Band of Forced Concentration</t>
  </si>
  <si>
    <t>https://classic.wowhead.com/item=19403</t>
  </si>
  <si>
    <t>=Hyperlink('Item Database'!T231)</t>
  </si>
  <si>
    <t>=Hyperlink('Item Database'!T255)</t>
  </si>
  <si>
    <t>=Hyperlink('Item Database'!T71)</t>
  </si>
  <si>
    <t>=Hyperlink('Item Database'!T84)</t>
  </si>
  <si>
    <t>=Hyperlink('Item Database'!T88)</t>
  </si>
  <si>
    <t>=Hyperlink('Item Database'!T109)</t>
  </si>
  <si>
    <t>=Hyperlink('Item Database'!T180)</t>
  </si>
  <si>
    <t>Darkmoon 10% Damage Buff</t>
  </si>
  <si>
    <t>Slip'kik's Grips</t>
  </si>
  <si>
    <t>Spirit of Zandalar</t>
  </si>
  <si>
    <t>Mage DPS Calculation Sheet and Gear Calculator for WoW Classic P3 from Lilyfe @ Patchwork DE</t>
  </si>
  <si>
    <t>Add Horde World and Class Buffs</t>
  </si>
  <si>
    <t>Manual</t>
  </si>
  <si>
    <t>1.</t>
  </si>
  <si>
    <t>Check if your Items are a part of the Slot Tab</t>
  </si>
  <si>
    <t>Add further Items by adding the Item ID into the Item Database Tab. The Sheet will receive the current Stats from WoW Head</t>
  </si>
  <si>
    <t>Duplicates will be dropped automatically</t>
  </si>
  <si>
    <t>2.</t>
  </si>
  <si>
    <t>Choose your Buffs and gear in the "Frost Calculation" Tab (the yellow cells)</t>
  </si>
  <si>
    <t xml:space="preserve">3. </t>
  </si>
  <si>
    <t xml:space="preserve">Your theoretical DPS and stat matrix will be calculated automatically </t>
  </si>
  <si>
    <t xml:space="preserve">4. </t>
  </si>
  <si>
    <t xml:space="preserve">You can check direct Updates in the Gear Tabs. The Score of each Item is the DPS you will do with this item. </t>
  </si>
  <si>
    <t>The Delta shows how an item will influence your DPS based on your equiped item in this slot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</si>
</sst>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€&quot;_-;\-* #,##0.00\ &quot;€&quot;_-;_-* &quot;-&quot;??\ &quot;€&quot;_-;_-@_-"/>
    <numFmt numFmtId="164" formatCode="0.0%"/>
    <numFmt numFmtId="165" formatCode="&quot;Rank&quot;\ 0"/>
    <numFmt numFmtId="166" formatCode="0.0"/>
    <numFmt numFmtId="167" formatCode="0.00000"/>
    <numFmt numFmtId="168" formatCode="0\ &quot;Intellect&quot;"/>
    <numFmt numFmtId="169" formatCode="0%\ &quot;Crit&quot;"/>
    <numFmt numFmtId="170" formatCode="0%\ &quot;Hit&quot;"/>
    <numFmt numFmtId="171" formatCode="0\ &quot;Spell Power&quot;"/>
    <numFmt numFmtId="172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9" fontId="0" fillId="0" borderId="0" xfId="1" applyFont="1"/>
    <xf numFmtId="2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4" fillId="0" borderId="0" xfId="0" applyFont="1"/>
    <xf numFmtId="2" fontId="4" fillId="0" borderId="0" xfId="0" applyNumberFormat="1" applyFont="1"/>
    <xf numFmtId="167" fontId="4" fillId="0" borderId="0" xfId="0" applyNumberFormat="1" applyFont="1"/>
    <xf numFmtId="0" fontId="0" fillId="0" borderId="1" xfId="0" applyBorder="1"/>
    <xf numFmtId="0" fontId="0" fillId="2" borderId="1" xfId="0" applyFill="1" applyBorder="1"/>
    <xf numFmtId="10" fontId="4" fillId="0" borderId="0" xfId="0" applyNumberFormat="1" applyFont="1"/>
    <xf numFmtId="2" fontId="0" fillId="0" borderId="1" xfId="0" applyNumberFormat="1" applyBorder="1"/>
    <xf numFmtId="166" fontId="0" fillId="0" borderId="1" xfId="0" applyNumberFormat="1" applyBorder="1"/>
    <xf numFmtId="0" fontId="2" fillId="3" borderId="1" xfId="0" applyFont="1" applyFill="1" applyBorder="1"/>
    <xf numFmtId="166" fontId="2" fillId="3" borderId="1" xfId="0" applyNumberFormat="1" applyFont="1" applyFill="1" applyBorder="1"/>
    <xf numFmtId="171" fontId="0" fillId="0" borderId="1" xfId="0" applyNumberFormat="1" applyBorder="1" applyAlignment="1">
      <alignment horizontal="left"/>
    </xf>
    <xf numFmtId="167" fontId="0" fillId="0" borderId="1" xfId="0" applyNumberFormat="1" applyBorder="1"/>
    <xf numFmtId="169" fontId="0" fillId="0" borderId="1" xfId="0" applyNumberFormat="1" applyBorder="1" applyAlignment="1">
      <alignment horizontal="left"/>
    </xf>
    <xf numFmtId="170" fontId="0" fillId="0" borderId="1" xfId="0" applyNumberFormat="1" applyBorder="1" applyAlignment="1">
      <alignment horizontal="left"/>
    </xf>
    <xf numFmtId="168" fontId="0" fillId="0" borderId="1" xfId="0" applyNumberFormat="1" applyBorder="1" applyAlignment="1">
      <alignment horizontal="left"/>
    </xf>
    <xf numFmtId="9" fontId="0" fillId="0" borderId="1" xfId="1" applyFont="1" applyBorder="1"/>
    <xf numFmtId="10" fontId="0" fillId="0" borderId="1" xfId="1" applyNumberFormat="1" applyFont="1" applyBorder="1"/>
    <xf numFmtId="1" fontId="0" fillId="0" borderId="1" xfId="2" applyNumberFormat="1" applyFont="1" applyBorder="1"/>
    <xf numFmtId="1" fontId="0" fillId="0" borderId="1" xfId="0" applyNumberFormat="1" applyBorder="1"/>
    <xf numFmtId="0" fontId="0" fillId="0" borderId="1" xfId="0" applyFill="1" applyBorder="1"/>
    <xf numFmtId="0" fontId="0" fillId="0" borderId="1" xfId="0" applyNumberFormat="1" applyFill="1" applyBorder="1"/>
    <xf numFmtId="9" fontId="0" fillId="0" borderId="1" xfId="1" applyFont="1" applyFill="1" applyBorder="1"/>
    <xf numFmtId="10" fontId="0" fillId="0" borderId="1" xfId="1" applyNumberFormat="1" applyFont="1" applyFill="1" applyBorder="1"/>
    <xf numFmtId="2" fontId="0" fillId="0" borderId="1" xfId="1" applyNumberFormat="1" applyFont="1" applyFill="1" applyBorder="1"/>
    <xf numFmtId="0" fontId="0" fillId="0" borderId="1" xfId="1" applyNumberFormat="1" applyFont="1" applyFill="1" applyBorder="1"/>
    <xf numFmtId="1" fontId="3" fillId="4" borderId="1" xfId="0" applyNumberFormat="1" applyFont="1" applyFill="1" applyBorder="1"/>
    <xf numFmtId="172" fontId="3" fillId="4" borderId="1" xfId="0" applyNumberFormat="1" applyFont="1" applyFill="1" applyBorder="1"/>
    <xf numFmtId="0" fontId="3" fillId="4" borderId="1" xfId="0" applyFont="1" applyFill="1" applyBorder="1"/>
    <xf numFmtId="9" fontId="3" fillId="4" borderId="1" xfId="1" applyFont="1" applyFill="1" applyBorder="1"/>
    <xf numFmtId="9" fontId="0" fillId="0" borderId="1" xfId="0" applyNumberFormat="1" applyBorder="1"/>
    <xf numFmtId="165" fontId="0" fillId="2" borderId="1" xfId="0" applyNumberFormat="1" applyFill="1" applyBorder="1"/>
    <xf numFmtId="0" fontId="0" fillId="0" borderId="0" xfId="0" applyFont="1"/>
    <xf numFmtId="0" fontId="0" fillId="6" borderId="1" xfId="0" applyFill="1" applyBorder="1"/>
    <xf numFmtId="171" fontId="0" fillId="6" borderId="1" xfId="0" applyNumberFormat="1" applyFill="1" applyBorder="1"/>
    <xf numFmtId="169" fontId="0" fillId="6" borderId="1" xfId="0" applyNumberFormat="1" applyFill="1" applyBorder="1"/>
    <xf numFmtId="170" fontId="0" fillId="6" borderId="1" xfId="0" applyNumberFormat="1" applyFill="1" applyBorder="1"/>
    <xf numFmtId="168" fontId="0" fillId="6" borderId="1" xfId="0" applyNumberFormat="1" applyFill="1" applyBorder="1"/>
    <xf numFmtId="0" fontId="0" fillId="0" borderId="0" xfId="0" applyBorder="1"/>
    <xf numFmtId="172" fontId="0" fillId="0" borderId="0" xfId="0" applyNumberFormat="1" applyBorder="1"/>
    <xf numFmtId="9" fontId="0" fillId="0" borderId="0" xfId="1" applyFont="1" applyBorder="1"/>
    <xf numFmtId="1" fontId="0" fillId="0" borderId="0" xfId="0" applyNumberFormat="1" applyFill="1" applyBorder="1"/>
    <xf numFmtId="0" fontId="0" fillId="0" borderId="0" xfId="0" applyFill="1" applyBorder="1"/>
    <xf numFmtId="1" fontId="0" fillId="0" borderId="0" xfId="0" applyNumberFormat="1" applyBorder="1"/>
    <xf numFmtId="0" fontId="7" fillId="0" borderId="0" xfId="3"/>
    <xf numFmtId="49" fontId="3" fillId="4" borderId="1" xfId="0" applyNumberFormat="1" applyFont="1" applyFill="1" applyBorder="1"/>
    <xf numFmtId="49" fontId="0" fillId="0" borderId="1" xfId="0" applyNumberFormat="1" applyBorder="1"/>
    <xf numFmtId="0" fontId="7" fillId="4" borderId="1" xfId="3" applyFill="1" applyBorder="1"/>
    <xf numFmtId="0" fontId="7" fillId="0" borderId="1" xfId="3" applyBorder="1"/>
    <xf numFmtId="1" fontId="7" fillId="4" borderId="1" xfId="3" applyNumberFormat="1" applyFill="1" applyBorder="1"/>
    <xf numFmtId="0" fontId="7" fillId="0" borderId="1" xfId="3" applyNumberFormat="1" applyBorder="1"/>
    <xf numFmtId="2" fontId="0" fillId="0" borderId="0" xfId="0" applyNumberFormat="1" applyBorder="1"/>
    <xf numFmtId="0" fontId="0" fillId="0" borderId="4" xfId="0" applyFill="1" applyBorder="1"/>
    <xf numFmtId="2" fontId="8" fillId="0" borderId="0" xfId="0" applyNumberFormat="1" applyFont="1"/>
    <xf numFmtId="0" fontId="8" fillId="0" borderId="0" xfId="0" applyFont="1"/>
    <xf numFmtId="0" fontId="5" fillId="5" borderId="0" xfId="0" applyFont="1" applyFill="1"/>
    <xf numFmtId="164" fontId="4" fillId="0" borderId="0" xfId="1" applyNumberFormat="1" applyFont="1"/>
    <xf numFmtId="164" fontId="4" fillId="0" borderId="0" xfId="0" applyNumberFormat="1" applyFont="1"/>
    <xf numFmtId="0" fontId="5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166" fontId="0" fillId="0" borderId="2" xfId="0" applyNumberFormat="1" applyBorder="1" applyAlignment="1">
      <alignment horizontal="right"/>
    </xf>
    <xf numFmtId="166" fontId="0" fillId="0" borderId="3" xfId="0" applyNumberFormat="1" applyBorder="1" applyAlignment="1">
      <alignment horizontal="right"/>
    </xf>
    <xf numFmtId="0" fontId="5" fillId="5" borderId="1" xfId="0" applyFont="1" applyFill="1" applyBorder="1" applyAlignment="1">
      <alignment horizontal="center"/>
    </xf>
    <xf numFmtId="1" fontId="3" fillId="4" borderId="0" xfId="0" applyNumberFormat="1" applyFont="1" applyFill="1" applyBorder="1" applyAlignment="1">
      <alignment vertical="center"/>
    </xf>
    <xf numFmtId="172" fontId="3" fillId="4" borderId="0" xfId="0" applyNumberFormat="1" applyFont="1" applyFill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0" fontId="3" fillId="4" borderId="0" xfId="0" applyFont="1" applyFill="1" applyBorder="1" applyAlignment="1">
      <alignment vertical="center"/>
    </xf>
    <xf numFmtId="9" fontId="3" fillId="4" borderId="0" xfId="1" applyFont="1" applyFill="1" applyBorder="1" applyAlignment="1">
      <alignment vertical="center"/>
    </xf>
    <xf numFmtId="0" fontId="0" fillId="0" borderId="0" xfId="0" applyAlignment="1">
      <alignment vertical="center"/>
    </xf>
  </cellXfs>
  <cellStyles count="4">
    <cellStyle name="Link" xfId="3" builtinId="8"/>
    <cellStyle name="Prozent" xfId="1" builtinId="5"/>
    <cellStyle name="Standard" xfId="0" builtinId="0"/>
    <cellStyle name="Währung" xfId="2" builtinId="4"/>
  </cellStyles>
  <dxfs count="1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0</xdr:row>
          <xdr:rowOff>9526</xdr:rowOff>
        </xdr:from>
        <xdr:to>
          <xdr:col>20</xdr:col>
          <xdr:colOff>9525</xdr:colOff>
          <xdr:row>1</xdr:row>
          <xdr:rowOff>0</xdr:rowOff>
        </xdr:to>
        <xdr:sp macro="" textlink="">
          <xdr:nvSpPr>
            <xdr:cNvPr id="4097" name="GetDat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classic.wowhead.com/item=21468" TargetMode="External"/><Relationship Id="rId21" Type="http://schemas.openxmlformats.org/officeDocument/2006/relationships/hyperlink" Target="https://classic.wowhead.com/item=19438" TargetMode="External"/><Relationship Id="rId63" Type="http://schemas.openxmlformats.org/officeDocument/2006/relationships/hyperlink" Target="https://classic.wowhead.com/item=13170" TargetMode="External"/><Relationship Id="rId159" Type="http://schemas.openxmlformats.org/officeDocument/2006/relationships/hyperlink" Target="https://classic.wowhead.com/item=19845" TargetMode="External"/><Relationship Id="rId170" Type="http://schemas.openxmlformats.org/officeDocument/2006/relationships/hyperlink" Target="https://classic.wowhead.com/item=11832" TargetMode="External"/><Relationship Id="rId226" Type="http://schemas.openxmlformats.org/officeDocument/2006/relationships/hyperlink" Target="https://classic.wowhead.com/item=17755" TargetMode="External"/><Relationship Id="rId268" Type="http://schemas.openxmlformats.org/officeDocument/2006/relationships/hyperlink" Target="https://classic.wowhead.com/item=9415" TargetMode="External"/><Relationship Id="rId32" Type="http://schemas.openxmlformats.org/officeDocument/2006/relationships/hyperlink" Target="https://classic.wowhead.com/item=23031" TargetMode="External"/><Relationship Id="rId74" Type="http://schemas.openxmlformats.org/officeDocument/2006/relationships/hyperlink" Target="https://classic.wowhead.com/item=16437" TargetMode="External"/><Relationship Id="rId128" Type="http://schemas.openxmlformats.org/officeDocument/2006/relationships/hyperlink" Target="https://classic.wowhead.com/item=22820" TargetMode="External"/><Relationship Id="rId5" Type="http://schemas.openxmlformats.org/officeDocument/2006/relationships/hyperlink" Target="https://classic.wowhead.com/item=23451" TargetMode="External"/><Relationship Id="rId181" Type="http://schemas.openxmlformats.org/officeDocument/2006/relationships/hyperlink" Target="https://classic.wowhead.com/item=13185" TargetMode="External"/><Relationship Id="rId237" Type="http://schemas.openxmlformats.org/officeDocument/2006/relationships/hyperlink" Target="https://classic.wowhead.com/item=7720" TargetMode="External"/><Relationship Id="rId279" Type="http://schemas.openxmlformats.org/officeDocument/2006/relationships/hyperlink" Target="https://classic.wowhead.com/item=19335" TargetMode="External"/><Relationship Id="rId43" Type="http://schemas.openxmlformats.org/officeDocument/2006/relationships/hyperlink" Target="https://classic.wowhead.com/item=22731" TargetMode="External"/><Relationship Id="rId139" Type="http://schemas.openxmlformats.org/officeDocument/2006/relationships/hyperlink" Target="https://classic.wowhead.com/item=21603" TargetMode="External"/><Relationship Id="rId290" Type="http://schemas.openxmlformats.org/officeDocument/2006/relationships/printerSettings" Target="../printerSettings/printerSettings2.bin"/><Relationship Id="rId85" Type="http://schemas.openxmlformats.org/officeDocument/2006/relationships/hyperlink" Target="https://classic.wowhead.com/item=23305" TargetMode="External"/><Relationship Id="rId150" Type="http://schemas.openxmlformats.org/officeDocument/2006/relationships/hyperlink" Target="https://classic.wowhead.com/item=18745" TargetMode="External"/><Relationship Id="rId192" Type="http://schemas.openxmlformats.org/officeDocument/2006/relationships/hyperlink" Target="https://classic.wowhead.com/item=21563" TargetMode="External"/><Relationship Id="rId206" Type="http://schemas.openxmlformats.org/officeDocument/2006/relationships/hyperlink" Target="https://classic.wowhead.com/item=16685" TargetMode="External"/><Relationship Id="rId248" Type="http://schemas.openxmlformats.org/officeDocument/2006/relationships/hyperlink" Target="https://classic.wowhead.com/item=21470" TargetMode="External"/><Relationship Id="rId12" Type="http://schemas.openxmlformats.org/officeDocument/2006/relationships/hyperlink" Target="https://classic.wowhead.com/item=21128" TargetMode="External"/><Relationship Id="rId33" Type="http://schemas.openxmlformats.org/officeDocument/2006/relationships/hyperlink" Target="https://classic.wowhead.com/item=14340" TargetMode="External"/><Relationship Id="rId108" Type="http://schemas.openxmlformats.org/officeDocument/2006/relationships/hyperlink" Target="https://classic.wowhead.com/item=19903" TargetMode="External"/><Relationship Id="rId129" Type="http://schemas.openxmlformats.org/officeDocument/2006/relationships/hyperlink" Target="https://classic.wowhead.com/item=21648" TargetMode="External"/><Relationship Id="rId280" Type="http://schemas.openxmlformats.org/officeDocument/2006/relationships/hyperlink" Target="https://classic.wowhead.com/item=19339" TargetMode="External"/><Relationship Id="rId54" Type="http://schemas.openxmlformats.org/officeDocument/2006/relationships/hyperlink" Target="https://classic.wowhead.com/item=23069" TargetMode="External"/><Relationship Id="rId75" Type="http://schemas.openxmlformats.org/officeDocument/2006/relationships/hyperlink" Target="https://classic.wowhead.com/item=19897" TargetMode="External"/><Relationship Id="rId96" Type="http://schemas.openxmlformats.org/officeDocument/2006/relationships/hyperlink" Target="https://classic.wowhead.com/item=16440" TargetMode="External"/><Relationship Id="rId140" Type="http://schemas.openxmlformats.org/officeDocument/2006/relationships/hyperlink" Target="https://classic.wowhead.com/item=21415" TargetMode="External"/><Relationship Id="rId161" Type="http://schemas.openxmlformats.org/officeDocument/2006/relationships/hyperlink" Target="https://classic.wowhead.com/item=20061" TargetMode="External"/><Relationship Id="rId182" Type="http://schemas.openxmlformats.org/officeDocument/2006/relationships/hyperlink" Target="https://classic.wowhead.com/item=11824" TargetMode="External"/><Relationship Id="rId217" Type="http://schemas.openxmlformats.org/officeDocument/2006/relationships/hyperlink" Target="https://classic.wowhead.com/item=12462" TargetMode="External"/><Relationship Id="rId6" Type="http://schemas.openxmlformats.org/officeDocument/2006/relationships/hyperlink" Target="https://classic.wowhead.com/item=21452" TargetMode="External"/><Relationship Id="rId238" Type="http://schemas.openxmlformats.org/officeDocument/2006/relationships/hyperlink" Target="https://classic.wowhead.com/item=21523" TargetMode="External"/><Relationship Id="rId259" Type="http://schemas.openxmlformats.org/officeDocument/2006/relationships/hyperlink" Target="https://classic.wowhead.com/item=16975" TargetMode="External"/><Relationship Id="rId23" Type="http://schemas.openxmlformats.org/officeDocument/2006/relationships/hyperlink" Target="https://classic.wowhead.com/item=22730" TargetMode="External"/><Relationship Id="rId119" Type="http://schemas.openxmlformats.org/officeDocument/2006/relationships/hyperlink" Target="https://classic.wowhead.com/item=16917" TargetMode="External"/><Relationship Id="rId270" Type="http://schemas.openxmlformats.org/officeDocument/2006/relationships/hyperlink" Target="https://classic.wowhead.com/item=10843" TargetMode="External"/><Relationship Id="rId291" Type="http://schemas.openxmlformats.org/officeDocument/2006/relationships/drawing" Target="../drawings/drawing1.xml"/><Relationship Id="rId44" Type="http://schemas.openxmlformats.org/officeDocument/2006/relationships/hyperlink" Target="https://classic.wowhead.com/item=16915" TargetMode="External"/><Relationship Id="rId65" Type="http://schemas.openxmlformats.org/officeDocument/2006/relationships/hyperlink" Target="https://classic.wowhead.com/item=18814" TargetMode="External"/><Relationship Id="rId86" Type="http://schemas.openxmlformats.org/officeDocument/2006/relationships/hyperlink" Target="https://classic.wowhead.com/item=23304" TargetMode="External"/><Relationship Id="rId130" Type="http://schemas.openxmlformats.org/officeDocument/2006/relationships/hyperlink" Target="https://classic.wowhead.com/item=16918" TargetMode="External"/><Relationship Id="rId151" Type="http://schemas.openxmlformats.org/officeDocument/2006/relationships/hyperlink" Target="https://classic.wowhead.com/item=18475" TargetMode="External"/><Relationship Id="rId172" Type="http://schemas.openxmlformats.org/officeDocument/2006/relationships/hyperlink" Target="https://classic.wowhead.com/item=13938" TargetMode="External"/><Relationship Id="rId193" Type="http://schemas.openxmlformats.org/officeDocument/2006/relationships/hyperlink" Target="https://classic.wowhead.com/item=16686" TargetMode="External"/><Relationship Id="rId207" Type="http://schemas.openxmlformats.org/officeDocument/2006/relationships/hyperlink" Target="https://classic.wowhead.com/item=16700" TargetMode="External"/><Relationship Id="rId228" Type="http://schemas.openxmlformats.org/officeDocument/2006/relationships/hyperlink" Target="https://classic.wowhead.com/item=7713" TargetMode="External"/><Relationship Id="rId249" Type="http://schemas.openxmlformats.org/officeDocument/2006/relationships/hyperlink" Target="https://classic.wowhead.com/item=19927" TargetMode="External"/><Relationship Id="rId13" Type="http://schemas.openxmlformats.org/officeDocument/2006/relationships/hyperlink" Target="https://classic.wowhead.com/item=23070" TargetMode="External"/><Relationship Id="rId109" Type="http://schemas.openxmlformats.org/officeDocument/2006/relationships/hyperlink" Target="https://classic.wowhead.com/item=21414" TargetMode="External"/><Relationship Id="rId260" Type="http://schemas.openxmlformats.org/officeDocument/2006/relationships/hyperlink" Target="https://classic.wowhead.com/item=13181" TargetMode="External"/><Relationship Id="rId281" Type="http://schemas.openxmlformats.org/officeDocument/2006/relationships/hyperlink" Target="https://classic.wowhead.com/item=12608" TargetMode="External"/><Relationship Id="rId34" Type="http://schemas.openxmlformats.org/officeDocument/2006/relationships/hyperlink" Target="https://classic.wowhead.com/item=19165" TargetMode="External"/><Relationship Id="rId55" Type="http://schemas.openxmlformats.org/officeDocument/2006/relationships/hyperlink" Target="https://classic.wowhead.com/item=20070" TargetMode="External"/><Relationship Id="rId76" Type="http://schemas.openxmlformats.org/officeDocument/2006/relationships/hyperlink" Target="https://classic.wowhead.com/item=19374" TargetMode="External"/><Relationship Id="rId97" Type="http://schemas.openxmlformats.org/officeDocument/2006/relationships/hyperlink" Target="https://classic.wowhead.com/item=16913" TargetMode="External"/><Relationship Id="rId120" Type="http://schemas.openxmlformats.org/officeDocument/2006/relationships/hyperlink" Target="https://classic.wowhead.com/item=21464" TargetMode="External"/><Relationship Id="rId141" Type="http://schemas.openxmlformats.org/officeDocument/2006/relationships/hyperlink" Target="https://classic.wowhead.com/item=18350" TargetMode="External"/><Relationship Id="rId7" Type="http://schemas.openxmlformats.org/officeDocument/2006/relationships/hyperlink" Target="https://classic.wowhead.com/item=18873" TargetMode="External"/><Relationship Id="rId162" Type="http://schemas.openxmlformats.org/officeDocument/2006/relationships/hyperlink" Target="https://classic.wowhead.com/item=16799" TargetMode="External"/><Relationship Id="rId183" Type="http://schemas.openxmlformats.org/officeDocument/2006/relationships/hyperlink" Target="https://classic.wowhead.com/item=21472" TargetMode="External"/><Relationship Id="rId218" Type="http://schemas.openxmlformats.org/officeDocument/2006/relationships/hyperlink" Target="https://classic.wowhead.com/item=17732" TargetMode="External"/><Relationship Id="rId239" Type="http://schemas.openxmlformats.org/officeDocument/2006/relationships/hyperlink" Target="https://classic.wowhead.com/item=13282" TargetMode="External"/><Relationship Id="rId250" Type="http://schemas.openxmlformats.org/officeDocument/2006/relationships/hyperlink" Target="https://classic.wowhead.com/item=16697" TargetMode="External"/><Relationship Id="rId271" Type="http://schemas.openxmlformats.org/officeDocument/2006/relationships/hyperlink" Target="https://classic.wowhead.com/item=13386" TargetMode="External"/><Relationship Id="rId292" Type="http://schemas.openxmlformats.org/officeDocument/2006/relationships/vmlDrawing" Target="../drawings/vmlDrawing1.vml"/><Relationship Id="rId24" Type="http://schemas.openxmlformats.org/officeDocument/2006/relationships/hyperlink" Target="https://classic.wowhead.com/item=14152" TargetMode="External"/><Relationship Id="rId45" Type="http://schemas.openxmlformats.org/officeDocument/2006/relationships/hyperlink" Target="https://classic.wowhead.com/item=22502" TargetMode="External"/><Relationship Id="rId66" Type="http://schemas.openxmlformats.org/officeDocument/2006/relationships/hyperlink" Target="https://classic.wowhead.com/item=19864" TargetMode="External"/><Relationship Id="rId87" Type="http://schemas.openxmlformats.org/officeDocument/2006/relationships/hyperlink" Target="https://classic.wowhead.com/item=23017" TargetMode="External"/><Relationship Id="rId110" Type="http://schemas.openxmlformats.org/officeDocument/2006/relationships/hyperlink" Target="https://classic.wowhead.com/item=20032" TargetMode="External"/><Relationship Id="rId131" Type="http://schemas.openxmlformats.org/officeDocument/2006/relationships/hyperlink" Target="https://classic.wowhead.com/item=19388" TargetMode="External"/><Relationship Id="rId152" Type="http://schemas.openxmlformats.org/officeDocument/2006/relationships/hyperlink" Target="https://classic.wowhead.com/item=19108" TargetMode="External"/><Relationship Id="rId173" Type="http://schemas.openxmlformats.org/officeDocument/2006/relationships/hyperlink" Target="https://classic.wowhead.com/item=18808" TargetMode="External"/><Relationship Id="rId194" Type="http://schemas.openxmlformats.org/officeDocument/2006/relationships/hyperlink" Target="https://classic.wowhead.com/item=11839" TargetMode="External"/><Relationship Id="rId208" Type="http://schemas.openxmlformats.org/officeDocument/2006/relationships/hyperlink" Target="https://classic.wowhead.com/item=16696" TargetMode="External"/><Relationship Id="rId229" Type="http://schemas.openxmlformats.org/officeDocument/2006/relationships/hyperlink" Target="https://classic.wowhead.com/item=11625" TargetMode="External"/><Relationship Id="rId240" Type="http://schemas.openxmlformats.org/officeDocument/2006/relationships/hyperlink" Target="https://classic.wowhead.com/item=12542" TargetMode="External"/><Relationship Id="rId261" Type="http://schemas.openxmlformats.org/officeDocument/2006/relationships/hyperlink" Target="https://classic.wowhead.com/item=22245" TargetMode="External"/><Relationship Id="rId14" Type="http://schemas.openxmlformats.org/officeDocument/2006/relationships/hyperlink" Target="https://classic.wowhead.com/item=22497" TargetMode="External"/><Relationship Id="rId35" Type="http://schemas.openxmlformats.org/officeDocument/2006/relationships/hyperlink" Target="https://classic.wowhead.com/item=23050" TargetMode="External"/><Relationship Id="rId56" Type="http://schemas.openxmlformats.org/officeDocument/2006/relationships/hyperlink" Target="https://classic.wowhead.com/item=22500" TargetMode="External"/><Relationship Id="rId77" Type="http://schemas.openxmlformats.org/officeDocument/2006/relationships/hyperlink" Target="https://classic.wowhead.com/item=18534" TargetMode="External"/><Relationship Id="rId100" Type="http://schemas.openxmlformats.org/officeDocument/2006/relationships/hyperlink" Target="https://classic.wowhead.com/item=16444" TargetMode="External"/><Relationship Id="rId282" Type="http://schemas.openxmlformats.org/officeDocument/2006/relationships/hyperlink" Target="https://classic.wowhead.com/item=13206" TargetMode="External"/><Relationship Id="rId8" Type="http://schemas.openxmlformats.org/officeDocument/2006/relationships/hyperlink" Target="https://classic.wowhead.com/item=19347" TargetMode="External"/><Relationship Id="rId98" Type="http://schemas.openxmlformats.org/officeDocument/2006/relationships/hyperlink" Target="https://classic.wowhead.com/item=19891" TargetMode="External"/><Relationship Id="rId121" Type="http://schemas.openxmlformats.org/officeDocument/2006/relationships/hyperlink" Target="https://classic.wowhead.com/item=10041" TargetMode="External"/><Relationship Id="rId142" Type="http://schemas.openxmlformats.org/officeDocument/2006/relationships/hyperlink" Target="https://classic.wowhead.com/item=10844" TargetMode="External"/><Relationship Id="rId163" Type="http://schemas.openxmlformats.org/officeDocument/2006/relationships/hyperlink" Target="https://classic.wowhead.com/item=18497" TargetMode="External"/><Relationship Id="rId184" Type="http://schemas.openxmlformats.org/officeDocument/2006/relationships/hyperlink" Target="https://classic.wowhead.com/item=19507" TargetMode="External"/><Relationship Id="rId219" Type="http://schemas.openxmlformats.org/officeDocument/2006/relationships/hyperlink" Target="https://classic.wowhead.com/item=9429" TargetMode="External"/><Relationship Id="rId230" Type="http://schemas.openxmlformats.org/officeDocument/2006/relationships/hyperlink" Target="https://classic.wowhead.com/item=16682" TargetMode="External"/><Relationship Id="rId251" Type="http://schemas.openxmlformats.org/officeDocument/2006/relationships/hyperlink" Target="https://classic.wowhead.com/item=17077" TargetMode="External"/><Relationship Id="rId25" Type="http://schemas.openxmlformats.org/officeDocument/2006/relationships/hyperlink" Target="https://classic.wowhead.com/item=17103" TargetMode="External"/><Relationship Id="rId46" Type="http://schemas.openxmlformats.org/officeDocument/2006/relationships/hyperlink" Target="https://classic.wowhead.com/item=16442" TargetMode="External"/><Relationship Id="rId67" Type="http://schemas.openxmlformats.org/officeDocument/2006/relationships/hyperlink" Target="https://classic.wowhead.com/item=21608" TargetMode="External"/><Relationship Id="rId272" Type="http://schemas.openxmlformats.org/officeDocument/2006/relationships/hyperlink" Target="https://classic.wowhead.com/item=13534" TargetMode="External"/><Relationship Id="rId293" Type="http://schemas.openxmlformats.org/officeDocument/2006/relationships/control" Target="../activeX/activeX1.xml"/><Relationship Id="rId88" Type="http://schemas.openxmlformats.org/officeDocument/2006/relationships/hyperlink" Target="https://classic.wowhead.com/item=16796" TargetMode="External"/><Relationship Id="rId111" Type="http://schemas.openxmlformats.org/officeDocument/2006/relationships/hyperlink" Target="https://classic.wowhead.com/item=9484" TargetMode="External"/><Relationship Id="rId132" Type="http://schemas.openxmlformats.org/officeDocument/2006/relationships/hyperlink" Target="https://classic.wowhead.com/item=18102" TargetMode="External"/><Relationship Id="rId153" Type="http://schemas.openxmlformats.org/officeDocument/2006/relationships/hyperlink" Target="https://classic.wowhead.com/item=22968" TargetMode="External"/><Relationship Id="rId174" Type="http://schemas.openxmlformats.org/officeDocument/2006/relationships/hyperlink" Target="https://classic.wowhead.com/item=12589" TargetMode="External"/><Relationship Id="rId195" Type="http://schemas.openxmlformats.org/officeDocument/2006/relationships/hyperlink" Target="https://classic.wowhead.com/item=10787" TargetMode="External"/><Relationship Id="rId209" Type="http://schemas.openxmlformats.org/officeDocument/2006/relationships/hyperlink" Target="https://classic.wowhead.com/item=17715" TargetMode="External"/><Relationship Id="rId220" Type="http://schemas.openxmlformats.org/officeDocument/2006/relationships/hyperlink" Target="https://classic.wowhead.com/item=21888" TargetMode="External"/><Relationship Id="rId241" Type="http://schemas.openxmlformats.org/officeDocument/2006/relationships/hyperlink" Target="https://classic.wowhead.com/item=11929" TargetMode="External"/><Relationship Id="rId15" Type="http://schemas.openxmlformats.org/officeDocument/2006/relationships/hyperlink" Target="https://classic.wowhead.com/item=20069" TargetMode="External"/><Relationship Id="rId36" Type="http://schemas.openxmlformats.org/officeDocument/2006/relationships/hyperlink" Target="https://classic.wowhead.com/item=23049" TargetMode="External"/><Relationship Id="rId57" Type="http://schemas.openxmlformats.org/officeDocument/2006/relationships/hyperlink" Target="https://classic.wowhead.com/item=23025" TargetMode="External"/><Relationship Id="rId262" Type="http://schemas.openxmlformats.org/officeDocument/2006/relationships/hyperlink" Target="https://classic.wowhead.com/item=9407" TargetMode="External"/><Relationship Id="rId283" Type="http://schemas.openxmlformats.org/officeDocument/2006/relationships/hyperlink" Target="https://classic.wowhead.com/item=10808" TargetMode="External"/><Relationship Id="rId78" Type="http://schemas.openxmlformats.org/officeDocument/2006/relationships/hyperlink" Target="https://classic.wowhead.com/item=18727" TargetMode="External"/><Relationship Id="rId99" Type="http://schemas.openxmlformats.org/officeDocument/2006/relationships/hyperlink" Target="https://classic.wowhead.com/item=13253" TargetMode="External"/><Relationship Id="rId101" Type="http://schemas.openxmlformats.org/officeDocument/2006/relationships/hyperlink" Target="https://classic.wowhead.com/item=21504" TargetMode="External"/><Relationship Id="rId122" Type="http://schemas.openxmlformats.org/officeDocument/2006/relationships/hyperlink" Target="https://classic.wowhead.com/item=11662" TargetMode="External"/><Relationship Id="rId143" Type="http://schemas.openxmlformats.org/officeDocument/2006/relationships/hyperlink" Target="https://classic.wowhead.com/item=19861" TargetMode="External"/><Relationship Id="rId164" Type="http://schemas.openxmlformats.org/officeDocument/2006/relationships/hyperlink" Target="https://classic.wowhead.com/item=13968" TargetMode="External"/><Relationship Id="rId185" Type="http://schemas.openxmlformats.org/officeDocument/2006/relationships/hyperlink" Target="https://classic.wowhead.com/item=21678" TargetMode="External"/><Relationship Id="rId9" Type="http://schemas.openxmlformats.org/officeDocument/2006/relationships/hyperlink" Target="https://classic.wowhead.com/item=22496" TargetMode="External"/><Relationship Id="rId210" Type="http://schemas.openxmlformats.org/officeDocument/2006/relationships/hyperlink" Target="https://classic.wowhead.com/item=12466" TargetMode="External"/><Relationship Id="rId26" Type="http://schemas.openxmlformats.org/officeDocument/2006/relationships/hyperlink" Target="https://classic.wowhead.com/item=21838" TargetMode="External"/><Relationship Id="rId231" Type="http://schemas.openxmlformats.org/officeDocument/2006/relationships/hyperlink" Target="https://classic.wowhead.com/item=16684" TargetMode="External"/><Relationship Id="rId252" Type="http://schemas.openxmlformats.org/officeDocument/2006/relationships/hyperlink" Target="https://classic.wowhead.com/item=16703" TargetMode="External"/><Relationship Id="rId273" Type="http://schemas.openxmlformats.org/officeDocument/2006/relationships/hyperlink" Target="https://classic.wowhead.com/item=14653" TargetMode="External"/><Relationship Id="rId294" Type="http://schemas.openxmlformats.org/officeDocument/2006/relationships/image" Target="../media/image1.emf"/><Relationship Id="rId47" Type="http://schemas.openxmlformats.org/officeDocument/2006/relationships/hyperlink" Target="https://classic.wowhead.com/item=21344" TargetMode="External"/><Relationship Id="rId68" Type="http://schemas.openxmlformats.org/officeDocument/2006/relationships/hyperlink" Target="https://classic.wowhead.com/item=20258" TargetMode="External"/><Relationship Id="rId89" Type="http://schemas.openxmlformats.org/officeDocument/2006/relationships/hyperlink" Target="https://classic.wowhead.com/item=12930" TargetMode="External"/><Relationship Id="rId112" Type="http://schemas.openxmlformats.org/officeDocument/2006/relationships/hyperlink" Target="https://classic.wowhead.com/item=22721" TargetMode="External"/><Relationship Id="rId133" Type="http://schemas.openxmlformats.org/officeDocument/2006/relationships/hyperlink" Target="https://classic.wowhead.com/item=22225" TargetMode="External"/><Relationship Id="rId154" Type="http://schemas.openxmlformats.org/officeDocument/2006/relationships/hyperlink" Target="https://classic.wowhead.com/item=17078" TargetMode="External"/><Relationship Id="rId175" Type="http://schemas.openxmlformats.org/officeDocument/2006/relationships/hyperlink" Target="https://classic.wowhead.com/item=13956" TargetMode="External"/><Relationship Id="rId196" Type="http://schemas.openxmlformats.org/officeDocument/2006/relationships/hyperlink" Target="https://classic.wowhead.com/item=18387" TargetMode="External"/><Relationship Id="rId200" Type="http://schemas.openxmlformats.org/officeDocument/2006/relationships/hyperlink" Target="https://classic.wowhead.com/item=12604" TargetMode="External"/><Relationship Id="rId16" Type="http://schemas.openxmlformats.org/officeDocument/2006/relationships/hyperlink" Target="https://classic.wowhead.com/item=23220" TargetMode="External"/><Relationship Id="rId221" Type="http://schemas.openxmlformats.org/officeDocument/2006/relationships/hyperlink" Target="https://classic.wowhead.com/item=16694" TargetMode="External"/><Relationship Id="rId242" Type="http://schemas.openxmlformats.org/officeDocument/2006/relationships/hyperlink" Target="https://classic.wowhead.com/item=17748" TargetMode="External"/><Relationship Id="rId263" Type="http://schemas.openxmlformats.org/officeDocument/2006/relationships/hyperlink" Target="https://classic.wowhead.com/item=10581" TargetMode="External"/><Relationship Id="rId284" Type="http://schemas.openxmlformats.org/officeDocument/2006/relationships/hyperlink" Target="https://classic.wowhead.com/item=12465" TargetMode="External"/><Relationship Id="rId37" Type="http://schemas.openxmlformats.org/officeDocument/2006/relationships/hyperlink" Target="https://classic.wowhead.com/item=16441" TargetMode="External"/><Relationship Id="rId58" Type="http://schemas.openxmlformats.org/officeDocument/2006/relationships/hyperlink" Target="https://classic.wowhead.com/item=21597" TargetMode="External"/><Relationship Id="rId79" Type="http://schemas.openxmlformats.org/officeDocument/2006/relationships/hyperlink" Target="https://classic.wowhead.com/item=19895" TargetMode="External"/><Relationship Id="rId102" Type="http://schemas.openxmlformats.org/officeDocument/2006/relationships/hyperlink" Target="https://classic.wowhead.com/item=22937" TargetMode="External"/><Relationship Id="rId123" Type="http://schemas.openxmlformats.org/officeDocument/2006/relationships/hyperlink" Target="https://classic.wowhead.com/item=19923" TargetMode="External"/><Relationship Id="rId144" Type="http://schemas.openxmlformats.org/officeDocument/2006/relationships/hyperlink" Target="https://classic.wowhead.com/item=21489" TargetMode="External"/><Relationship Id="rId90" Type="http://schemas.openxmlformats.org/officeDocument/2006/relationships/hyperlink" Target="https://classic.wowhead.com/item=23057" TargetMode="External"/><Relationship Id="rId165" Type="http://schemas.openxmlformats.org/officeDocument/2006/relationships/hyperlink" Target="https://classic.wowhead.com/item=23001" TargetMode="External"/><Relationship Id="rId186" Type="http://schemas.openxmlformats.org/officeDocument/2006/relationships/hyperlink" Target="https://classic.wowhead.com/item=14626" TargetMode="External"/><Relationship Id="rId211" Type="http://schemas.openxmlformats.org/officeDocument/2006/relationships/hyperlink" Target="https://classic.wowhead.com/item=10574" TargetMode="External"/><Relationship Id="rId232" Type="http://schemas.openxmlformats.org/officeDocument/2006/relationships/hyperlink" Target="https://classic.wowhead.com/item=16699" TargetMode="External"/><Relationship Id="rId253" Type="http://schemas.openxmlformats.org/officeDocument/2006/relationships/hyperlink" Target="https://classic.wowhead.com/item=17737" TargetMode="External"/><Relationship Id="rId274" Type="http://schemas.openxmlformats.org/officeDocument/2006/relationships/hyperlink" Target="https://classic.wowhead.com/item=16678" TargetMode="External"/><Relationship Id="rId27" Type="http://schemas.openxmlformats.org/officeDocument/2006/relationships/hyperlink" Target="https://classic.wowhead.com/item=21585" TargetMode="External"/><Relationship Id="rId48" Type="http://schemas.openxmlformats.org/officeDocument/2006/relationships/hyperlink" Target="https://classic.wowhead.com/item=20034" TargetMode="External"/><Relationship Id="rId69" Type="http://schemas.openxmlformats.org/officeDocument/2006/relationships/hyperlink" Target="https://classic.wowhead.com/item=19136" TargetMode="External"/><Relationship Id="rId113" Type="http://schemas.openxmlformats.org/officeDocument/2006/relationships/hyperlink" Target="https://classic.wowhead.com/item=22711" TargetMode="External"/><Relationship Id="rId134" Type="http://schemas.openxmlformats.org/officeDocument/2006/relationships/hyperlink" Target="https://classic.wowhead.com/item=11924" TargetMode="External"/><Relationship Id="rId80" Type="http://schemas.openxmlformats.org/officeDocument/2006/relationships/hyperlink" Target="https://classic.wowhead.com/item=22752" TargetMode="External"/><Relationship Id="rId155" Type="http://schemas.openxmlformats.org/officeDocument/2006/relationships/hyperlink" Target="https://classic.wowhead.com/item=16801" TargetMode="External"/><Relationship Id="rId176" Type="http://schemas.openxmlformats.org/officeDocument/2006/relationships/hyperlink" Target="https://classic.wowhead.com/item=22231" TargetMode="External"/><Relationship Id="rId197" Type="http://schemas.openxmlformats.org/officeDocument/2006/relationships/hyperlink" Target="https://classic.wowhead.com/item=18496" TargetMode="External"/><Relationship Id="rId201" Type="http://schemas.openxmlformats.org/officeDocument/2006/relationships/hyperlink" Target="https://classic.wowhead.com/item=16693" TargetMode="External"/><Relationship Id="rId222" Type="http://schemas.openxmlformats.org/officeDocument/2006/relationships/hyperlink" Target="https://classic.wowhead.com/item=16701" TargetMode="External"/><Relationship Id="rId243" Type="http://schemas.openxmlformats.org/officeDocument/2006/relationships/hyperlink" Target="https://classic.wowhead.com/item=7728" TargetMode="External"/><Relationship Id="rId264" Type="http://schemas.openxmlformats.org/officeDocument/2006/relationships/hyperlink" Target="https://classic.wowhead.com/item=14543" TargetMode="External"/><Relationship Id="rId285" Type="http://schemas.openxmlformats.org/officeDocument/2006/relationships/hyperlink" Target="https://classic.wowhead.com/item=10829" TargetMode="External"/><Relationship Id="rId17" Type="http://schemas.openxmlformats.org/officeDocument/2006/relationships/hyperlink" Target="https://classic.wowhead.com/item=23035" TargetMode="External"/><Relationship Id="rId38" Type="http://schemas.openxmlformats.org/officeDocument/2006/relationships/hyperlink" Target="https://classic.wowhead.com/item=16443" TargetMode="External"/><Relationship Id="rId59" Type="http://schemas.openxmlformats.org/officeDocument/2006/relationships/hyperlink" Target="https://classic.wowhead.com/item=19400" TargetMode="External"/><Relationship Id="rId103" Type="http://schemas.openxmlformats.org/officeDocument/2006/relationships/hyperlink" Target="https://classic.wowhead.com/item=13871" TargetMode="External"/><Relationship Id="rId124" Type="http://schemas.openxmlformats.org/officeDocument/2006/relationships/hyperlink" Target="https://classic.wowhead.com/item=18878" TargetMode="External"/><Relationship Id="rId70" Type="http://schemas.openxmlformats.org/officeDocument/2006/relationships/hyperlink" Target="https://classic.wowhead.com/item=19147" TargetMode="External"/><Relationship Id="rId91" Type="http://schemas.openxmlformats.org/officeDocument/2006/relationships/hyperlink" Target="https://classic.wowhead.com/item=16912" TargetMode="External"/><Relationship Id="rId145" Type="http://schemas.openxmlformats.org/officeDocument/2006/relationships/hyperlink" Target="https://classic.wowhead.com/item=22256" TargetMode="External"/><Relationship Id="rId166" Type="http://schemas.openxmlformats.org/officeDocument/2006/relationships/hyperlink" Target="https://classic.wowhead.com/item=7060" TargetMode="External"/><Relationship Id="rId187" Type="http://schemas.openxmlformats.org/officeDocument/2006/relationships/hyperlink" Target="https://classic.wowhead.com/item=18405" TargetMode="External"/><Relationship Id="rId1" Type="http://schemas.openxmlformats.org/officeDocument/2006/relationships/hyperlink" Target="https://classic.wowhead.com/item=22799" TargetMode="External"/><Relationship Id="rId212" Type="http://schemas.openxmlformats.org/officeDocument/2006/relationships/hyperlink" Target="https://classic.wowhead.com/item=14632" TargetMode="External"/><Relationship Id="rId233" Type="http://schemas.openxmlformats.org/officeDocument/2006/relationships/hyperlink" Target="https://classic.wowhead.com/item=18697" TargetMode="External"/><Relationship Id="rId254" Type="http://schemas.openxmlformats.org/officeDocument/2006/relationships/hyperlink" Target="https://classic.wowhead.com/item=17707" TargetMode="External"/><Relationship Id="rId28" Type="http://schemas.openxmlformats.org/officeDocument/2006/relationships/hyperlink" Target="https://classic.wowhead.com/item=22983" TargetMode="External"/><Relationship Id="rId49" Type="http://schemas.openxmlformats.org/officeDocument/2006/relationships/hyperlink" Target="https://classic.wowhead.com/item=22501" TargetMode="External"/><Relationship Id="rId114" Type="http://schemas.openxmlformats.org/officeDocument/2006/relationships/hyperlink" Target="https://classic.wowhead.com/item=11822" TargetMode="External"/><Relationship Id="rId275" Type="http://schemas.openxmlformats.org/officeDocument/2006/relationships/hyperlink" Target="https://classic.wowhead.com/item=18420" TargetMode="External"/><Relationship Id="rId60" Type="http://schemas.openxmlformats.org/officeDocument/2006/relationships/hyperlink" Target="https://classic.wowhead.com/item=21600" TargetMode="External"/><Relationship Id="rId81" Type="http://schemas.openxmlformats.org/officeDocument/2006/relationships/hyperlink" Target="https://classic.wowhead.com/item=11782" TargetMode="External"/><Relationship Id="rId135" Type="http://schemas.openxmlformats.org/officeDocument/2006/relationships/hyperlink" Target="https://classic.wowhead.com/item=17109" TargetMode="External"/><Relationship Id="rId156" Type="http://schemas.openxmlformats.org/officeDocument/2006/relationships/hyperlink" Target="https://classic.wowhead.com/item=11624" TargetMode="External"/><Relationship Id="rId177" Type="http://schemas.openxmlformats.org/officeDocument/2006/relationships/hyperlink" Target="https://classic.wowhead.com/item=19876" TargetMode="External"/><Relationship Id="rId198" Type="http://schemas.openxmlformats.org/officeDocument/2006/relationships/hyperlink" Target="https://classic.wowhead.com/item=17719" TargetMode="External"/><Relationship Id="rId202" Type="http://schemas.openxmlformats.org/officeDocument/2006/relationships/hyperlink" Target="https://classic.wowhead.com/item=16690" TargetMode="External"/><Relationship Id="rId223" Type="http://schemas.openxmlformats.org/officeDocument/2006/relationships/hyperlink" Target="https://classic.wowhead.com/item=18730" TargetMode="External"/><Relationship Id="rId244" Type="http://schemas.openxmlformats.org/officeDocument/2006/relationships/hyperlink" Target="https://classic.wowhead.com/item=14633" TargetMode="External"/><Relationship Id="rId18" Type="http://schemas.openxmlformats.org/officeDocument/2006/relationships/hyperlink" Target="https://classic.wowhead.com/item=19375" TargetMode="External"/><Relationship Id="rId39" Type="http://schemas.openxmlformats.org/officeDocument/2006/relationships/hyperlink" Target="https://classic.wowhead.com/item=16916" TargetMode="External"/><Relationship Id="rId265" Type="http://schemas.openxmlformats.org/officeDocument/2006/relationships/hyperlink" Target="https://classic.wowhead.com/item=19435" TargetMode="External"/><Relationship Id="rId286" Type="http://schemas.openxmlformats.org/officeDocument/2006/relationships/hyperlink" Target="https://classic.wowhead.com/item=9641" TargetMode="External"/><Relationship Id="rId50" Type="http://schemas.openxmlformats.org/officeDocument/2006/relationships/hyperlink" Target="https://classic.wowhead.com/item=22499" TargetMode="External"/><Relationship Id="rId104" Type="http://schemas.openxmlformats.org/officeDocument/2006/relationships/hyperlink" Target="https://classic.wowhead.com/item=21707" TargetMode="External"/><Relationship Id="rId125" Type="http://schemas.openxmlformats.org/officeDocument/2006/relationships/hyperlink" Target="https://classic.wowhead.com/item=18082" TargetMode="External"/><Relationship Id="rId146" Type="http://schemas.openxmlformats.org/officeDocument/2006/relationships/hyperlink" Target="https://classic.wowhead.com/item=19102" TargetMode="External"/><Relationship Id="rId167" Type="http://schemas.openxmlformats.org/officeDocument/2006/relationships/hyperlink" Target="https://classic.wowhead.com/item=18396" TargetMode="External"/><Relationship Id="rId188" Type="http://schemas.openxmlformats.org/officeDocument/2006/relationships/hyperlink" Target="https://classic.wowhead.com/item=12103" TargetMode="External"/><Relationship Id="rId71" Type="http://schemas.openxmlformats.org/officeDocument/2006/relationships/hyperlink" Target="https://classic.wowhead.com/item=19857" TargetMode="External"/><Relationship Id="rId92" Type="http://schemas.openxmlformats.org/officeDocument/2006/relationships/hyperlink" Target="https://classic.wowhead.com/item=23021" TargetMode="External"/><Relationship Id="rId213" Type="http://schemas.openxmlformats.org/officeDocument/2006/relationships/hyperlink" Target="https://classic.wowhead.com/item=10807" TargetMode="External"/><Relationship Id="rId234" Type="http://schemas.openxmlformats.org/officeDocument/2006/relationships/hyperlink" Target="https://classic.wowhead.com/item=18872" TargetMode="External"/><Relationship Id="rId2" Type="http://schemas.openxmlformats.org/officeDocument/2006/relationships/hyperlink" Target="https://classic.wowhead.com/item=22800" TargetMode="External"/><Relationship Id="rId29" Type="http://schemas.openxmlformats.org/officeDocument/2006/relationships/hyperlink" Target="https://classic.wowhead.com/item=21709" TargetMode="External"/><Relationship Id="rId255" Type="http://schemas.openxmlformats.org/officeDocument/2006/relationships/hyperlink" Target="https://classic.wowhead.com/item=10762" TargetMode="External"/><Relationship Id="rId276" Type="http://schemas.openxmlformats.org/officeDocument/2006/relationships/hyperlink" Target="https://classic.wowhead.com/item=18483" TargetMode="External"/><Relationship Id="rId40" Type="http://schemas.openxmlformats.org/officeDocument/2006/relationships/hyperlink" Target="https://classic.wowhead.com/item=21527" TargetMode="External"/><Relationship Id="rId115" Type="http://schemas.openxmlformats.org/officeDocument/2006/relationships/hyperlink" Target="https://classic.wowhead.com/item=19595" TargetMode="External"/><Relationship Id="rId136" Type="http://schemas.openxmlformats.org/officeDocument/2006/relationships/hyperlink" Target="https://classic.wowhead.com/item=19094" TargetMode="External"/><Relationship Id="rId157" Type="http://schemas.openxmlformats.org/officeDocument/2006/relationships/hyperlink" Target="https://classic.wowhead.com/item=19846" TargetMode="External"/><Relationship Id="rId178" Type="http://schemas.openxmlformats.org/officeDocument/2006/relationships/hyperlink" Target="https://classic.wowhead.com/item=10572" TargetMode="External"/><Relationship Id="rId61" Type="http://schemas.openxmlformats.org/officeDocument/2006/relationships/hyperlink" Target="https://classic.wowhead.com/item=19370" TargetMode="External"/><Relationship Id="rId82" Type="http://schemas.openxmlformats.org/officeDocument/2006/relationships/hyperlink" Target="https://classic.wowhead.com/item=19378" TargetMode="External"/><Relationship Id="rId199" Type="http://schemas.openxmlformats.org/officeDocument/2006/relationships/hyperlink" Target="https://classic.wowhead.com/item=16688" TargetMode="External"/><Relationship Id="rId203" Type="http://schemas.openxmlformats.org/officeDocument/2006/relationships/hyperlink" Target="https://classic.wowhead.com/item=16698" TargetMode="External"/><Relationship Id="rId19" Type="http://schemas.openxmlformats.org/officeDocument/2006/relationships/hyperlink" Target="https://classic.wowhead.com/item=21413" TargetMode="External"/><Relationship Id="rId224" Type="http://schemas.openxmlformats.org/officeDocument/2006/relationships/hyperlink" Target="https://classic.wowhead.com/item=16683" TargetMode="External"/><Relationship Id="rId245" Type="http://schemas.openxmlformats.org/officeDocument/2006/relationships/hyperlink" Target="https://classic.wowhead.com/item=17110" TargetMode="External"/><Relationship Id="rId266" Type="http://schemas.openxmlformats.org/officeDocument/2006/relationships/hyperlink" Target="https://classic.wowhead.com/item=14430" TargetMode="External"/><Relationship Id="rId287" Type="http://schemas.openxmlformats.org/officeDocument/2006/relationships/hyperlink" Target="https://classic.wowhead.com/item=19950" TargetMode="External"/><Relationship Id="rId30" Type="http://schemas.openxmlformats.org/officeDocument/2006/relationships/hyperlink" Target="https://classic.wowhead.com/item=19682" TargetMode="External"/><Relationship Id="rId105" Type="http://schemas.openxmlformats.org/officeDocument/2006/relationships/hyperlink" Target="https://classic.wowhead.com/item=16798" TargetMode="External"/><Relationship Id="rId126" Type="http://schemas.openxmlformats.org/officeDocument/2006/relationships/hyperlink" Target="https://classic.wowhead.com/item=18681" TargetMode="External"/><Relationship Id="rId147" Type="http://schemas.openxmlformats.org/officeDocument/2006/relationships/hyperlink" Target="https://classic.wowhead.com/item=13161" TargetMode="External"/><Relationship Id="rId168" Type="http://schemas.openxmlformats.org/officeDocument/2006/relationships/hyperlink" Target="https://classic.wowhead.com/item=18740" TargetMode="External"/><Relationship Id="rId51" Type="http://schemas.openxmlformats.org/officeDocument/2006/relationships/hyperlink" Target="https://classic.wowhead.com/item=21671" TargetMode="External"/><Relationship Id="rId72" Type="http://schemas.openxmlformats.org/officeDocument/2006/relationships/hyperlink" Target="https://classic.wowhead.com/item=16795" TargetMode="External"/><Relationship Id="rId93" Type="http://schemas.openxmlformats.org/officeDocument/2006/relationships/hyperlink" Target="https://classic.wowhead.com/item=22503" TargetMode="External"/><Relationship Id="rId189" Type="http://schemas.openxmlformats.org/officeDocument/2006/relationships/hyperlink" Target="https://classic.wowhead.com/item=18526" TargetMode="External"/><Relationship Id="rId3" Type="http://schemas.openxmlformats.org/officeDocument/2006/relationships/hyperlink" Target="https://classic.wowhead.com/item=21273" TargetMode="External"/><Relationship Id="rId214" Type="http://schemas.openxmlformats.org/officeDocument/2006/relationships/hyperlink" Target="https://classic.wowhead.com/item=13345" TargetMode="External"/><Relationship Id="rId235" Type="http://schemas.openxmlformats.org/officeDocument/2006/relationships/hyperlink" Target="https://classic.wowhead.com/item=13141" TargetMode="External"/><Relationship Id="rId256" Type="http://schemas.openxmlformats.org/officeDocument/2006/relationships/hyperlink" Target="https://classic.wowhead.com/item=23009" TargetMode="External"/><Relationship Id="rId277" Type="http://schemas.openxmlformats.org/officeDocument/2006/relationships/hyperlink" Target="https://classic.wowhead.com/item=18757" TargetMode="External"/><Relationship Id="rId116" Type="http://schemas.openxmlformats.org/officeDocument/2006/relationships/hyperlink" Target="https://classic.wowhead.com/item=23319" TargetMode="External"/><Relationship Id="rId137" Type="http://schemas.openxmlformats.org/officeDocument/2006/relationships/hyperlink" Target="https://classic.wowhead.com/item=16800" TargetMode="External"/><Relationship Id="rId158" Type="http://schemas.openxmlformats.org/officeDocument/2006/relationships/hyperlink" Target="https://classic.wowhead.com/item=11623" TargetMode="External"/><Relationship Id="rId20" Type="http://schemas.openxmlformats.org/officeDocument/2006/relationships/hyperlink" Target="https://classic.wowhead.com/item=18842" TargetMode="External"/><Relationship Id="rId41" Type="http://schemas.openxmlformats.org/officeDocument/2006/relationships/hyperlink" Target="https://classic.wowhead.com/item=21499" TargetMode="External"/><Relationship Id="rId62" Type="http://schemas.openxmlformats.org/officeDocument/2006/relationships/hyperlink" Target="https://classic.wowhead.com/item=19310" TargetMode="External"/><Relationship Id="rId83" Type="http://schemas.openxmlformats.org/officeDocument/2006/relationships/hyperlink" Target="https://classic.wowhead.com/item=23318" TargetMode="External"/><Relationship Id="rId179" Type="http://schemas.openxmlformats.org/officeDocument/2006/relationships/hyperlink" Target="https://classic.wowhead.com/item=23178" TargetMode="External"/><Relationship Id="rId190" Type="http://schemas.openxmlformats.org/officeDocument/2006/relationships/hyperlink" Target="https://classic.wowhead.com/item=11750" TargetMode="External"/><Relationship Id="rId204" Type="http://schemas.openxmlformats.org/officeDocument/2006/relationships/hyperlink" Target="https://classic.wowhead.com/item=13374" TargetMode="External"/><Relationship Id="rId225" Type="http://schemas.openxmlformats.org/officeDocument/2006/relationships/hyperlink" Target="https://classic.wowhead.com/item=12546" TargetMode="External"/><Relationship Id="rId246" Type="http://schemas.openxmlformats.org/officeDocument/2006/relationships/hyperlink" Target="https://classic.wowhead.com/item=10806" TargetMode="External"/><Relationship Id="rId267" Type="http://schemas.openxmlformats.org/officeDocument/2006/relationships/hyperlink" Target="https://classic.wowhead.com/item=13960" TargetMode="External"/><Relationship Id="rId288" Type="http://schemas.openxmlformats.org/officeDocument/2006/relationships/hyperlink" Target="https://classic.wowhead.com/item=21701" TargetMode="External"/><Relationship Id="rId106" Type="http://schemas.openxmlformats.org/officeDocument/2006/relationships/hyperlink" Target="https://classic.wowhead.com/item=16818" TargetMode="External"/><Relationship Id="rId127" Type="http://schemas.openxmlformats.org/officeDocument/2006/relationships/hyperlink" Target="https://classic.wowhead.com/item=13870" TargetMode="External"/><Relationship Id="rId10" Type="http://schemas.openxmlformats.org/officeDocument/2006/relationships/hyperlink" Target="https://classic.wowhead.com/item=19379" TargetMode="External"/><Relationship Id="rId31" Type="http://schemas.openxmlformats.org/officeDocument/2006/relationships/hyperlink" Target="https://classic.wowhead.com/item=19884" TargetMode="External"/><Relationship Id="rId52" Type="http://schemas.openxmlformats.org/officeDocument/2006/relationships/hyperlink" Target="https://classic.wowhead.com/item=19145" TargetMode="External"/><Relationship Id="rId73" Type="http://schemas.openxmlformats.org/officeDocument/2006/relationships/hyperlink" Target="https://classic.wowhead.com/item=21836" TargetMode="External"/><Relationship Id="rId94" Type="http://schemas.openxmlformats.org/officeDocument/2006/relationships/hyperlink" Target="https://classic.wowhead.com/item=18385" TargetMode="External"/><Relationship Id="rId148" Type="http://schemas.openxmlformats.org/officeDocument/2006/relationships/hyperlink" Target="https://classic.wowhead.com/item=21483" TargetMode="External"/><Relationship Id="rId169" Type="http://schemas.openxmlformats.org/officeDocument/2006/relationships/hyperlink" Target="https://classic.wowhead.com/item=14631" TargetMode="External"/><Relationship Id="rId4" Type="http://schemas.openxmlformats.org/officeDocument/2006/relationships/hyperlink" Target="https://classic.wowhead.com/item=19356" TargetMode="External"/><Relationship Id="rId180" Type="http://schemas.openxmlformats.org/officeDocument/2006/relationships/hyperlink" Target="https://classic.wowhead.com/item=7714" TargetMode="External"/><Relationship Id="rId215" Type="http://schemas.openxmlformats.org/officeDocument/2006/relationships/hyperlink" Target="https://classic.wowhead.com/item=13403" TargetMode="External"/><Relationship Id="rId236" Type="http://schemas.openxmlformats.org/officeDocument/2006/relationships/hyperlink" Target="https://classic.wowhead.com/item=12626" TargetMode="External"/><Relationship Id="rId257" Type="http://schemas.openxmlformats.org/officeDocument/2006/relationships/hyperlink" Target="https://classic.wowhead.com/item=16704" TargetMode="External"/><Relationship Id="rId278" Type="http://schemas.openxmlformats.org/officeDocument/2006/relationships/hyperlink" Target="https://classic.wowhead.com/item=18820" TargetMode="External"/><Relationship Id="rId42" Type="http://schemas.openxmlformats.org/officeDocument/2006/relationships/hyperlink" Target="https://classic.wowhead.com/item=23046" TargetMode="External"/><Relationship Id="rId84" Type="http://schemas.openxmlformats.org/officeDocument/2006/relationships/hyperlink" Target="https://classic.wowhead.com/item=21611" TargetMode="External"/><Relationship Id="rId138" Type="http://schemas.openxmlformats.org/officeDocument/2006/relationships/hyperlink" Target="https://classic.wowhead.com/item=19397" TargetMode="External"/><Relationship Id="rId191" Type="http://schemas.openxmlformats.org/officeDocument/2006/relationships/hyperlink" Target="https://classic.wowhead.com/item=18317" TargetMode="External"/><Relationship Id="rId205" Type="http://schemas.openxmlformats.org/officeDocument/2006/relationships/hyperlink" Target="https://classic.wowhead.com/item=16689" TargetMode="External"/><Relationship Id="rId247" Type="http://schemas.openxmlformats.org/officeDocument/2006/relationships/hyperlink" Target="https://classic.wowhead.com/item=18083" TargetMode="External"/><Relationship Id="rId107" Type="http://schemas.openxmlformats.org/officeDocument/2006/relationships/hyperlink" Target="https://classic.wowhead.com/item=23291" TargetMode="External"/><Relationship Id="rId289" Type="http://schemas.openxmlformats.org/officeDocument/2006/relationships/hyperlink" Target="https://classic.wowhead.com/item=19403" TargetMode="External"/><Relationship Id="rId11" Type="http://schemas.openxmlformats.org/officeDocument/2006/relationships/hyperlink" Target="https://classic.wowhead.com/item=22498" TargetMode="External"/><Relationship Id="rId53" Type="http://schemas.openxmlformats.org/officeDocument/2006/relationships/hyperlink" Target="https://classic.wowhead.com/item=23062" TargetMode="External"/><Relationship Id="rId149" Type="http://schemas.openxmlformats.org/officeDocument/2006/relationships/hyperlink" Target="https://classic.wowhead.com/item=16802" TargetMode="External"/><Relationship Id="rId95" Type="http://schemas.openxmlformats.org/officeDocument/2006/relationships/hyperlink" Target="https://classic.wowhead.com/item=21471" TargetMode="External"/><Relationship Id="rId160" Type="http://schemas.openxmlformats.org/officeDocument/2006/relationships/hyperlink" Target="https://classic.wowhead.com/item=19086" TargetMode="External"/><Relationship Id="rId216" Type="http://schemas.openxmlformats.org/officeDocument/2006/relationships/hyperlink" Target="https://classic.wowhead.com/item=16702" TargetMode="External"/><Relationship Id="rId258" Type="http://schemas.openxmlformats.org/officeDocument/2006/relationships/hyperlink" Target="https://classic.wowhead.com/item=16705" TargetMode="External"/><Relationship Id="rId22" Type="http://schemas.openxmlformats.org/officeDocument/2006/relationships/hyperlink" Target="https://classic.wowhead.com/item=21461" TargetMode="External"/><Relationship Id="rId64" Type="http://schemas.openxmlformats.org/officeDocument/2006/relationships/hyperlink" Target="https://classic.wowhead.com/item=16914" TargetMode="External"/><Relationship Id="rId118" Type="http://schemas.openxmlformats.org/officeDocument/2006/relationships/hyperlink" Target="https://classic.wowhead.com/item=22821" TargetMode="External"/><Relationship Id="rId171" Type="http://schemas.openxmlformats.org/officeDocument/2006/relationships/hyperlink" Target="https://classic.wowhead.com/item=7685" TargetMode="External"/><Relationship Id="rId227" Type="http://schemas.openxmlformats.org/officeDocument/2006/relationships/hyperlink" Target="https://classic.wowhead.com/item=10771" TargetMode="External"/><Relationship Id="rId269" Type="http://schemas.openxmlformats.org/officeDocument/2006/relationships/hyperlink" Target="https://classic.wowhead.com/item=1076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0128A-D7AC-4718-BAB7-D3648D85F178}">
  <sheetPr codeName="Tabelle6"/>
  <dimension ref="A1:D11"/>
  <sheetViews>
    <sheetView showGridLines="0" tabSelected="1" zoomScale="85" zoomScaleNormal="85" workbookViewId="0">
      <selection activeCell="A8" sqref="A8"/>
    </sheetView>
  </sheetViews>
  <sheetFormatPr baseColWidth="10" defaultRowHeight="15" x14ac:dyDescent="0.25"/>
  <cols>
    <col min="1" max="1" width="90.7109375" bestFit="1" customWidth="1"/>
    <col min="3" max="3" width="3.140625" bestFit="1" customWidth="1"/>
    <col min="4" max="4" width="118.42578125" bestFit="1" customWidth="1"/>
    <col min="6" max="6" width="118.42578125" bestFit="1" customWidth="1"/>
  </cols>
  <sheetData>
    <row r="1" spans="1:4" ht="15.75" x14ac:dyDescent="0.25">
      <c r="A1" s="60" t="s">
        <v>726</v>
      </c>
    </row>
    <row r="2" spans="1:4" x14ac:dyDescent="0.25">
      <c r="A2" t="s">
        <v>749</v>
      </c>
    </row>
    <row r="4" spans="1:4" ht="15.75" x14ac:dyDescent="0.25">
      <c r="A4" s="60" t="s">
        <v>727</v>
      </c>
      <c r="C4" s="63" t="s">
        <v>751</v>
      </c>
      <c r="D4" s="63"/>
    </row>
    <row r="5" spans="1:4" x14ac:dyDescent="0.25">
      <c r="A5" t="s">
        <v>728</v>
      </c>
      <c r="C5" t="s">
        <v>752</v>
      </c>
      <c r="D5" t="s">
        <v>753</v>
      </c>
    </row>
    <row r="6" spans="1:4" x14ac:dyDescent="0.25">
      <c r="A6" t="s">
        <v>729</v>
      </c>
      <c r="D6" t="s">
        <v>754</v>
      </c>
    </row>
    <row r="7" spans="1:4" x14ac:dyDescent="0.25">
      <c r="A7" t="s">
        <v>730</v>
      </c>
      <c r="D7" t="s">
        <v>755</v>
      </c>
    </row>
    <row r="8" spans="1:4" x14ac:dyDescent="0.25">
      <c r="A8" t="s">
        <v>731</v>
      </c>
      <c r="C8" t="s">
        <v>756</v>
      </c>
      <c r="D8" t="s">
        <v>757</v>
      </c>
    </row>
    <row r="9" spans="1:4" x14ac:dyDescent="0.25">
      <c r="A9" t="s">
        <v>750</v>
      </c>
      <c r="C9" t="s">
        <v>758</v>
      </c>
      <c r="D9" t="s">
        <v>759</v>
      </c>
    </row>
    <row r="10" spans="1:4" x14ac:dyDescent="0.25">
      <c r="C10" t="s">
        <v>760</v>
      </c>
      <c r="D10" t="s">
        <v>761</v>
      </c>
    </row>
    <row r="11" spans="1:4" x14ac:dyDescent="0.25">
      <c r="D11" t="s">
        <v>762</v>
      </c>
    </row>
  </sheetData>
  <mergeCells count="1">
    <mergeCell ref="C4:D4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AB21-CDAA-4895-9158-4376D2E4F2FD}">
  <sheetPr codeName="Tabelle1"/>
  <dimension ref="A1:Y52"/>
  <sheetViews>
    <sheetView showGridLines="0" zoomScaleNormal="100" workbookViewId="0">
      <selection activeCell="C10" sqref="C10"/>
    </sheetView>
  </sheetViews>
  <sheetFormatPr baseColWidth="10" defaultRowHeight="15" x14ac:dyDescent="0.25"/>
  <cols>
    <col min="1" max="1" width="26.140625" bestFit="1" customWidth="1"/>
    <col min="2" max="2" width="28" bestFit="1" customWidth="1"/>
    <col min="3" max="3" width="28.28515625" bestFit="1" customWidth="1"/>
    <col min="4" max="4" width="3" style="6" bestFit="1" customWidth="1"/>
    <col min="5" max="5" width="18" bestFit="1" customWidth="1"/>
    <col min="6" max="6" width="11" bestFit="1" customWidth="1"/>
    <col min="7" max="7" width="13" bestFit="1" customWidth="1"/>
    <col min="8" max="8" width="18.7109375" bestFit="1" customWidth="1"/>
    <col min="9" max="10" width="12" bestFit="1" customWidth="1"/>
    <col min="11" max="11" width="22.5703125" bestFit="1" customWidth="1"/>
    <col min="12" max="12" width="28.140625" style="2" bestFit="1" customWidth="1"/>
    <col min="13" max="13" width="7.5703125" bestFit="1" customWidth="1"/>
    <col min="14" max="14" width="6.5703125" bestFit="1" customWidth="1"/>
    <col min="15" max="15" width="16.28515625" bestFit="1" customWidth="1"/>
    <col min="16" max="16" width="3.5703125" bestFit="1" customWidth="1"/>
    <col min="17" max="18" width="6.5703125" bestFit="1" customWidth="1"/>
    <col min="19" max="19" width="22.5703125" bestFit="1" customWidth="1"/>
  </cols>
  <sheetData>
    <row r="1" spans="1:25" ht="21" x14ac:dyDescent="0.35">
      <c r="A1" s="64" t="s">
        <v>165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S1" s="6"/>
      <c r="T1" s="6" t="s">
        <v>25</v>
      </c>
      <c r="U1" s="6"/>
      <c r="V1" s="6"/>
      <c r="W1" s="6"/>
      <c r="X1" s="6"/>
      <c r="Y1" s="37"/>
    </row>
    <row r="2" spans="1:25" ht="15.75" x14ac:dyDescent="0.25">
      <c r="A2" s="69" t="s">
        <v>9</v>
      </c>
      <c r="B2" s="69"/>
      <c r="C2" s="6"/>
      <c r="E2" s="69" t="s">
        <v>15</v>
      </c>
      <c r="F2" s="69"/>
      <c r="G2" s="7"/>
      <c r="H2" s="69" t="s">
        <v>10</v>
      </c>
      <c r="I2" s="69"/>
      <c r="J2" s="6"/>
      <c r="K2" s="69" t="s">
        <v>18</v>
      </c>
      <c r="L2" s="69"/>
      <c r="M2" s="58"/>
      <c r="N2" s="59"/>
      <c r="O2" s="59"/>
      <c r="Q2" s="59"/>
      <c r="R2" s="59"/>
      <c r="S2" s="6"/>
      <c r="T2" s="6" t="s">
        <v>23</v>
      </c>
      <c r="U2" s="6"/>
      <c r="V2" s="6"/>
      <c r="W2" s="6"/>
      <c r="X2" s="6"/>
      <c r="Y2" s="37"/>
    </row>
    <row r="3" spans="1:25" x14ac:dyDescent="0.25">
      <c r="A3" s="9" t="s">
        <v>4</v>
      </c>
      <c r="B3" s="10" t="s">
        <v>23</v>
      </c>
      <c r="C3" s="7">
        <f>IF(B3="Yes",(0.3*15)/180,0)</f>
        <v>2.5000000000000001E-2</v>
      </c>
      <c r="E3" s="9" t="s">
        <v>16</v>
      </c>
      <c r="F3" s="10" t="s">
        <v>23</v>
      </c>
      <c r="G3" s="6">
        <f>IF(F3="yes",0.1,0)</f>
        <v>0.1</v>
      </c>
      <c r="H3" s="9" t="s">
        <v>5</v>
      </c>
      <c r="I3" s="10">
        <v>5</v>
      </c>
      <c r="J3" s="6"/>
      <c r="K3" s="9" t="s">
        <v>19</v>
      </c>
      <c r="L3" s="10"/>
      <c r="M3" s="7">
        <f>IF(L3="yes",150,0)</f>
        <v>0</v>
      </c>
      <c r="N3" s="6"/>
      <c r="O3" s="6"/>
      <c r="Q3" s="59"/>
      <c r="R3" s="59"/>
      <c r="S3" s="6"/>
      <c r="T3" s="6" t="s">
        <v>24</v>
      </c>
      <c r="U3" s="6"/>
      <c r="V3" s="6"/>
      <c r="W3" s="6"/>
      <c r="X3" s="6"/>
      <c r="Y3" s="37"/>
    </row>
    <row r="4" spans="1:25" x14ac:dyDescent="0.25">
      <c r="A4" s="9" t="s">
        <v>3</v>
      </c>
      <c r="B4" s="10" t="s">
        <v>23</v>
      </c>
      <c r="C4" s="8">
        <f>IF(B4="Yes",((360-1.5)/(3-(0.1*I3))+1)/(360/(3-(0.1*I3))),1)</f>
        <v>1.0027777777777778</v>
      </c>
      <c r="E4" s="9" t="s">
        <v>17</v>
      </c>
      <c r="F4" s="10" t="s">
        <v>23</v>
      </c>
      <c r="G4" s="6">
        <f>IF(F4="yes",0.1,0)</f>
        <v>0.1</v>
      </c>
      <c r="H4" s="9" t="s">
        <v>6</v>
      </c>
      <c r="I4" s="10">
        <v>3</v>
      </c>
      <c r="J4" s="6"/>
      <c r="K4" s="9" t="s">
        <v>20</v>
      </c>
      <c r="L4" s="10"/>
      <c r="M4" s="7">
        <f>IF(L4="yes",15,0)</f>
        <v>0</v>
      </c>
      <c r="N4" s="6"/>
      <c r="O4" s="6"/>
      <c r="Q4" s="59"/>
      <c r="R4" s="59"/>
      <c r="S4" s="6"/>
      <c r="T4" s="6"/>
      <c r="U4" s="6"/>
      <c r="V4" s="6"/>
      <c r="W4" s="6"/>
      <c r="X4" s="6"/>
      <c r="Y4" s="37"/>
    </row>
    <row r="5" spans="1:25" x14ac:dyDescent="0.25">
      <c r="A5" s="9" t="s">
        <v>11</v>
      </c>
      <c r="B5" s="10" t="s">
        <v>23</v>
      </c>
      <c r="C5" s="7">
        <f>IF(B5="Yes",31,0)</f>
        <v>31</v>
      </c>
      <c r="G5" s="6"/>
      <c r="H5" s="9" t="s">
        <v>7</v>
      </c>
      <c r="I5" s="10">
        <v>5</v>
      </c>
      <c r="J5" s="6"/>
      <c r="K5" s="9" t="s">
        <v>21</v>
      </c>
      <c r="L5" s="10" t="s">
        <v>21</v>
      </c>
      <c r="M5" s="7">
        <f>IF(L5=T6,35,IF(L5=T5,20,0))</f>
        <v>20</v>
      </c>
      <c r="N5" s="6"/>
      <c r="O5" s="6"/>
      <c r="Q5" s="59"/>
      <c r="R5" s="59"/>
      <c r="S5" s="6"/>
      <c r="T5" s="6" t="s">
        <v>21</v>
      </c>
      <c r="U5" s="6"/>
      <c r="V5" s="6"/>
      <c r="W5" s="6"/>
      <c r="X5" s="6"/>
      <c r="Y5" s="37"/>
    </row>
    <row r="6" spans="1:25" ht="15.75" x14ac:dyDescent="0.25">
      <c r="A6" s="9" t="s">
        <v>12</v>
      </c>
      <c r="B6" s="10" t="s">
        <v>23</v>
      </c>
      <c r="C6" s="7">
        <f>IF(B6="Yes",0.1,0)</f>
        <v>0.1</v>
      </c>
      <c r="E6" s="69" t="s">
        <v>46</v>
      </c>
      <c r="F6" s="69"/>
      <c r="G6" s="7"/>
      <c r="H6" s="9" t="s">
        <v>8</v>
      </c>
      <c r="I6" s="10">
        <v>3</v>
      </c>
      <c r="J6" s="6"/>
      <c r="K6" s="9" t="s">
        <v>22</v>
      </c>
      <c r="L6" s="10" t="s">
        <v>30</v>
      </c>
      <c r="M6" s="7">
        <f>IF(L6=T9,8,IF(L6=T10,16,IF(L6=T11,24,IF(L6=T12,36,IF(L6=T13,60,0)))))</f>
        <v>36</v>
      </c>
      <c r="N6" s="6">
        <f>IF(L6=T9,8,IF(L6=T10,16,IF(L6=T11,24,IF(L6=T12,0.01,IF(L6=T13,0,0)))))</f>
        <v>0.01</v>
      </c>
      <c r="O6" s="6"/>
      <c r="Q6" s="59"/>
      <c r="R6" s="59"/>
      <c r="S6" s="6"/>
      <c r="T6" s="6" t="s">
        <v>26</v>
      </c>
      <c r="U6" s="6"/>
      <c r="V6" s="6"/>
      <c r="W6" s="6"/>
      <c r="X6" s="6"/>
      <c r="Y6" s="37"/>
    </row>
    <row r="7" spans="1:25" x14ac:dyDescent="0.25">
      <c r="A7" s="9" t="s">
        <v>13</v>
      </c>
      <c r="B7" s="10" t="s">
        <v>23</v>
      </c>
      <c r="C7" s="7">
        <f>IF(B7="Improved",36,IF(B7="Yes",30,0))</f>
        <v>30</v>
      </c>
      <c r="E7" s="9" t="s">
        <v>47</v>
      </c>
      <c r="F7" s="36" t="s">
        <v>24</v>
      </c>
      <c r="G7" s="7">
        <f>IF($F$7="Yes","TBD",440)</f>
        <v>440</v>
      </c>
      <c r="H7" s="9" t="s">
        <v>40</v>
      </c>
      <c r="I7" s="10">
        <v>3</v>
      </c>
      <c r="J7" s="6"/>
      <c r="K7" s="9" t="s">
        <v>60</v>
      </c>
      <c r="L7" s="10"/>
      <c r="M7" s="7">
        <f>IF($L$7=T19,8,0)</f>
        <v>0</v>
      </c>
      <c r="N7" s="7">
        <f>IF($L$7=$T$20,12,0)</f>
        <v>0</v>
      </c>
      <c r="O7" s="6">
        <f>IF(L7=T21,10,0)</f>
        <v>0</v>
      </c>
      <c r="Q7" s="59"/>
      <c r="R7" s="59"/>
      <c r="S7" s="6"/>
      <c r="T7" s="6"/>
      <c r="U7" s="6"/>
      <c r="V7" s="6"/>
      <c r="W7" s="6"/>
      <c r="X7" s="6"/>
      <c r="Y7" s="37"/>
    </row>
    <row r="8" spans="1:25" x14ac:dyDescent="0.25">
      <c r="A8" s="9" t="s">
        <v>14</v>
      </c>
      <c r="B8" s="10" t="s">
        <v>25</v>
      </c>
      <c r="C8" s="7">
        <f>IF(B8="Improved",12*1.35,IF(B8="Yes",12,0))</f>
        <v>16.200000000000003</v>
      </c>
      <c r="G8" s="7">
        <f>IF($F$7="Yes","TBD",475)</f>
        <v>475</v>
      </c>
      <c r="H8" s="9" t="s">
        <v>127</v>
      </c>
      <c r="I8" s="10">
        <v>3</v>
      </c>
      <c r="J8" s="6">
        <f>I8*0.01</f>
        <v>0.03</v>
      </c>
      <c r="K8" s="9"/>
      <c r="L8" s="12"/>
      <c r="M8" s="6"/>
      <c r="N8" s="6"/>
      <c r="O8" s="6"/>
      <c r="Q8" s="59"/>
      <c r="R8" s="59"/>
      <c r="S8" s="6"/>
      <c r="T8" s="6"/>
      <c r="U8" s="6"/>
      <c r="V8" s="6"/>
      <c r="W8" s="6"/>
      <c r="X8" s="6"/>
      <c r="Y8" s="37"/>
    </row>
    <row r="9" spans="1:25" ht="15.75" x14ac:dyDescent="0.25">
      <c r="A9" s="9" t="s">
        <v>33</v>
      </c>
      <c r="B9" s="10" t="s">
        <v>23</v>
      </c>
      <c r="C9" s="7">
        <f>IF(B9="Yes",40,0)</f>
        <v>40</v>
      </c>
      <c r="E9" s="69" t="s">
        <v>114</v>
      </c>
      <c r="F9" s="69"/>
      <c r="G9" s="6"/>
      <c r="H9" s="9" t="s">
        <v>128</v>
      </c>
      <c r="I9" s="10">
        <v>5</v>
      </c>
      <c r="J9" s="6">
        <f>1+(I9*0.02)</f>
        <v>1.1000000000000001</v>
      </c>
      <c r="K9" s="9"/>
      <c r="L9" s="12"/>
      <c r="M9" s="6"/>
      <c r="N9" s="6"/>
      <c r="O9" s="6"/>
      <c r="Q9" s="59"/>
      <c r="R9" s="59"/>
      <c r="S9" s="6"/>
      <c r="T9" s="6" t="s">
        <v>29</v>
      </c>
      <c r="U9" s="6"/>
      <c r="V9" s="6"/>
      <c r="W9" s="6"/>
      <c r="X9" s="6"/>
      <c r="Y9" s="37"/>
    </row>
    <row r="10" spans="1:25" x14ac:dyDescent="0.25">
      <c r="A10" s="9" t="s">
        <v>2</v>
      </c>
      <c r="B10" s="10" t="s">
        <v>23</v>
      </c>
      <c r="C10" s="7">
        <f>IF(B10="Yes",40,0)</f>
        <v>40</v>
      </c>
      <c r="D10" s="11"/>
      <c r="E10" s="9" t="s">
        <v>115</v>
      </c>
      <c r="F10" s="10" t="s">
        <v>119</v>
      </c>
      <c r="G10" s="6"/>
      <c r="H10" s="9" t="s">
        <v>131</v>
      </c>
      <c r="I10" s="10">
        <v>4</v>
      </c>
      <c r="J10" s="6">
        <f>I10*2</f>
        <v>8</v>
      </c>
      <c r="K10" s="9"/>
      <c r="L10" s="12"/>
      <c r="M10" s="6"/>
      <c r="N10" s="6"/>
      <c r="O10" s="6"/>
      <c r="Q10" s="59"/>
      <c r="R10" s="59"/>
      <c r="S10" s="6"/>
      <c r="T10" s="6" t="s">
        <v>28</v>
      </c>
      <c r="U10" s="6"/>
      <c r="V10" s="6"/>
      <c r="W10" s="6"/>
      <c r="X10" s="6"/>
      <c r="Y10" s="37"/>
    </row>
    <row r="11" spans="1:25" x14ac:dyDescent="0.25">
      <c r="A11" s="9" t="s">
        <v>59</v>
      </c>
      <c r="B11" s="10"/>
      <c r="C11" s="7">
        <f>IF(B11="Yes",0.1,0)</f>
        <v>0</v>
      </c>
      <c r="G11" s="6"/>
      <c r="J11" s="6"/>
      <c r="Q11" s="59"/>
      <c r="R11" s="59"/>
      <c r="S11" s="6"/>
      <c r="T11" s="6" t="s">
        <v>22</v>
      </c>
      <c r="U11" s="6"/>
      <c r="V11" s="6"/>
      <c r="W11" s="6"/>
      <c r="X11" s="6"/>
      <c r="Y11" s="37"/>
    </row>
    <row r="12" spans="1:25" x14ac:dyDescent="0.25">
      <c r="A12" s="9" t="s">
        <v>39</v>
      </c>
      <c r="B12" s="10" t="s">
        <v>23</v>
      </c>
      <c r="C12" s="7">
        <f>IF(B12="Yes",0.3,0)</f>
        <v>0.3</v>
      </c>
      <c r="D12" s="6">
        <f>IF(B12="Yes",15,0)</f>
        <v>15</v>
      </c>
      <c r="G12" s="6"/>
      <c r="Q12" s="59"/>
      <c r="R12" s="59"/>
      <c r="S12" s="6"/>
      <c r="T12" s="6" t="s">
        <v>30</v>
      </c>
      <c r="U12" s="6"/>
      <c r="V12" s="6"/>
      <c r="W12" s="6"/>
      <c r="X12" s="6"/>
      <c r="Y12" s="37"/>
    </row>
    <row r="13" spans="1:25" x14ac:dyDescent="0.25">
      <c r="A13" s="9" t="s">
        <v>58</v>
      </c>
      <c r="B13" s="10" t="s">
        <v>25</v>
      </c>
      <c r="C13" s="7">
        <f>IF(B13=T2,42,IF(B13=T1,42*1.3,0))</f>
        <v>54.6</v>
      </c>
      <c r="L13"/>
      <c r="Q13" s="59"/>
      <c r="R13" s="59"/>
      <c r="S13" s="6"/>
      <c r="T13" s="6" t="s">
        <v>31</v>
      </c>
      <c r="U13" s="6"/>
      <c r="V13" s="6"/>
      <c r="W13" s="6"/>
      <c r="X13" s="6"/>
      <c r="Y13" s="37"/>
    </row>
    <row r="14" spans="1:25" x14ac:dyDescent="0.25">
      <c r="A14" s="25" t="s">
        <v>746</v>
      </c>
      <c r="B14" s="10"/>
      <c r="C14" s="6">
        <f>IF(B14="yes",0.1,0)</f>
        <v>0</v>
      </c>
      <c r="Q14" s="59"/>
      <c r="R14" s="59"/>
      <c r="S14" s="6"/>
      <c r="T14" s="6"/>
      <c r="U14" s="6"/>
      <c r="V14" s="6"/>
      <c r="W14" s="6"/>
      <c r="X14" s="6"/>
      <c r="Y14" s="37"/>
    </row>
    <row r="15" spans="1:25" ht="15.75" x14ac:dyDescent="0.25">
      <c r="A15" s="25" t="s">
        <v>747</v>
      </c>
      <c r="B15" s="10"/>
      <c r="C15" s="6">
        <f>IF(B15="yes",0.03,0)</f>
        <v>0</v>
      </c>
      <c r="E15" s="69" t="s">
        <v>57</v>
      </c>
      <c r="F15" s="69"/>
      <c r="G15" s="69"/>
      <c r="H15" s="69"/>
      <c r="I15" s="69"/>
      <c r="J15" s="69"/>
      <c r="L15" s="69" t="s">
        <v>52</v>
      </c>
      <c r="M15" s="69"/>
      <c r="N15" s="69"/>
      <c r="Q15" s="59"/>
      <c r="R15" s="59"/>
      <c r="S15" s="6"/>
      <c r="T15" s="6"/>
      <c r="U15" s="6"/>
      <c r="V15" s="6"/>
      <c r="W15" s="6"/>
      <c r="X15" s="6"/>
      <c r="Y15" s="37"/>
    </row>
    <row r="16" spans="1:25" x14ac:dyDescent="0.25">
      <c r="A16" s="57" t="s">
        <v>748</v>
      </c>
      <c r="B16" s="10"/>
      <c r="C16" s="6">
        <f>IF(B16="yes",0.15,0)</f>
        <v>0</v>
      </c>
      <c r="E16" s="38" t="s">
        <v>55</v>
      </c>
      <c r="F16" s="38" t="s">
        <v>56</v>
      </c>
      <c r="G16" s="39">
        <f>E17</f>
        <v>1</v>
      </c>
      <c r="H16" s="40">
        <f>E18</f>
        <v>0.01</v>
      </c>
      <c r="I16" s="41">
        <f>E19</f>
        <v>0.01</v>
      </c>
      <c r="J16" s="42">
        <f>E20</f>
        <v>1</v>
      </c>
      <c r="L16" s="38"/>
      <c r="M16" s="38" t="s">
        <v>48</v>
      </c>
      <c r="N16" s="38" t="s">
        <v>49</v>
      </c>
      <c r="Q16" s="59"/>
      <c r="R16" s="59"/>
      <c r="S16" s="6"/>
      <c r="T16" s="6"/>
      <c r="U16" s="6"/>
      <c r="V16" s="6"/>
      <c r="W16" s="6"/>
      <c r="X16" s="6"/>
      <c r="Y16" s="37"/>
    </row>
    <row r="17" spans="1:25" x14ac:dyDescent="0.25">
      <c r="C17" s="6">
        <f>IF(F10="Human",Races!G2,1)</f>
        <v>1.05</v>
      </c>
      <c r="E17" s="16">
        <v>1</v>
      </c>
      <c r="F17" s="17">
        <f>((E17*U17)/(3-I3*0.1))*(0.83+G32)*(1+G33)*(1+(G3*0.1)+C14+C3+(C4-1))</f>
        <v>0.35901304140216078</v>
      </c>
      <c r="G17" s="17">
        <f>F17/F17</f>
        <v>1</v>
      </c>
      <c r="H17" s="9">
        <f>F17/F18</f>
        <v>0.14649746480470982</v>
      </c>
      <c r="I17" s="9">
        <f>IF(F19=0,"Infinity",F17/F19)</f>
        <v>0.11172389728289094</v>
      </c>
      <c r="J17" s="9">
        <f>F17/F20</f>
        <v>8.7165991558802336</v>
      </c>
      <c r="L17" s="9" t="s">
        <v>43</v>
      </c>
      <c r="M17" s="13">
        <f>((G7+($G$31*$U$17))*(1+((I6*0.02)+G3+C14+C3)))</f>
        <v>658.1110799999999</v>
      </c>
      <c r="N17" s="13">
        <f>M17*(1.5+$I$5*0.1)</f>
        <v>1316.2221599999998</v>
      </c>
      <c r="Q17" s="59"/>
      <c r="R17" s="59"/>
      <c r="S17" s="6"/>
      <c r="T17" s="6" t="s">
        <v>1</v>
      </c>
      <c r="U17" s="61">
        <f>3/3.5*0.95</f>
        <v>0.81428571428571417</v>
      </c>
      <c r="V17" s="62">
        <f>3/3.5*0.95</f>
        <v>0.81428571428571417</v>
      </c>
      <c r="W17" s="6"/>
      <c r="X17" s="6"/>
      <c r="Y17" s="37"/>
    </row>
    <row r="18" spans="1:25" x14ac:dyDescent="0.25">
      <c r="C18" s="6">
        <f>IF(F10="Gnome",Races!H3,1)</f>
        <v>1</v>
      </c>
      <c r="E18" s="18">
        <v>0.01</v>
      </c>
      <c r="F18" s="17">
        <f>(E18*100)*M22*0.01</f>
        <v>2.4506433737999997</v>
      </c>
      <c r="G18" s="9">
        <f>F18/F17</f>
        <v>6.8260566920599057</v>
      </c>
      <c r="H18" s="9">
        <f>F18/F18</f>
        <v>1</v>
      </c>
      <c r="I18" s="9">
        <f>IF(F19=0,"Infinity",F18/F19)</f>
        <v>0.76263365671089123</v>
      </c>
      <c r="J18" s="9">
        <f>F18/F20</f>
        <v>59.5</v>
      </c>
      <c r="L18" s="9" t="s">
        <v>44</v>
      </c>
      <c r="M18" s="13">
        <f>(((G7+G8)/2)+($G$31*$U$17))*(1+(I6*0.02)+G3+C3+C14)</f>
        <v>678.84857999999997</v>
      </c>
      <c r="N18" s="13">
        <f>M18*(1.5+$I$5*0.1)</f>
        <v>1357.6971599999999</v>
      </c>
      <c r="Q18" s="59"/>
      <c r="R18" s="59"/>
      <c r="S18" s="6"/>
      <c r="T18" s="6"/>
      <c r="U18" s="6"/>
      <c r="V18" s="6"/>
      <c r="W18" s="6"/>
      <c r="X18" s="6"/>
      <c r="Y18" s="37"/>
    </row>
    <row r="19" spans="1:25" x14ac:dyDescent="0.25">
      <c r="C19" s="6">
        <f>IF(F10="Troll",Races!I5,0)</f>
        <v>0</v>
      </c>
      <c r="E19" s="19">
        <v>0.01</v>
      </c>
      <c r="F19" s="17">
        <f>IF(G32=0.16,0,(E19*100)*B21*0.01)</f>
        <v>3.2133952550287463</v>
      </c>
      <c r="G19" s="9">
        <f>F19/F17</f>
        <v>8.9506365631691676</v>
      </c>
      <c r="H19" s="9">
        <f>F19/F18</f>
        <v>1.311245564892624</v>
      </c>
      <c r="I19" s="9">
        <f>IF(F19=0,"Infinity",F19/F19)</f>
        <v>1</v>
      </c>
      <c r="J19" s="9">
        <f>F19/F20</f>
        <v>78.019111111111116</v>
      </c>
      <c r="L19" s="9" t="s">
        <v>45</v>
      </c>
      <c r="M19" s="13">
        <f>(G8+($G$31*$U$17))*(1+(I6*0.02)+G3+C3+C14)</f>
        <v>699.58607999999992</v>
      </c>
      <c r="N19" s="13">
        <f>M19*(1.5+$I$5*0.1)</f>
        <v>1399.1721599999998</v>
      </c>
      <c r="Q19" s="59"/>
      <c r="R19" s="59"/>
      <c r="S19" s="6"/>
      <c r="T19" s="6" t="s">
        <v>61</v>
      </c>
      <c r="U19" s="6"/>
      <c r="V19" s="6"/>
      <c r="W19" s="6"/>
      <c r="X19" s="6"/>
      <c r="Y19" s="37"/>
    </row>
    <row r="20" spans="1:25" ht="15.75" x14ac:dyDescent="0.25">
      <c r="A20" s="69" t="s">
        <v>53</v>
      </c>
      <c r="B20" s="69"/>
      <c r="C20" s="6"/>
      <c r="E20" s="20">
        <v>1</v>
      </c>
      <c r="F20" s="9">
        <f>(E20/59.5)*(F18/(E18*100))</f>
        <v>4.1187283593277307E-2</v>
      </c>
      <c r="G20" s="9">
        <f>F20/F17</f>
        <v>0.11472364188335978</v>
      </c>
      <c r="H20" s="9">
        <f>F20/F18</f>
        <v>1.680672268907563E-2</v>
      </c>
      <c r="I20" s="9">
        <f>IF(F19=0,"Infinity",F20/F19)</f>
        <v>1.2817372381695651E-2</v>
      </c>
      <c r="J20" s="9">
        <f>F20/F20</f>
        <v>1</v>
      </c>
      <c r="L20" s="9" t="s">
        <v>54</v>
      </c>
      <c r="M20" s="67">
        <f>M18+(M18*(0.5+(0.1*I5))*G33)</f>
        <v>801.12347078278992</v>
      </c>
      <c r="N20" s="68"/>
      <c r="S20" s="6"/>
      <c r="T20" s="6" t="s">
        <v>62</v>
      </c>
      <c r="U20" s="6"/>
      <c r="V20" s="6"/>
      <c r="W20" s="6"/>
      <c r="X20" s="6"/>
      <c r="Y20" s="37"/>
    </row>
    <row r="21" spans="1:25" x14ac:dyDescent="0.25">
      <c r="A21" s="9" t="s">
        <v>50</v>
      </c>
      <c r="B21" s="13">
        <f>M20/(3-0.1*I3)*(C4+C19)</f>
        <v>321.33952550287461</v>
      </c>
      <c r="C21" s="6"/>
      <c r="L21" s="9" t="s">
        <v>163</v>
      </c>
      <c r="M21" s="65">
        <f>M18/(3-0.1*I3)*(C4+C19)</f>
        <v>272.29370819999997</v>
      </c>
      <c r="N21" s="66"/>
      <c r="S21" s="6"/>
      <c r="T21" s="6" t="s">
        <v>83</v>
      </c>
      <c r="U21" s="6"/>
      <c r="V21" s="6"/>
      <c r="W21" s="6"/>
      <c r="X21" s="6"/>
      <c r="Y21" s="37"/>
    </row>
    <row r="22" spans="1:25" x14ac:dyDescent="0.25">
      <c r="A22" s="14" t="s">
        <v>51</v>
      </c>
      <c r="B22" s="15">
        <f>(B21*(0.83+G32))</f>
        <v>289.20557295258709</v>
      </c>
      <c r="L22" s="9" t="s">
        <v>164</v>
      </c>
      <c r="M22" s="65">
        <f>(M21*(0.83+G32))</f>
        <v>245.06433737999996</v>
      </c>
      <c r="N22" s="66"/>
      <c r="S22" s="37"/>
      <c r="T22" s="6"/>
      <c r="U22" s="6"/>
      <c r="V22" s="6"/>
      <c r="W22" s="6"/>
      <c r="X22" s="6"/>
      <c r="Y22" s="37"/>
    </row>
    <row r="23" spans="1:25" x14ac:dyDescent="0.25">
      <c r="N23" s="4"/>
      <c r="O23" s="4"/>
      <c r="P23" s="4"/>
      <c r="S23" s="37"/>
      <c r="T23" s="6"/>
      <c r="U23" s="6"/>
      <c r="V23" s="6"/>
      <c r="W23" s="6"/>
      <c r="X23" s="6"/>
      <c r="Y23" s="37"/>
    </row>
    <row r="24" spans="1:25" ht="15.75" x14ac:dyDescent="0.25">
      <c r="A24" s="69" t="s">
        <v>116</v>
      </c>
      <c r="B24" s="69"/>
      <c r="C24" s="69"/>
      <c r="E24" s="69" t="s">
        <v>55</v>
      </c>
      <c r="F24" s="69"/>
      <c r="G24" s="69"/>
      <c r="S24" s="37"/>
      <c r="T24" s="37"/>
      <c r="U24" s="37"/>
      <c r="V24" s="37"/>
      <c r="W24" s="37"/>
      <c r="X24" s="37"/>
      <c r="Y24" s="37"/>
    </row>
    <row r="25" spans="1:25" x14ac:dyDescent="0.25">
      <c r="A25" s="38" t="s">
        <v>79</v>
      </c>
      <c r="B25" s="38" t="s">
        <v>117</v>
      </c>
      <c r="C25" s="38" t="s">
        <v>126</v>
      </c>
      <c r="E25" s="9" t="s">
        <v>0</v>
      </c>
      <c r="F25" s="9" t="s">
        <v>27</v>
      </c>
      <c r="G25" s="9" t="s">
        <v>38</v>
      </c>
      <c r="S25" s="37"/>
      <c r="T25" s="37"/>
      <c r="U25" s="37"/>
      <c r="V25" s="37"/>
      <c r="W25" s="37"/>
      <c r="X25" s="37"/>
      <c r="Y25" s="37"/>
    </row>
    <row r="26" spans="1:25" x14ac:dyDescent="0.25">
      <c r="A26" s="9" t="s">
        <v>63</v>
      </c>
      <c r="B26" s="10" t="s">
        <v>113</v>
      </c>
      <c r="C26" s="10" t="s">
        <v>134</v>
      </c>
      <c r="E26" s="9" t="s">
        <v>32</v>
      </c>
      <c r="F26" s="25">
        <f>VLOOKUP($F$10,Races!$A$2:$H$5,2,FALSE)+Gear!E29</f>
        <v>30</v>
      </c>
      <c r="G26" s="9">
        <f>F26*(1+C6+C16)</f>
        <v>33</v>
      </c>
      <c r="S26" s="37"/>
      <c r="T26" s="37"/>
      <c r="U26" s="37"/>
      <c r="V26" s="37"/>
      <c r="W26" s="37"/>
      <c r="X26" s="37"/>
      <c r="Y26" s="37"/>
    </row>
    <row r="27" spans="1:25" x14ac:dyDescent="0.25">
      <c r="A27" s="9" t="s">
        <v>64</v>
      </c>
      <c r="B27" s="10" t="s">
        <v>93</v>
      </c>
      <c r="C27" s="25"/>
      <c r="E27" s="9" t="s">
        <v>34</v>
      </c>
      <c r="F27" s="25">
        <f>VLOOKUP($F$10,Races!$A$2:$H$5,3,FALSE)+Gear!G29</f>
        <v>35</v>
      </c>
      <c r="G27" s="9">
        <f>F27*(1+C6+C16)</f>
        <v>38.5</v>
      </c>
    </row>
    <row r="28" spans="1:25" x14ac:dyDescent="0.25">
      <c r="A28" s="9" t="s">
        <v>65</v>
      </c>
      <c r="B28" s="10" t="s">
        <v>175</v>
      </c>
      <c r="C28" s="10" t="s">
        <v>137</v>
      </c>
      <c r="E28" s="9" t="s">
        <v>35</v>
      </c>
      <c r="F28" s="26">
        <f>VLOOKUP($F$10,Races!$A$2:$H$5,4,FALSE)+Gear!F29</f>
        <v>61</v>
      </c>
      <c r="G28" s="9">
        <f>(F28+C8+C9+C13+N7)*(1+C6+C16)*C17</f>
        <v>198.42900000000003</v>
      </c>
    </row>
    <row r="29" spans="1:25" x14ac:dyDescent="0.25">
      <c r="A29" s="9" t="s">
        <v>66</v>
      </c>
      <c r="B29" s="10" t="s">
        <v>95</v>
      </c>
      <c r="C29" s="10"/>
      <c r="E29" s="9" t="s">
        <v>36</v>
      </c>
      <c r="F29" s="25">
        <f>(VLOOKUP($F$10,Races!$A$2:$H$5,5,FALSE)+Gear!H29)*(C18)</f>
        <v>159</v>
      </c>
      <c r="G29" s="9">
        <f>((((F29/C18)*1)+C5+C8+O7)*(1+C6+C16))*C18</f>
        <v>226.82</v>
      </c>
    </row>
    <row r="30" spans="1:25" x14ac:dyDescent="0.25">
      <c r="A30" s="9" t="s">
        <v>67</v>
      </c>
      <c r="B30" s="10" t="s">
        <v>96</v>
      </c>
      <c r="C30" s="10"/>
      <c r="E30" s="9" t="s">
        <v>37</v>
      </c>
      <c r="F30" s="25">
        <f>(VLOOKUP($F$10,Races!$A$2:$H$5,6,FALSE)+Gear!I29)*(C17)</f>
        <v>136.5</v>
      </c>
      <c r="G30" s="9">
        <f>((((F30/C17)*1)+C10+C8+N7)*(C17+C6+C16))</f>
        <v>214.13000000000002</v>
      </c>
    </row>
    <row r="31" spans="1:25" x14ac:dyDescent="0.25">
      <c r="A31" s="9" t="s">
        <v>68</v>
      </c>
      <c r="B31" s="10" t="s">
        <v>97</v>
      </c>
      <c r="C31" s="10" t="s">
        <v>142</v>
      </c>
      <c r="E31" s="9" t="s">
        <v>84</v>
      </c>
      <c r="F31" s="25">
        <f>(Gear!J29)</f>
        <v>84</v>
      </c>
      <c r="G31" s="12">
        <f>((F31/(1+J8))+M3+M4+M5+M6)*(1+J8)</f>
        <v>141.67999999999998</v>
      </c>
    </row>
    <row r="32" spans="1:25" x14ac:dyDescent="0.25">
      <c r="A32" s="9" t="s">
        <v>69</v>
      </c>
      <c r="B32" s="10" t="s">
        <v>98</v>
      </c>
      <c r="C32" s="10"/>
      <c r="E32" s="9" t="s">
        <v>41</v>
      </c>
      <c r="F32" s="27">
        <f>Gear!L29+I4*0.02</f>
        <v>6.9999999999999993E-2</v>
      </c>
      <c r="G32" s="21">
        <f>IF((F32)&gt;0.16,0.16,F32)</f>
        <v>6.9999999999999993E-2</v>
      </c>
    </row>
    <row r="33" spans="1:11" x14ac:dyDescent="0.25">
      <c r="A33" s="9" t="s">
        <v>70</v>
      </c>
      <c r="B33" s="10" t="s">
        <v>99</v>
      </c>
      <c r="C33" s="25"/>
      <c r="E33" s="9" t="s">
        <v>42</v>
      </c>
      <c r="F33" s="28">
        <f>(Gear!K29+J8)+(((F29)/59.5)/100)+0.002</f>
        <v>5.8722689075630247E-2</v>
      </c>
      <c r="G33" s="22">
        <f>F33+N6+G4+C11+(((G29-F29)/59.5))/100+C15</f>
        <v>0.18012100840336134</v>
      </c>
      <c r="J33" s="3"/>
    </row>
    <row r="34" spans="1:11" x14ac:dyDescent="0.25">
      <c r="A34" s="9" t="s">
        <v>71</v>
      </c>
      <c r="B34" s="10" t="s">
        <v>100</v>
      </c>
      <c r="C34" s="10" t="s">
        <v>134</v>
      </c>
      <c r="E34" s="9" t="s">
        <v>61</v>
      </c>
      <c r="F34" s="29">
        <f>Gear!M29+((((F30/4)+12.5)*2.5)*(0+(I7*0.05)))</f>
        <v>17.484375000000004</v>
      </c>
      <c r="G34" s="12">
        <f>Gear!M29+((((G30/4)+12.5)*2.5)*(0+C12+(I7*0.05)))+C7+M7</f>
        <v>104.2865625</v>
      </c>
      <c r="I34" s="4"/>
      <c r="J34" s="4"/>
      <c r="K34" s="4"/>
    </row>
    <row r="35" spans="1:11" x14ac:dyDescent="0.25">
      <c r="A35" s="9" t="s">
        <v>72</v>
      </c>
      <c r="B35" s="10" t="s">
        <v>92</v>
      </c>
      <c r="C35" s="10"/>
      <c r="E35" s="9" t="s">
        <v>90</v>
      </c>
      <c r="F35" s="30">
        <f>Gear!R29+J10+D12</f>
        <v>28</v>
      </c>
      <c r="G35" s="23">
        <f>F35</f>
        <v>28</v>
      </c>
    </row>
    <row r="36" spans="1:11" x14ac:dyDescent="0.25">
      <c r="A36" s="9" t="s">
        <v>73</v>
      </c>
      <c r="B36" s="10" t="s">
        <v>101</v>
      </c>
      <c r="C36" s="25"/>
      <c r="E36" s="9" t="s">
        <v>87</v>
      </c>
      <c r="F36" s="30">
        <f>Gear!N29+J10+D12</f>
        <v>38</v>
      </c>
      <c r="G36" s="23">
        <f t="shared" ref="G36:G39" si="0">F36</f>
        <v>38</v>
      </c>
    </row>
    <row r="37" spans="1:11" x14ac:dyDescent="0.25">
      <c r="A37" s="9" t="s">
        <v>73</v>
      </c>
      <c r="B37" s="10" t="s">
        <v>101</v>
      </c>
      <c r="C37" s="25"/>
      <c r="E37" s="9" t="s">
        <v>89</v>
      </c>
      <c r="F37" s="30">
        <f>Gear!P29+J10+D12</f>
        <v>28</v>
      </c>
      <c r="G37" s="23">
        <f t="shared" si="0"/>
        <v>28</v>
      </c>
    </row>
    <row r="38" spans="1:11" x14ac:dyDescent="0.25">
      <c r="A38" s="9" t="s">
        <v>74</v>
      </c>
      <c r="B38" s="10" t="s">
        <v>102</v>
      </c>
      <c r="C38" s="25"/>
      <c r="E38" s="9" t="s">
        <v>88</v>
      </c>
      <c r="F38" s="30">
        <f>Gear!O29+J10+D12</f>
        <v>28</v>
      </c>
      <c r="G38" s="23">
        <f t="shared" si="0"/>
        <v>28</v>
      </c>
    </row>
    <row r="39" spans="1:11" x14ac:dyDescent="0.25">
      <c r="A39" s="9" t="s">
        <v>74</v>
      </c>
      <c r="B39" s="10" t="s">
        <v>103</v>
      </c>
      <c r="C39" s="25"/>
      <c r="E39" s="9" t="s">
        <v>91</v>
      </c>
      <c r="F39" s="30">
        <f>Gear!Q29+J10+D12</f>
        <v>28</v>
      </c>
      <c r="G39" s="23">
        <f t="shared" si="0"/>
        <v>28</v>
      </c>
    </row>
    <row r="40" spans="1:11" x14ac:dyDescent="0.25">
      <c r="A40" s="9" t="s">
        <v>75</v>
      </c>
      <c r="B40" s="10" t="s">
        <v>104</v>
      </c>
      <c r="C40" s="10" t="s">
        <v>84</v>
      </c>
      <c r="E40" s="9" t="s">
        <v>129</v>
      </c>
      <c r="F40" s="9">
        <f>1640+((F28-B50)*10)</f>
        <v>1800</v>
      </c>
      <c r="G40" s="23">
        <f>F40+((G28-F28)*10)</f>
        <v>3174.2900000000004</v>
      </c>
    </row>
    <row r="41" spans="1:11" x14ac:dyDescent="0.25">
      <c r="A41" s="9" t="s">
        <v>76</v>
      </c>
      <c r="B41" s="10" t="s">
        <v>105</v>
      </c>
      <c r="C41" s="25"/>
      <c r="E41" s="9" t="s">
        <v>130</v>
      </c>
      <c r="F41" s="24">
        <f>3089+((((F29-B52)*15))*J9)</f>
        <v>3732.5</v>
      </c>
      <c r="G41" s="23">
        <f>F41+((G29-F29)*15)</f>
        <v>4749.8</v>
      </c>
    </row>
    <row r="42" spans="1:11" x14ac:dyDescent="0.25">
      <c r="A42" s="9" t="s">
        <v>77</v>
      </c>
      <c r="B42" s="10" t="s">
        <v>106</v>
      </c>
      <c r="C42" s="25"/>
      <c r="E42" s="9"/>
      <c r="F42" s="9"/>
      <c r="G42" s="9"/>
    </row>
    <row r="46" spans="1:11" x14ac:dyDescent="0.25">
      <c r="A46" s="6"/>
      <c r="B46" s="6"/>
    </row>
    <row r="47" spans="1:11" x14ac:dyDescent="0.25">
      <c r="A47" s="6" t="s">
        <v>162</v>
      </c>
      <c r="B47" s="6"/>
    </row>
    <row r="48" spans="1:11" x14ac:dyDescent="0.25">
      <c r="A48" s="6" t="s">
        <v>32</v>
      </c>
      <c r="B48" s="6">
        <f>(VLOOKUP($F$10,Races!$A$2:$H$5,2,FALSE))</f>
        <v>30</v>
      </c>
    </row>
    <row r="49" spans="1:2" x14ac:dyDescent="0.25">
      <c r="A49" s="6" t="s">
        <v>34</v>
      </c>
      <c r="B49" s="6">
        <f>(VLOOKUP($F$10,Races!$A$2:$H$5,3,FALSE))</f>
        <v>35</v>
      </c>
    </row>
    <row r="50" spans="1:2" x14ac:dyDescent="0.25">
      <c r="A50" s="6" t="s">
        <v>35</v>
      </c>
      <c r="B50" s="6">
        <f>(VLOOKUP($F$10,Races!$A$2:$H$5,4,FALSE))</f>
        <v>45</v>
      </c>
    </row>
    <row r="51" spans="1:2" x14ac:dyDescent="0.25">
      <c r="A51" s="6" t="s">
        <v>36</v>
      </c>
      <c r="B51" s="6">
        <f>(VLOOKUP($F$10,Races!$A$2:$H$5,5,FALSE))</f>
        <v>125</v>
      </c>
    </row>
    <row r="52" spans="1:2" x14ac:dyDescent="0.25">
      <c r="A52" s="6" t="s">
        <v>37</v>
      </c>
      <c r="B52" s="6">
        <f>(VLOOKUP($F$10,Races!$A$2:$H$5,6,FALSE))</f>
        <v>120</v>
      </c>
    </row>
  </sheetData>
  <mergeCells count="15">
    <mergeCell ref="E24:G24"/>
    <mergeCell ref="A2:B2"/>
    <mergeCell ref="E6:F6"/>
    <mergeCell ref="E15:J15"/>
    <mergeCell ref="L15:N15"/>
    <mergeCell ref="E2:F2"/>
    <mergeCell ref="E9:F9"/>
    <mergeCell ref="A24:C24"/>
    <mergeCell ref="A1:N1"/>
    <mergeCell ref="M22:N22"/>
    <mergeCell ref="M21:N21"/>
    <mergeCell ref="M20:N20"/>
    <mergeCell ref="A20:B20"/>
    <mergeCell ref="H2:I2"/>
    <mergeCell ref="K2:L2"/>
  </mergeCells>
  <dataValidations count="9">
    <dataValidation type="list" allowBlank="1" showInputMessage="1" showErrorMessage="1" sqref="I3 I5 I9:I10" xr:uid="{7C359BE8-1E93-433A-81C8-E48B75248F51}">
      <formula1>"0,1,2,3,4,5"</formula1>
    </dataValidation>
    <dataValidation type="list" allowBlank="1" showInputMessage="1" showErrorMessage="1" sqref="I4 I6:I8" xr:uid="{7B55D6A9-D9D1-4F71-8861-C96F039403D0}">
      <formula1>"0,1,2,3"</formula1>
    </dataValidation>
    <dataValidation type="whole" allowBlank="1" showInputMessage="1" showErrorMessage="1" sqref="E17 E20" xr:uid="{DE3334FA-EEB9-4E5E-8686-05A88CFBD7F7}">
      <formula1>0</formula1>
      <formula2>1000</formula2>
    </dataValidation>
    <dataValidation type="decimal" allowBlank="1" showInputMessage="1" showErrorMessage="1" sqref="E18:E19" xr:uid="{2CF27D7D-3CF6-4023-B524-96A2533FEE0E}">
      <formula1>0</formula1>
      <formula2>100</formula2>
    </dataValidation>
    <dataValidation type="list" allowBlank="1" showInputMessage="1" showErrorMessage="1" sqref="B9:B12 F7 L3:L4 F3:F4 B3:B6 B14:B16" xr:uid="{D1CDEC35-4CB5-4C81-B106-760C9BEF6D2A}">
      <formula1>$T$2:$T$3</formula1>
    </dataValidation>
    <dataValidation type="list" allowBlank="1" showInputMessage="1" showErrorMessage="1" sqref="B13 B7:B11" xr:uid="{C9D6FBE4-1530-432C-A4EB-F487201491A1}">
      <formula1>$T$1:$T$3</formula1>
    </dataValidation>
    <dataValidation type="list" allowBlank="1" showInputMessage="1" showErrorMessage="1" sqref="L6" xr:uid="{7BB4F59B-6BB2-4403-B620-2BFF759D0EB2}">
      <formula1>$T$8:$T$13</formula1>
    </dataValidation>
    <dataValidation type="list" allowBlank="1" showInputMessage="1" showErrorMessage="1" sqref="L5" xr:uid="{DA0C51BF-986C-4668-843A-ACD5B5DCE333}">
      <formula1>$T$4:$T$6</formula1>
    </dataValidation>
    <dataValidation type="list" allowBlank="1" showInputMessage="1" showErrorMessage="1" sqref="L7" xr:uid="{807C8212-CEDD-4A27-A218-6C76D805EA3F}">
      <formula1>$T$19:$T$21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xr:uid="{B450DF61-2085-4060-9645-1C26F0783E2B}">
          <x14:formula1>
            <xm:f>Head!$B$2:$B$1000</xm:f>
          </x14:formula1>
          <xm:sqref>B26</xm:sqref>
        </x14:dataValidation>
        <x14:dataValidation type="list" allowBlank="1" showInputMessage="1" showErrorMessage="1" xr:uid="{61BAAFC8-873F-4BF5-9348-AD37162A10A2}">
          <x14:formula1>
            <xm:f>Neck!$B$2:$B$1000</xm:f>
          </x14:formula1>
          <xm:sqref>B27</xm:sqref>
        </x14:dataValidation>
        <x14:dataValidation type="list" allowBlank="1" showInputMessage="1" showErrorMessage="1" xr:uid="{F2AC8E6E-8964-4492-B4B4-CA4346E1AD01}">
          <x14:formula1>
            <xm:f>Shoulder!$B$2:$B$1000</xm:f>
          </x14:formula1>
          <xm:sqref>B28</xm:sqref>
        </x14:dataValidation>
        <x14:dataValidation type="list" allowBlank="1" showInputMessage="1" showErrorMessage="1" xr:uid="{565B4350-B941-41B9-8A24-BBD82F439223}">
          <x14:formula1>
            <xm:f>Chest!$B$2:$B$1000</xm:f>
          </x14:formula1>
          <xm:sqref>B30</xm:sqref>
        </x14:dataValidation>
        <x14:dataValidation type="list" allowBlank="1" showInputMessage="1" showErrorMessage="1" xr:uid="{EFCFE3F1-B50F-4138-B9EB-5D6D2EDFF9EA}">
          <x14:formula1>
            <xm:f>Back!$B$2:$B$1000</xm:f>
          </x14:formula1>
          <xm:sqref>B29</xm:sqref>
        </x14:dataValidation>
        <x14:dataValidation type="list" allowBlank="1" showInputMessage="1" showErrorMessage="1" xr:uid="{1BDF2C85-56A6-4076-8E6F-FA42CF61947C}">
          <x14:formula1>
            <xm:f>Wrist!$B$2:$B$1000</xm:f>
          </x14:formula1>
          <xm:sqref>B31</xm:sqref>
        </x14:dataValidation>
        <x14:dataValidation type="list" allowBlank="1" showInputMessage="1" showErrorMessage="1" xr:uid="{0B999397-F0D0-4FA1-A63D-04ABC8F46BAD}">
          <x14:formula1>
            <xm:f>Hands!$B$2:$B$1000</xm:f>
          </x14:formula1>
          <xm:sqref>B32</xm:sqref>
        </x14:dataValidation>
        <x14:dataValidation type="list" allowBlank="1" showInputMessage="1" showErrorMessage="1" xr:uid="{4198AC46-D28A-4A60-B937-B793C4B39CB3}">
          <x14:formula1>
            <xm:f>Waist!$B$2:$B$1000</xm:f>
          </x14:formula1>
          <xm:sqref>B33</xm:sqref>
        </x14:dataValidation>
        <x14:dataValidation type="list" allowBlank="1" showInputMessage="1" showErrorMessage="1" xr:uid="{DCEB5416-FC4A-47BF-B4F6-0C6B0643F29F}">
          <x14:formula1>
            <xm:f>Legs!$B$2:$B$1000</xm:f>
          </x14:formula1>
          <xm:sqref>B34</xm:sqref>
        </x14:dataValidation>
        <x14:dataValidation type="list" allowBlank="1" showInputMessage="1" showErrorMessage="1" xr:uid="{9BCB67A9-117E-4095-8B75-2C6E2D19C214}">
          <x14:formula1>
            <xm:f>Feet!$B$2:$B$1000</xm:f>
          </x14:formula1>
          <xm:sqref>B35</xm:sqref>
        </x14:dataValidation>
        <x14:dataValidation type="list" allowBlank="1" showInputMessage="1" showErrorMessage="1" xr:uid="{0463115D-0868-4547-B6E4-80DEEF6BE802}">
          <x14:formula1>
            <xm:f>Ring!$B$2:$B$1000</xm:f>
          </x14:formula1>
          <xm:sqref>B36:B37</xm:sqref>
        </x14:dataValidation>
        <x14:dataValidation type="list" allowBlank="1" showInputMessage="1" showErrorMessage="1" xr:uid="{CD5F546A-2694-4C06-BEC4-5ADB8240AEC0}">
          <x14:formula1>
            <xm:f>Trinket!$B$2:$B$1000</xm:f>
          </x14:formula1>
          <xm:sqref>B38:B39</xm:sqref>
        </x14:dataValidation>
        <x14:dataValidation type="list" allowBlank="1" showInputMessage="1" showErrorMessage="1" xr:uid="{E4B0ABC3-68EE-42E0-91B2-B22140AF8219}">
          <x14:formula1>
            <xm:f>Weapon!$B$2:$B$1000</xm:f>
          </x14:formula1>
          <xm:sqref>B40</xm:sqref>
        </x14:dataValidation>
        <x14:dataValidation type="list" allowBlank="1" showInputMessage="1" showErrorMessage="1" xr:uid="{EDDBC54A-0EAF-4613-BEFE-11FB08A34E2E}">
          <x14:formula1>
            <xm:f>Offhand!$B$2:$B$1000</xm:f>
          </x14:formula1>
          <xm:sqref>B41</xm:sqref>
        </x14:dataValidation>
        <x14:dataValidation type="list" allowBlank="1" showInputMessage="1" showErrorMessage="1" xr:uid="{5087FA2E-DC7F-4F4C-A4AA-2B8D8B34CFBD}">
          <x14:formula1>
            <xm:f>Wand!$B$2:$B$1000</xm:f>
          </x14:formula1>
          <xm:sqref>B42</xm:sqref>
        </x14:dataValidation>
        <x14:dataValidation type="list" allowBlank="1" showInputMessage="1" showErrorMessage="1" xr:uid="{8A666346-7041-4116-A2E2-92CE1440ADCD}">
          <x14:formula1>
            <xm:f>Races!$A$2:$A$5</xm:f>
          </x14:formula1>
          <xm:sqref>F10</xm:sqref>
        </x14:dataValidation>
        <x14:dataValidation type="list" allowBlank="1" showInputMessage="1" showErrorMessage="1" xr:uid="{8191387E-A80D-4B63-9F5E-898FCAFCD012}">
          <x14:formula1>
            <xm:f>Enchants!$B$2:$B$4</xm:f>
          </x14:formula1>
          <xm:sqref>C26 C34</xm:sqref>
        </x14:dataValidation>
        <x14:dataValidation type="list" allowBlank="1" showInputMessage="1" showErrorMessage="1" xr:uid="{04781F16-42FD-4C37-A596-B2F4E0253E8E}">
          <x14:formula1>
            <xm:f>Enchants!$B$5:$B$7</xm:f>
          </x14:formula1>
          <xm:sqref>C28</xm:sqref>
        </x14:dataValidation>
        <x14:dataValidation type="list" allowBlank="1" showInputMessage="1" showErrorMessage="1" xr:uid="{0194F3DA-892E-4D52-BC62-8C9873D1AA44}">
          <x14:formula1>
            <xm:f>Enchants!$B$8:$B$10</xm:f>
          </x14:formula1>
          <xm:sqref>C29</xm:sqref>
        </x14:dataValidation>
        <x14:dataValidation type="list" allowBlank="1" showInputMessage="1" showErrorMessage="1" xr:uid="{129D6998-357B-4CF8-88F2-890504CD9335}">
          <x14:formula1>
            <xm:f>Enchants!$B$13</xm:f>
          </x14:formula1>
          <xm:sqref>C31</xm:sqref>
        </x14:dataValidation>
        <x14:dataValidation type="list" allowBlank="1" showInputMessage="1" showErrorMessage="1" xr:uid="{400C5A5C-4224-42B8-8FE5-659BF04650A2}">
          <x14:formula1>
            <xm:f>Enchants!$B$14:$B$15</xm:f>
          </x14:formula1>
          <xm:sqref>C32</xm:sqref>
        </x14:dataValidation>
        <x14:dataValidation type="list" allowBlank="1" showInputMessage="1" showErrorMessage="1" xr:uid="{69F729F8-3977-4011-9A02-76A1B5B10E90}">
          <x14:formula1>
            <xm:f>Enchants!$B$16:$B$17</xm:f>
          </x14:formula1>
          <xm:sqref>C40</xm:sqref>
        </x14:dataValidation>
        <x14:dataValidation type="list" allowBlank="1" showInputMessage="1" showErrorMessage="1" xr:uid="{0BAFE3FF-0840-4794-96DA-770AC14BD123}">
          <x14:formula1>
            <xm:f>Enchants!$B$11:$B$12</xm:f>
          </x14:formula1>
          <xm:sqref>C30</xm:sqref>
        </x14:dataValidation>
        <x14:dataValidation type="list" allowBlank="1" showInputMessage="1" showErrorMessage="1" xr:uid="{9D5FDCA6-9DAB-4340-A4F6-21E0075A5909}">
          <x14:formula1>
            <xm:f>Enchants!$B$18:$B$20</xm:f>
          </x14:formula1>
          <xm:sqref>C35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52092-E340-4825-A815-DBDFB3072533}">
  <sheetPr codeName="Tabelle22"/>
  <dimension ref="A1:S20"/>
  <sheetViews>
    <sheetView showGridLines="0" workbookViewId="0">
      <selection activeCell="I21" sqref="I21"/>
    </sheetView>
  </sheetViews>
  <sheetFormatPr baseColWidth="10" defaultRowHeight="15" x14ac:dyDescent="0.25"/>
  <cols>
    <col min="1" max="1" width="10.42578125" style="9" bestFit="1" customWidth="1"/>
    <col min="2" max="2" width="28.28515625" style="9" bestFit="1" customWidth="1"/>
    <col min="3" max="3" width="11.5703125" style="9" bestFit="1" customWidth="1"/>
    <col min="4" max="4" width="10.42578125" style="9" bestFit="1" customWidth="1"/>
    <col min="5" max="5" width="14.28515625" style="9" bestFit="1" customWidth="1"/>
    <col min="6" max="6" width="15.28515625" style="9" bestFit="1" customWidth="1"/>
    <col min="7" max="7" width="17.140625" style="9" bestFit="1" customWidth="1"/>
    <col min="8" max="8" width="18" style="9" bestFit="1" customWidth="1"/>
    <col min="9" max="9" width="17.140625" style="9" bestFit="1" customWidth="1"/>
    <col min="10" max="10" width="8.5703125" style="9" bestFit="1" customWidth="1"/>
    <col min="11" max="11" width="8.140625" style="9" bestFit="1" customWidth="1"/>
    <col min="12" max="12" width="6.7109375" style="9" bestFit="1" customWidth="1"/>
    <col min="13" max="13" width="8.42578125" style="9" bestFit="1" customWidth="1"/>
    <col min="14" max="14" width="5.7109375" style="9" bestFit="1" customWidth="1"/>
    <col min="15" max="19" width="11.42578125" style="9"/>
  </cols>
  <sheetData>
    <row r="1" spans="1:19" x14ac:dyDescent="0.25">
      <c r="A1" s="33" t="s">
        <v>79</v>
      </c>
      <c r="B1" s="33" t="s">
        <v>132</v>
      </c>
      <c r="C1" s="32" t="s">
        <v>86</v>
      </c>
      <c r="D1" s="33" t="s">
        <v>80</v>
      </c>
      <c r="E1" s="33" t="s">
        <v>81</v>
      </c>
      <c r="F1" s="33" t="s">
        <v>33</v>
      </c>
      <c r="G1" s="33" t="s">
        <v>82</v>
      </c>
      <c r="H1" s="33" t="s">
        <v>83</v>
      </c>
      <c r="I1" s="33" t="s">
        <v>2</v>
      </c>
      <c r="J1" s="33" t="s">
        <v>84</v>
      </c>
      <c r="K1" s="34" t="s">
        <v>42</v>
      </c>
      <c r="L1" s="34" t="s">
        <v>41</v>
      </c>
      <c r="M1" s="33" t="s">
        <v>61</v>
      </c>
      <c r="N1" s="33" t="s">
        <v>87</v>
      </c>
      <c r="O1" s="33" t="s">
        <v>88</v>
      </c>
      <c r="P1" s="33" t="s">
        <v>89</v>
      </c>
      <c r="Q1" s="33" t="s">
        <v>91</v>
      </c>
      <c r="R1" s="33" t="s">
        <v>90</v>
      </c>
      <c r="S1" s="33" t="s">
        <v>161</v>
      </c>
    </row>
    <row r="2" spans="1:19" x14ac:dyDescent="0.25">
      <c r="A2" s="9" t="s">
        <v>135</v>
      </c>
      <c r="B2" s="9" t="s">
        <v>133</v>
      </c>
      <c r="H2" s="9">
        <v>8</v>
      </c>
    </row>
    <row r="3" spans="1:19" x14ac:dyDescent="0.25">
      <c r="A3" s="9" t="s">
        <v>135</v>
      </c>
      <c r="B3" s="9" t="s">
        <v>134</v>
      </c>
      <c r="J3" s="9">
        <v>8</v>
      </c>
    </row>
    <row r="4" spans="1:19" x14ac:dyDescent="0.25">
      <c r="A4" s="9" t="s">
        <v>135</v>
      </c>
      <c r="B4" s="9" t="s">
        <v>136</v>
      </c>
      <c r="J4" s="9">
        <v>18</v>
      </c>
    </row>
    <row r="5" spans="1:19" x14ac:dyDescent="0.25">
      <c r="A5" s="9" t="s">
        <v>65</v>
      </c>
      <c r="B5" s="9" t="s">
        <v>137</v>
      </c>
      <c r="N5" s="9">
        <v>5</v>
      </c>
      <c r="O5" s="9">
        <v>5</v>
      </c>
      <c r="P5" s="9">
        <v>5</v>
      </c>
      <c r="Q5" s="9">
        <v>5</v>
      </c>
      <c r="R5" s="9">
        <v>5</v>
      </c>
    </row>
    <row r="6" spans="1:19" x14ac:dyDescent="0.25">
      <c r="A6" s="9" t="s">
        <v>65</v>
      </c>
      <c r="B6" s="9" t="s">
        <v>144</v>
      </c>
      <c r="J6" s="9">
        <v>18</v>
      </c>
    </row>
    <row r="7" spans="1:19" x14ac:dyDescent="0.25">
      <c r="A7" s="9" t="s">
        <v>65</v>
      </c>
      <c r="B7" s="9" t="s">
        <v>150</v>
      </c>
      <c r="J7" s="9">
        <v>18</v>
      </c>
      <c r="K7" s="9">
        <v>1</v>
      </c>
    </row>
    <row r="8" spans="1:19" x14ac:dyDescent="0.25">
      <c r="A8" s="9" t="s">
        <v>66</v>
      </c>
      <c r="B8" s="9" t="s">
        <v>139</v>
      </c>
      <c r="N8" s="9">
        <v>5</v>
      </c>
      <c r="O8" s="9">
        <v>5</v>
      </c>
      <c r="P8" s="9">
        <v>5</v>
      </c>
      <c r="Q8" s="9">
        <v>5</v>
      </c>
      <c r="R8" s="9">
        <v>5</v>
      </c>
    </row>
    <row r="9" spans="1:19" x14ac:dyDescent="0.25">
      <c r="A9" s="9" t="s">
        <v>66</v>
      </c>
      <c r="B9" s="9" t="s">
        <v>151</v>
      </c>
      <c r="P9" s="9">
        <v>15</v>
      </c>
    </row>
    <row r="10" spans="1:19" x14ac:dyDescent="0.25">
      <c r="A10" s="9" t="s">
        <v>66</v>
      </c>
      <c r="B10" s="9" t="s">
        <v>145</v>
      </c>
      <c r="N10" s="9">
        <v>15</v>
      </c>
    </row>
    <row r="11" spans="1:19" x14ac:dyDescent="0.25">
      <c r="A11" s="9" t="s">
        <v>67</v>
      </c>
      <c r="B11" s="9" t="s">
        <v>138</v>
      </c>
      <c r="E11" s="9">
        <v>4</v>
      </c>
      <c r="F11" s="9">
        <v>4</v>
      </c>
      <c r="G11" s="9">
        <v>4</v>
      </c>
      <c r="H11" s="9">
        <v>4</v>
      </c>
      <c r="I11" s="9">
        <v>4</v>
      </c>
    </row>
    <row r="12" spans="1:19" x14ac:dyDescent="0.25">
      <c r="A12" s="9" t="s">
        <v>140</v>
      </c>
      <c r="B12" s="9" t="s">
        <v>141</v>
      </c>
      <c r="S12" s="9">
        <v>100</v>
      </c>
    </row>
    <row r="13" spans="1:19" x14ac:dyDescent="0.25">
      <c r="A13" s="9" t="s">
        <v>68</v>
      </c>
      <c r="B13" s="9" t="s">
        <v>142</v>
      </c>
      <c r="H13" s="9">
        <v>7</v>
      </c>
    </row>
    <row r="14" spans="1:19" x14ac:dyDescent="0.25">
      <c r="A14" s="9" t="s">
        <v>146</v>
      </c>
      <c r="B14" s="9" t="s">
        <v>147</v>
      </c>
      <c r="J14" s="9" t="s">
        <v>149</v>
      </c>
    </row>
    <row r="15" spans="1:19" x14ac:dyDescent="0.25">
      <c r="A15" s="9" t="s">
        <v>146</v>
      </c>
      <c r="B15" s="9" t="s">
        <v>148</v>
      </c>
      <c r="J15" s="9">
        <v>20</v>
      </c>
    </row>
    <row r="16" spans="1:19" x14ac:dyDescent="0.25">
      <c r="A16" s="9" t="s">
        <v>75</v>
      </c>
      <c r="B16" s="9" t="s">
        <v>84</v>
      </c>
      <c r="J16" s="9">
        <v>30</v>
      </c>
    </row>
    <row r="17" spans="1:9" x14ac:dyDescent="0.25">
      <c r="A17" s="9" t="s">
        <v>75</v>
      </c>
      <c r="B17" s="9" t="s">
        <v>143</v>
      </c>
      <c r="H17" s="9">
        <v>9</v>
      </c>
    </row>
    <row r="18" spans="1:9" x14ac:dyDescent="0.25">
      <c r="A18" s="9" t="s">
        <v>72</v>
      </c>
      <c r="B18" s="9" t="s">
        <v>2</v>
      </c>
      <c r="I18" s="9">
        <v>5</v>
      </c>
    </row>
    <row r="19" spans="1:9" x14ac:dyDescent="0.25">
      <c r="A19" s="9" t="s">
        <v>72</v>
      </c>
      <c r="B19" s="9" t="s">
        <v>732</v>
      </c>
      <c r="I19" s="9">
        <v>3</v>
      </c>
    </row>
    <row r="20" spans="1:9" x14ac:dyDescent="0.25">
      <c r="A20" s="9" t="s">
        <v>72</v>
      </c>
      <c r="B20" s="9" t="s">
        <v>733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65C50-BD50-4BF2-8DE3-4C49DC9BBA4C}">
  <sheetPr codeName="Tabelle21"/>
  <dimension ref="A1:I5"/>
  <sheetViews>
    <sheetView showGridLines="0" workbookViewId="0">
      <selection activeCell="D39" sqref="D39"/>
    </sheetView>
  </sheetViews>
  <sheetFormatPr baseColWidth="10" defaultRowHeight="15" x14ac:dyDescent="0.25"/>
  <cols>
    <col min="1" max="1" width="7.85546875" style="9" bestFit="1" customWidth="1"/>
    <col min="2" max="2" width="8.5703125" style="9" bestFit="1" customWidth="1"/>
    <col min="3" max="3" width="8.140625" style="9" bestFit="1" customWidth="1"/>
    <col min="4" max="4" width="6.7109375" style="9" bestFit="1" customWidth="1"/>
    <col min="5" max="5" width="8.42578125" style="9" bestFit="1" customWidth="1"/>
    <col min="6" max="6" width="5.7109375" style="9" bestFit="1" customWidth="1"/>
    <col min="7" max="7" width="11.5703125" style="21" bestFit="1" customWidth="1"/>
    <col min="8" max="8" width="9.28515625" style="21" bestFit="1" customWidth="1"/>
    <col min="9" max="9" width="9.7109375" style="9" bestFit="1" customWidth="1"/>
  </cols>
  <sheetData>
    <row r="1" spans="1:9" x14ac:dyDescent="0.25">
      <c r="A1" s="33" t="s">
        <v>118</v>
      </c>
      <c r="B1" s="33" t="str">
        <f>Gear!E1</f>
        <v>Strength</v>
      </c>
      <c r="C1" s="33" t="str">
        <f>Gear!F1</f>
        <v>Stamina</v>
      </c>
      <c r="D1" s="33" t="str">
        <f>Gear!G1</f>
        <v>Agility</v>
      </c>
      <c r="E1" s="33" t="str">
        <f>Gear!H1</f>
        <v>Intellect</v>
      </c>
      <c r="F1" s="33" t="str">
        <f>Gear!I1</f>
        <v>Spirit</v>
      </c>
      <c r="G1" s="34" t="s">
        <v>123</v>
      </c>
      <c r="H1" s="34" t="s">
        <v>124</v>
      </c>
      <c r="I1" s="33" t="s">
        <v>125</v>
      </c>
    </row>
    <row r="2" spans="1:9" x14ac:dyDescent="0.25">
      <c r="A2" s="9" t="s">
        <v>119</v>
      </c>
      <c r="B2" s="9">
        <v>30</v>
      </c>
      <c r="C2" s="9">
        <v>35</v>
      </c>
      <c r="D2" s="9">
        <v>45</v>
      </c>
      <c r="E2" s="9">
        <v>125</v>
      </c>
      <c r="F2" s="9">
        <v>120</v>
      </c>
      <c r="G2" s="21">
        <v>1.05</v>
      </c>
      <c r="H2" s="21">
        <v>1</v>
      </c>
      <c r="I2" s="9">
        <v>0</v>
      </c>
    </row>
    <row r="3" spans="1:9" x14ac:dyDescent="0.25">
      <c r="A3" s="9" t="s">
        <v>120</v>
      </c>
      <c r="B3" s="9">
        <v>25</v>
      </c>
      <c r="C3" s="9">
        <v>38</v>
      </c>
      <c r="D3" s="9">
        <v>44</v>
      </c>
      <c r="E3" s="9">
        <v>133</v>
      </c>
      <c r="F3" s="9">
        <v>120</v>
      </c>
      <c r="G3" s="21">
        <v>1</v>
      </c>
      <c r="H3" s="21">
        <v>1.05</v>
      </c>
      <c r="I3" s="9">
        <v>0</v>
      </c>
    </row>
    <row r="4" spans="1:9" x14ac:dyDescent="0.25">
      <c r="A4" s="9" t="s">
        <v>121</v>
      </c>
      <c r="B4" s="9">
        <v>29</v>
      </c>
      <c r="C4" s="9">
        <v>33</v>
      </c>
      <c r="D4" s="9">
        <v>46</v>
      </c>
      <c r="E4" s="9">
        <v>123</v>
      </c>
      <c r="F4" s="9">
        <v>125</v>
      </c>
      <c r="G4" s="21">
        <v>1</v>
      </c>
      <c r="H4" s="21">
        <v>1</v>
      </c>
      <c r="I4" s="9">
        <v>0</v>
      </c>
    </row>
    <row r="5" spans="1:9" x14ac:dyDescent="0.25">
      <c r="A5" s="9" t="s">
        <v>122</v>
      </c>
      <c r="B5" s="9">
        <v>31</v>
      </c>
      <c r="C5" s="9">
        <v>37</v>
      </c>
      <c r="D5" s="9">
        <v>46</v>
      </c>
      <c r="E5" s="9">
        <v>121</v>
      </c>
      <c r="F5" s="9">
        <v>121</v>
      </c>
      <c r="G5" s="21">
        <v>1</v>
      </c>
      <c r="H5" s="21">
        <v>1</v>
      </c>
      <c r="I5" s="22">
        <f>(10%*10/180)</f>
        <v>5.5555555555555558E-3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EC89E-1A12-4B6B-B637-F80E2C17FC53}">
  <sheetPr codeName="Tabelle2"/>
  <dimension ref="A1:S37"/>
  <sheetViews>
    <sheetView showGridLines="0" workbookViewId="0">
      <selection activeCell="J16" sqref="J16"/>
    </sheetView>
  </sheetViews>
  <sheetFormatPr baseColWidth="10" defaultRowHeight="15" x14ac:dyDescent="0.25"/>
  <cols>
    <col min="1" max="1" width="16.5703125" bestFit="1" customWidth="1"/>
    <col min="2" max="2" width="28.28515625" bestFit="1" customWidth="1"/>
    <col min="3" max="3" width="8.42578125" bestFit="1" customWidth="1"/>
    <col min="4" max="4" width="6.5703125" bestFit="1" customWidth="1"/>
    <col min="5" max="5" width="8.5703125" bestFit="1" customWidth="1"/>
    <col min="6" max="6" width="8.140625" bestFit="1" customWidth="1"/>
    <col min="7" max="7" width="6.7109375" bestFit="1" customWidth="1"/>
    <col min="8" max="8" width="8.42578125" bestFit="1" customWidth="1"/>
    <col min="9" max="9" width="5.7109375" bestFit="1" customWidth="1"/>
    <col min="10" max="10" width="16.5703125" bestFit="1" customWidth="1"/>
    <col min="11" max="11" width="9" style="1" bestFit="1" customWidth="1"/>
    <col min="12" max="12" width="8.42578125" style="1" bestFit="1" customWidth="1"/>
    <col min="13" max="13" width="5" bestFit="1" customWidth="1"/>
    <col min="14" max="14" width="14.28515625" bestFit="1" customWidth="1"/>
    <col min="15" max="15" width="15.28515625" bestFit="1" customWidth="1"/>
    <col min="16" max="16" width="17.140625" bestFit="1" customWidth="1"/>
    <col min="17" max="17" width="18" bestFit="1" customWidth="1"/>
    <col min="18" max="18" width="17.140625" bestFit="1" customWidth="1"/>
  </cols>
  <sheetData>
    <row r="1" spans="1:19" x14ac:dyDescent="0.25">
      <c r="A1" s="33" t="s">
        <v>79</v>
      </c>
      <c r="B1" s="33" t="s">
        <v>117</v>
      </c>
      <c r="C1" s="32" t="s">
        <v>86</v>
      </c>
      <c r="D1" s="33" t="s">
        <v>80</v>
      </c>
      <c r="E1" s="33" t="s">
        <v>81</v>
      </c>
      <c r="F1" s="33" t="s">
        <v>33</v>
      </c>
      <c r="G1" s="33" t="s">
        <v>82</v>
      </c>
      <c r="H1" s="33" t="s">
        <v>83</v>
      </c>
      <c r="I1" s="33" t="s">
        <v>2</v>
      </c>
      <c r="J1" s="33" t="s">
        <v>170</v>
      </c>
      <c r="K1" s="34" t="s">
        <v>42</v>
      </c>
      <c r="L1" s="34" t="s">
        <v>41</v>
      </c>
      <c r="M1" s="33" t="s">
        <v>61</v>
      </c>
      <c r="N1" s="33" t="s">
        <v>87</v>
      </c>
      <c r="O1" s="33" t="s">
        <v>88</v>
      </c>
      <c r="P1" s="33" t="s">
        <v>89</v>
      </c>
      <c r="Q1" s="33" t="s">
        <v>91</v>
      </c>
      <c r="R1" s="33" t="s">
        <v>90</v>
      </c>
      <c r="S1" s="33" t="s">
        <v>161</v>
      </c>
    </row>
    <row r="2" spans="1:19" x14ac:dyDescent="0.25">
      <c r="A2" s="9" t="s">
        <v>63</v>
      </c>
      <c r="B2" s="9" t="str">
        <f>'Frost Calculation'!B26</f>
        <v>Arcanist Crown</v>
      </c>
      <c r="C2" s="9">
        <f>_xlfn.IFNA(VLOOKUP($B2,Head!$B$2:$S$1000,2,FALSE),0)</f>
        <v>11.505712740090448</v>
      </c>
      <c r="D2" s="9">
        <f>VLOOKUP($B2,Head!$B$2:$S$1000,4,FALSE)</f>
        <v>83</v>
      </c>
      <c r="E2" s="9">
        <f>VLOOKUP($B2,Head!$B$2:$S$1000,5,FALSE)</f>
        <v>0</v>
      </c>
      <c r="F2" s="9">
        <f>VLOOKUP($B2,Head!$B$2:$S$1000,6,FALSE)</f>
        <v>16</v>
      </c>
      <c r="G2" s="9">
        <f>VLOOKUP($B2,Head!$B$2:$S$1000,7,FALSE)</f>
        <v>0</v>
      </c>
      <c r="H2" s="9">
        <f>VLOOKUP($B2,Head!$B$2:$S$1000,8,FALSE)</f>
        <v>27</v>
      </c>
      <c r="I2" s="9">
        <f>VLOOKUP($B2,Head!$B$2:$S$1000,9,FALSE)</f>
        <v>10</v>
      </c>
      <c r="J2" s="9">
        <f>VLOOKUP($B2,Head!$B$2:$S$1000,10,FALSE)</f>
        <v>20</v>
      </c>
      <c r="K2" s="21">
        <f>VLOOKUP($B2,Head!$B$2:$S$1000,11,FALSE)</f>
        <v>0</v>
      </c>
      <c r="L2" s="21">
        <f>VLOOKUP($B2,Head!$B$2:$S$1000,12,FALSE)</f>
        <v>0.01</v>
      </c>
      <c r="M2" s="9">
        <f>VLOOKUP($B2,Head!$B$2:$S$1000,13,FALSE)</f>
        <v>0</v>
      </c>
      <c r="N2" s="9">
        <f>VLOOKUP($B2,Head!$B$2:$S$1000,14,FALSE)</f>
        <v>10</v>
      </c>
      <c r="O2" s="9">
        <f>VLOOKUP($B2,Head!$B$2:$S$1000,15,FALSE)</f>
        <v>0</v>
      </c>
      <c r="P2" s="9">
        <f>VLOOKUP($B2,Head!$B$2:$S$1000,16,FALSE)</f>
        <v>0</v>
      </c>
      <c r="Q2" s="9">
        <f>VLOOKUP($B2,Head!$B$2:$S$1000,17,FALSE)</f>
        <v>0</v>
      </c>
      <c r="R2" s="9">
        <f>VLOOKUP($B2,Head!$B$2:$S$1000,18,FALSE)</f>
        <v>0</v>
      </c>
      <c r="S2" s="9"/>
    </row>
    <row r="3" spans="1:19" x14ac:dyDescent="0.25">
      <c r="A3" s="9" t="s">
        <v>64</v>
      </c>
      <c r="B3" s="9" t="str">
        <f>'Frost Calculation'!B27</f>
        <v>Choker of the Fire Lord</v>
      </c>
      <c r="C3" s="9">
        <f>_xlfn.IFNA(VLOOKUP($B3,Neck!$B$2:$S$1000,2,FALSE),0)</f>
        <v>0</v>
      </c>
      <c r="D3" s="9" t="e">
        <f>VLOOKUP($B3,Neck!$B$2:$S$1000,4,FALSE)</f>
        <v>#N/A</v>
      </c>
      <c r="E3" s="9" t="e">
        <f>VLOOKUP($B3,Neck!$B$2:$S$1000,5,FALSE)</f>
        <v>#N/A</v>
      </c>
      <c r="F3" s="9" t="e">
        <f>VLOOKUP($B3,Neck!$B$2:$S$1000,6,FALSE)</f>
        <v>#N/A</v>
      </c>
      <c r="G3" s="9" t="e">
        <f>VLOOKUP($B3,Neck!$B$2:$S$1000,7,FALSE)</f>
        <v>#N/A</v>
      </c>
      <c r="H3" s="9" t="e">
        <f>VLOOKUP($B3,Neck!$B$2:$S$1000,8,FALSE)</f>
        <v>#N/A</v>
      </c>
      <c r="I3" s="9" t="e">
        <f>VLOOKUP($B3,Neck!$B$2:$S$1000,9,FALSE)</f>
        <v>#N/A</v>
      </c>
      <c r="J3" s="9" t="e">
        <f>VLOOKUP($B3,Neck!$B$2:$S$1000,10,FALSE)</f>
        <v>#N/A</v>
      </c>
      <c r="K3" s="21" t="e">
        <f>VLOOKUP($B3,Neck!$B$2:$S$1000,11,FALSE)</f>
        <v>#N/A</v>
      </c>
      <c r="L3" s="21" t="e">
        <f>VLOOKUP($B3,Neck!$B$2:$S$1000,12,FALSE)</f>
        <v>#N/A</v>
      </c>
      <c r="M3" s="9" t="e">
        <f>VLOOKUP($B3,Neck!$B$2:$S$1000,13,FALSE)</f>
        <v>#N/A</v>
      </c>
      <c r="N3" s="9" t="e">
        <f>VLOOKUP($B3,Neck!$B$2:$S$1000,14,FALSE)</f>
        <v>#N/A</v>
      </c>
      <c r="O3" s="9" t="e">
        <f>VLOOKUP($B3,Neck!$B$2:$S$1000,15,FALSE)</f>
        <v>#N/A</v>
      </c>
      <c r="P3" s="9" t="e">
        <f>VLOOKUP($B3,Neck!$B$2:$S$1000,16,FALSE)</f>
        <v>#N/A</v>
      </c>
      <c r="Q3" s="9" t="e">
        <f>VLOOKUP($B3,Neck!$B$2:$S$1000,17,FALSE)</f>
        <v>#N/A</v>
      </c>
      <c r="R3" s="9" t="e">
        <f>VLOOKUP($B3,Neck!$B$2:$S$1000,18,FALSE)</f>
        <v>#N/A</v>
      </c>
      <c r="S3" s="9"/>
    </row>
    <row r="4" spans="1:19" x14ac:dyDescent="0.25">
      <c r="A4" s="9" t="s">
        <v>65</v>
      </c>
      <c r="B4" s="9" t="str">
        <f>'Frost Calculation'!B28</f>
        <v>Mantle of the Blackwing Cabal</v>
      </c>
      <c r="C4" s="9">
        <f>_xlfn.IFNA(VLOOKUP($B4,Shoulder!$B$2:$S$1000,2,FALSE),0)</f>
        <v>0</v>
      </c>
      <c r="D4" s="9" t="e">
        <f>VLOOKUP($B4,Shoulder!$B$2:$S$1000,4,FALSE)</f>
        <v>#N/A</v>
      </c>
      <c r="E4" s="9" t="e">
        <f>VLOOKUP($B4,Shoulder!$B$2:$S$1000,5,FALSE)</f>
        <v>#N/A</v>
      </c>
      <c r="F4" s="9" t="e">
        <f>VLOOKUP($B4,Shoulder!$B$2:$S$1000,6,FALSE)</f>
        <v>#N/A</v>
      </c>
      <c r="G4" s="9" t="e">
        <f>VLOOKUP($B4,Shoulder!$B$2:$S$1000,7,FALSE)</f>
        <v>#N/A</v>
      </c>
      <c r="H4" s="9" t="e">
        <f>VLOOKUP($B4,Shoulder!$B$2:$S$1000,8,FALSE)</f>
        <v>#N/A</v>
      </c>
      <c r="I4" s="9" t="e">
        <f>VLOOKUP($B4,Shoulder!$B$2:$S$1000,9,FALSE)</f>
        <v>#N/A</v>
      </c>
      <c r="J4" s="9" t="e">
        <f>VLOOKUP($B4,Shoulder!$B$2:$S$1000,10,FALSE)</f>
        <v>#N/A</v>
      </c>
      <c r="K4" s="21" t="e">
        <f>VLOOKUP($B4,Shoulder!$B$2:$S$1000,11,FALSE)</f>
        <v>#N/A</v>
      </c>
      <c r="L4" s="21" t="e">
        <f>VLOOKUP($B4,Shoulder!$B$2:$S$1000,12,FALSE)</f>
        <v>#N/A</v>
      </c>
      <c r="M4" s="9" t="e">
        <f>VLOOKUP($B4,Shoulder!$B$2:$S$1000,13,FALSE)</f>
        <v>#N/A</v>
      </c>
      <c r="N4" s="9" t="e">
        <f>VLOOKUP($B4,Shoulder!$B$2:$S$1000,14,FALSE)</f>
        <v>#N/A</v>
      </c>
      <c r="O4" s="9" t="e">
        <f>VLOOKUP($B4,Shoulder!$B$2:$S$1000,15,FALSE)</f>
        <v>#N/A</v>
      </c>
      <c r="P4" s="9" t="e">
        <f>VLOOKUP($B4,Shoulder!$B$2:$S$1000,16,FALSE)</f>
        <v>#N/A</v>
      </c>
      <c r="Q4" s="9" t="e">
        <f>VLOOKUP($B4,Shoulder!$B$2:$S$1000,17,FALSE)</f>
        <v>#N/A</v>
      </c>
      <c r="R4" s="9" t="e">
        <f>VLOOKUP($B4,Shoulder!$B$2:$S$1000,18,FALSE)</f>
        <v>#N/A</v>
      </c>
      <c r="S4" s="9"/>
    </row>
    <row r="5" spans="1:19" x14ac:dyDescent="0.25">
      <c r="A5" s="9" t="s">
        <v>66</v>
      </c>
      <c r="B5" s="9" t="str">
        <f>'Frost Calculation'!B29</f>
        <v>Spritecaster Cape</v>
      </c>
      <c r="C5" s="9">
        <f>_xlfn.IFNA(VLOOKUP($B5,Back!$B$2:$S$1000,2,FALSE),0)</f>
        <v>0</v>
      </c>
      <c r="D5" s="9" t="e">
        <f>VLOOKUP($B5,Back!$B$2:$S$1000,4,FALSE)</f>
        <v>#N/A</v>
      </c>
      <c r="E5" s="9" t="e">
        <f>VLOOKUP($B5,Back!$B$2:$S$1000,5,FALSE)</f>
        <v>#N/A</v>
      </c>
      <c r="F5" s="9" t="e">
        <f>VLOOKUP($B5,Back!$B$2:$S$1000,6,FALSE)</f>
        <v>#N/A</v>
      </c>
      <c r="G5" s="9" t="e">
        <f>VLOOKUP($B5,Back!$B$2:$S$1000,7,FALSE)</f>
        <v>#N/A</v>
      </c>
      <c r="H5" s="9" t="e">
        <f>VLOOKUP($B5,Back!$B$2:$S$1000,8,FALSE)</f>
        <v>#N/A</v>
      </c>
      <c r="I5" s="9" t="e">
        <f>VLOOKUP($B5,Back!$B$2:$S$1000,9,FALSE)</f>
        <v>#N/A</v>
      </c>
      <c r="J5" s="9" t="e">
        <f>VLOOKUP($B5,Back!$B$2:$S$1000,10,FALSE)</f>
        <v>#N/A</v>
      </c>
      <c r="K5" s="21" t="e">
        <f>VLOOKUP($B5,Back!$B$2:$S$1000,11,FALSE)</f>
        <v>#N/A</v>
      </c>
      <c r="L5" s="21" t="e">
        <f>VLOOKUP($B5,Back!$B$2:$S$1000,12,FALSE)</f>
        <v>#N/A</v>
      </c>
      <c r="M5" s="9" t="e">
        <f>VLOOKUP($B5,Back!$B$2:$S$1000,13,FALSE)</f>
        <v>#N/A</v>
      </c>
      <c r="N5" s="9" t="e">
        <f>VLOOKUP($B5,Back!$B$2:$S$1000,14,FALSE)</f>
        <v>#N/A</v>
      </c>
      <c r="O5" s="9" t="e">
        <f>VLOOKUP($B5,Back!$B$2:$S$1000,15,FALSE)</f>
        <v>#N/A</v>
      </c>
      <c r="P5" s="9" t="e">
        <f>VLOOKUP($B5,Back!$B$2:$S$1000,16,FALSE)</f>
        <v>#N/A</v>
      </c>
      <c r="Q5" s="9" t="e">
        <f>VLOOKUP($B5,Back!$B$2:$S$1000,17,FALSE)</f>
        <v>#N/A</v>
      </c>
      <c r="R5" s="9" t="e">
        <f>VLOOKUP($B5,Back!$B$2:$S$1000,18,FALSE)</f>
        <v>#N/A</v>
      </c>
      <c r="S5" s="9"/>
    </row>
    <row r="6" spans="1:19" x14ac:dyDescent="0.25">
      <c r="A6" s="9" t="s">
        <v>67</v>
      </c>
      <c r="B6" s="9" t="str">
        <f>'Frost Calculation'!B30</f>
        <v>Freezing Lich Robes</v>
      </c>
      <c r="C6" s="9">
        <f>_xlfn.IFNA(VLOOKUP($B6,Chest!$B$2:$S$1000,2,FALSE),0)</f>
        <v>0</v>
      </c>
      <c r="D6" s="9" t="e">
        <f>VLOOKUP($B6,Chest!$B$2:$S$1000,4,FALSE)</f>
        <v>#N/A</v>
      </c>
      <c r="E6" s="9" t="e">
        <f>VLOOKUP($B6,Chest!$B$2:$S$1000,5,FALSE)</f>
        <v>#N/A</v>
      </c>
      <c r="F6" s="9" t="e">
        <f>VLOOKUP($B6,Chest!$B$2:$S$1000,6,FALSE)</f>
        <v>#N/A</v>
      </c>
      <c r="G6" s="9" t="e">
        <f>VLOOKUP($B6,Chest!$B$2:$S$1000,7,FALSE)</f>
        <v>#N/A</v>
      </c>
      <c r="H6" s="9" t="e">
        <f>VLOOKUP($B6,Chest!$B$2:$S$1000,8,FALSE)</f>
        <v>#N/A</v>
      </c>
      <c r="I6" s="9" t="e">
        <f>VLOOKUP($B6,Chest!$B$2:$S$1000,9,FALSE)</f>
        <v>#N/A</v>
      </c>
      <c r="J6" s="9" t="e">
        <f>VLOOKUP($B6,Chest!$B$2:$S$1000,10,FALSE)</f>
        <v>#N/A</v>
      </c>
      <c r="K6" s="21" t="e">
        <f>VLOOKUP($B6,Chest!$B$2:$S$1000,11,FALSE)</f>
        <v>#N/A</v>
      </c>
      <c r="L6" s="21" t="e">
        <f>VLOOKUP($B6,Chest!$B$2:$S$1000,12,FALSE)</f>
        <v>#N/A</v>
      </c>
      <c r="M6" s="9" t="e">
        <f>VLOOKUP($B6,Chest!$B$2:$S$1000,13,FALSE)</f>
        <v>#N/A</v>
      </c>
      <c r="N6" s="9" t="e">
        <f>VLOOKUP($B6,Chest!$B$2:$S$1000,14,FALSE)</f>
        <v>#N/A</v>
      </c>
      <c r="O6" s="9" t="e">
        <f>VLOOKUP($B6,Chest!$B$2:$S$1000,15,FALSE)</f>
        <v>#N/A</v>
      </c>
      <c r="P6" s="9" t="e">
        <f>VLOOKUP($B6,Chest!$B$2:$S$1000,16,FALSE)</f>
        <v>#N/A</v>
      </c>
      <c r="Q6" s="9" t="e">
        <f>VLOOKUP($B6,Chest!$B$2:$S$1000,17,FALSE)</f>
        <v>#N/A</v>
      </c>
      <c r="R6" s="9" t="e">
        <f>VLOOKUP($B6,Chest!$B$2:$S$1000,18,FALSE)</f>
        <v>#N/A</v>
      </c>
      <c r="S6" s="9"/>
    </row>
    <row r="7" spans="1:19" x14ac:dyDescent="0.25">
      <c r="A7" s="9" t="s">
        <v>68</v>
      </c>
      <c r="B7" s="9" t="str">
        <f>'Frost Calculation'!B31</f>
        <v>Arcanist Bindings</v>
      </c>
      <c r="C7" s="9">
        <f>_xlfn.IFNA(VLOOKUP($B7,Wrist!$B$2:$S$1000,2,FALSE),0)</f>
        <v>0</v>
      </c>
      <c r="D7" s="9" t="e">
        <f>VLOOKUP($B7,Wrist!$B$2:$S$1000,4,FALSE)</f>
        <v>#N/A</v>
      </c>
      <c r="E7" s="9" t="e">
        <f>VLOOKUP($B7,Wrist!$B$2:$S$1000,5,FALSE)</f>
        <v>#N/A</v>
      </c>
      <c r="F7" s="9" t="e">
        <f>VLOOKUP($B7,Wrist!$B$2:$S$1000,6,FALSE)</f>
        <v>#N/A</v>
      </c>
      <c r="G7" s="9" t="e">
        <f>VLOOKUP($B7,Wrist!$B$2:$S$1000,7,FALSE)</f>
        <v>#N/A</v>
      </c>
      <c r="H7" s="9" t="e">
        <f>VLOOKUP($B7,Wrist!$B$2:$S$1000,8,FALSE)</f>
        <v>#N/A</v>
      </c>
      <c r="I7" s="9" t="e">
        <f>VLOOKUP($B7,Wrist!$B$2:$S$1000,9,FALSE)</f>
        <v>#N/A</v>
      </c>
      <c r="J7" s="9" t="e">
        <f>VLOOKUP($B7,Wrist!$B$2:$S$1000,10,FALSE)</f>
        <v>#N/A</v>
      </c>
      <c r="K7" s="21" t="e">
        <f>VLOOKUP($B7,Wrist!$B$2:$S$1000,11,FALSE)</f>
        <v>#N/A</v>
      </c>
      <c r="L7" s="21" t="e">
        <f>VLOOKUP($B7,Wrist!$B$2:$S$1000,12,FALSE)</f>
        <v>#N/A</v>
      </c>
      <c r="M7" s="9" t="e">
        <f>VLOOKUP($B7,Wrist!$B$2:$S$1000,13,FALSE)</f>
        <v>#N/A</v>
      </c>
      <c r="N7" s="9" t="e">
        <f>VLOOKUP($B7,Wrist!$B$2:$S$1000,14,FALSE)</f>
        <v>#N/A</v>
      </c>
      <c r="O7" s="9" t="e">
        <f>VLOOKUP($B7,Wrist!$B$2:$S$1000,15,FALSE)</f>
        <v>#N/A</v>
      </c>
      <c r="P7" s="9" t="e">
        <f>VLOOKUP($B7,Wrist!$B$2:$S$1000,16,FALSE)</f>
        <v>#N/A</v>
      </c>
      <c r="Q7" s="9" t="e">
        <f>VLOOKUP($B7,Wrist!$B$2:$S$1000,17,FALSE)</f>
        <v>#N/A</v>
      </c>
      <c r="R7" s="9" t="e">
        <f>VLOOKUP($B7,Wrist!$B$2:$S$1000,18,FALSE)</f>
        <v>#N/A</v>
      </c>
      <c r="S7" s="9"/>
    </row>
    <row r="8" spans="1:19" x14ac:dyDescent="0.25">
      <c r="A8" s="9" t="s">
        <v>69</v>
      </c>
      <c r="B8" s="9" t="str">
        <f>'Frost Calculation'!B32</f>
        <v>Frostweave Gloves</v>
      </c>
      <c r="C8" s="9">
        <f>_xlfn.IFNA(VLOOKUP($B8,Hands!$B$2:$S$1000,2,FALSE),0)</f>
        <v>0</v>
      </c>
      <c r="D8" s="9" t="e">
        <f>VLOOKUP($B8,Hands!$B$2:$S$1000,4,FALSE)</f>
        <v>#N/A</v>
      </c>
      <c r="E8" s="9" t="e">
        <f>VLOOKUP($B8,Hands!$B$2:$S$1000,5,FALSE)</f>
        <v>#N/A</v>
      </c>
      <c r="F8" s="9" t="e">
        <f>VLOOKUP($B8,Hands!$B$2:$S$1000,6,FALSE)</f>
        <v>#N/A</v>
      </c>
      <c r="G8" s="9" t="e">
        <f>VLOOKUP($B8,Hands!$B$2:$S$1000,7,FALSE)</f>
        <v>#N/A</v>
      </c>
      <c r="H8" s="9" t="e">
        <f>VLOOKUP($B8,Hands!$B$2:$S$1000,8,FALSE)</f>
        <v>#N/A</v>
      </c>
      <c r="I8" s="9" t="e">
        <f>VLOOKUP($B8,Hands!$B$2:$S$1000,9,FALSE)</f>
        <v>#N/A</v>
      </c>
      <c r="J8" s="9" t="e">
        <f>VLOOKUP($B8,Hands!$B$2:$S$1000,10,FALSE)</f>
        <v>#N/A</v>
      </c>
      <c r="K8" s="21" t="e">
        <f>VLOOKUP($B8,Hands!$B$2:$S$1000,11,FALSE)</f>
        <v>#N/A</v>
      </c>
      <c r="L8" s="21" t="e">
        <f>VLOOKUP($B8,Hands!$B$2:$S$1000,12,FALSE)</f>
        <v>#N/A</v>
      </c>
      <c r="M8" s="9" t="e">
        <f>VLOOKUP($B8,Hands!$B$2:$S$1000,13,FALSE)</f>
        <v>#N/A</v>
      </c>
      <c r="N8" s="9" t="e">
        <f>VLOOKUP($B8,Hands!$B$2:$S$1000,14,FALSE)</f>
        <v>#N/A</v>
      </c>
      <c r="O8" s="9" t="e">
        <f>VLOOKUP($B8,Hands!$B$2:$S$1000,15,FALSE)</f>
        <v>#N/A</v>
      </c>
      <c r="P8" s="9" t="e">
        <f>VLOOKUP($B8,Hands!$B$2:$S$1000,16,FALSE)</f>
        <v>#N/A</v>
      </c>
      <c r="Q8" s="9" t="e">
        <f>VLOOKUP($B8,Hands!$B$2:$S$1000,17,FALSE)</f>
        <v>#N/A</v>
      </c>
      <c r="R8" s="9" t="e">
        <f>VLOOKUP($B8,Hands!$B$2:$S$1000,18,FALSE)</f>
        <v>#N/A</v>
      </c>
      <c r="S8" s="9"/>
    </row>
    <row r="9" spans="1:19" x14ac:dyDescent="0.25">
      <c r="A9" s="9" t="s">
        <v>70</v>
      </c>
      <c r="B9" s="9" t="str">
        <f>'Frost Calculation'!B33</f>
        <v>Mana Igniting Cord</v>
      </c>
      <c r="C9" s="9">
        <f>_xlfn.IFNA(VLOOKUP($B9,Waist!$B$2:$S$1000,2,FALSE),0)</f>
        <v>0</v>
      </c>
      <c r="D9" s="9" t="e">
        <f>VLOOKUP($B9,Waist!$B$2:$S$1000,4,FALSE)</f>
        <v>#N/A</v>
      </c>
      <c r="E9" s="9" t="e">
        <f>VLOOKUP($B9,Waist!$B$2:$S$1000,5,FALSE)</f>
        <v>#N/A</v>
      </c>
      <c r="F9" s="9" t="e">
        <f>VLOOKUP($B9,Waist!$B$2:$S$1000,6,FALSE)</f>
        <v>#N/A</v>
      </c>
      <c r="G9" s="9" t="e">
        <f>VLOOKUP($B9,Waist!$B$2:$S$1000,7,FALSE)</f>
        <v>#N/A</v>
      </c>
      <c r="H9" s="9" t="e">
        <f>VLOOKUP($B9,Waist!$B$2:$S$1000,8,FALSE)</f>
        <v>#N/A</v>
      </c>
      <c r="I9" s="9" t="e">
        <f>VLOOKUP($B9,Waist!$B$2:$S$1000,9,FALSE)</f>
        <v>#N/A</v>
      </c>
      <c r="J9" s="9" t="e">
        <f>VLOOKUP($B9,Waist!$B$2:$S$1000,10,FALSE)</f>
        <v>#N/A</v>
      </c>
      <c r="K9" s="21" t="e">
        <f>VLOOKUP($B9,Waist!$B$2:$S$1000,11,FALSE)</f>
        <v>#N/A</v>
      </c>
      <c r="L9" s="21" t="e">
        <f>VLOOKUP($B9,Waist!$B$2:$S$1000,12,FALSE)</f>
        <v>#N/A</v>
      </c>
      <c r="M9" s="9" t="e">
        <f>VLOOKUP($B9,Waist!$B$2:$S$1000,13,FALSE)</f>
        <v>#N/A</v>
      </c>
      <c r="N9" s="9" t="e">
        <f>VLOOKUP($B9,Waist!$B$2:$S$1000,14,FALSE)</f>
        <v>#N/A</v>
      </c>
      <c r="O9" s="9" t="e">
        <f>VLOOKUP($B9,Waist!$B$2:$S$1000,15,FALSE)</f>
        <v>#N/A</v>
      </c>
      <c r="P9" s="9" t="e">
        <f>VLOOKUP($B9,Waist!$B$2:$S$1000,16,FALSE)</f>
        <v>#N/A</v>
      </c>
      <c r="Q9" s="9" t="e">
        <f>VLOOKUP($B9,Waist!$B$2:$S$1000,17,FALSE)</f>
        <v>#N/A</v>
      </c>
      <c r="R9" s="9" t="e">
        <f>VLOOKUP($B9,Waist!$B$2:$S$1000,18,FALSE)</f>
        <v>#N/A</v>
      </c>
      <c r="S9" s="9"/>
    </row>
    <row r="10" spans="1:19" x14ac:dyDescent="0.25">
      <c r="A10" s="9" t="s">
        <v>71</v>
      </c>
      <c r="B10" s="9" t="str">
        <f>'Frost Calculation'!B34</f>
        <v>Netherwind Pants</v>
      </c>
      <c r="C10" s="9">
        <f>_xlfn.IFNA(VLOOKUP($B10,Legs!$B$2:$S$1000,2,FALSE),0)</f>
        <v>0</v>
      </c>
      <c r="D10" s="9" t="e">
        <f>VLOOKUP($B10,Legs!$B$2:$S$1000,4,FALSE)</f>
        <v>#N/A</v>
      </c>
      <c r="E10" s="9" t="e">
        <f>VLOOKUP($B10,Legs!$B$2:$S$1000,5,FALSE)</f>
        <v>#N/A</v>
      </c>
      <c r="F10" s="9" t="e">
        <f>VLOOKUP($B10,Legs!$B$2:$S$1000,6,FALSE)</f>
        <v>#N/A</v>
      </c>
      <c r="G10" s="9" t="e">
        <f>VLOOKUP($B10,Legs!$B$2:$S$1000,7,FALSE)</f>
        <v>#N/A</v>
      </c>
      <c r="H10" s="9" t="e">
        <f>VLOOKUP($B10,Legs!$B$2:$S$1000,8,FALSE)</f>
        <v>#N/A</v>
      </c>
      <c r="I10" s="9" t="e">
        <f>VLOOKUP($B10,Legs!$B$2:$S$1000,9,FALSE)</f>
        <v>#N/A</v>
      </c>
      <c r="J10" s="9" t="e">
        <f>VLOOKUP($B10,Legs!$B$2:$S$1000,10,FALSE)</f>
        <v>#N/A</v>
      </c>
      <c r="K10" s="21" t="e">
        <f>VLOOKUP($B10,Legs!$B$2:$S$1000,11,FALSE)</f>
        <v>#N/A</v>
      </c>
      <c r="L10" s="21" t="e">
        <f>VLOOKUP($B10,Legs!$B$2:$S$1000,12,FALSE)</f>
        <v>#N/A</v>
      </c>
      <c r="M10" s="9" t="e">
        <f>VLOOKUP($B10,Legs!$B$2:$S$1000,13,FALSE)</f>
        <v>#N/A</v>
      </c>
      <c r="N10" s="9" t="e">
        <f>VLOOKUP($B10,Legs!$B$2:$S$1000,14,FALSE)</f>
        <v>#N/A</v>
      </c>
      <c r="O10" s="9" t="e">
        <f>VLOOKUP($B10,Legs!$B$2:$S$1000,15,FALSE)</f>
        <v>#N/A</v>
      </c>
      <c r="P10" s="9" t="e">
        <f>VLOOKUP($B10,Legs!$B$2:$S$1000,16,FALSE)</f>
        <v>#N/A</v>
      </c>
      <c r="Q10" s="9" t="e">
        <f>VLOOKUP($B10,Legs!$B$2:$S$1000,17,FALSE)</f>
        <v>#N/A</v>
      </c>
      <c r="R10" s="9" t="e">
        <f>VLOOKUP($B10,Legs!$B$2:$S$1000,18,FALSE)</f>
        <v>#N/A</v>
      </c>
      <c r="S10" s="9"/>
    </row>
    <row r="11" spans="1:19" x14ac:dyDescent="0.25">
      <c r="A11" s="9" t="s">
        <v>72</v>
      </c>
      <c r="B11" s="9" t="str">
        <f>'Frost Calculation'!B35</f>
        <v>Arcanist Boots</v>
      </c>
      <c r="C11" s="9">
        <f>_xlfn.IFNA(VLOOKUP($B11,Feet!$B$2:$S$1000,2,FALSE),0)</f>
        <v>0</v>
      </c>
      <c r="D11" s="9" t="e">
        <f>VLOOKUP($B11,Feet!$B$2:$S$1000,4,FALSE)</f>
        <v>#N/A</v>
      </c>
      <c r="E11" s="9" t="e">
        <f>VLOOKUP($B11,Feet!$B$2:$S$1000,5,FALSE)</f>
        <v>#N/A</v>
      </c>
      <c r="F11" s="9" t="e">
        <f>VLOOKUP($B11,Feet!$B$2:$S$1000,6,FALSE)</f>
        <v>#N/A</v>
      </c>
      <c r="G11" s="9" t="e">
        <f>VLOOKUP($B11,Feet!$B$2:$S$1000,7,FALSE)</f>
        <v>#N/A</v>
      </c>
      <c r="H11" s="9" t="e">
        <f>VLOOKUP($B11,Feet!$B$2:$S$1000,8,FALSE)</f>
        <v>#N/A</v>
      </c>
      <c r="I11" s="9" t="e">
        <f>VLOOKUP($B11,Feet!$B$2:$S$1000,9,FALSE)</f>
        <v>#N/A</v>
      </c>
      <c r="J11" s="9" t="e">
        <f>VLOOKUP($B11,Feet!$B$2:$S$1000,10,FALSE)</f>
        <v>#N/A</v>
      </c>
      <c r="K11" s="21" t="e">
        <f>VLOOKUP($B11,Feet!$B$2:$S$1000,11,FALSE)</f>
        <v>#N/A</v>
      </c>
      <c r="L11" s="21" t="e">
        <f>VLOOKUP($B11,Feet!$B$2:$S$1000,12,FALSE)</f>
        <v>#N/A</v>
      </c>
      <c r="M11" s="9" t="e">
        <f>VLOOKUP($B11,Feet!$B$2:$S$1000,13,FALSE)</f>
        <v>#N/A</v>
      </c>
      <c r="N11" s="9" t="e">
        <f>VLOOKUP($B11,Feet!$B$2:$S$1000,14,FALSE)</f>
        <v>#N/A</v>
      </c>
      <c r="O11" s="9" t="e">
        <f>VLOOKUP($B11,Feet!$B$2:$S$1000,15,FALSE)</f>
        <v>#N/A</v>
      </c>
      <c r="P11" s="9" t="e">
        <f>VLOOKUP($B11,Feet!$B$2:$S$1000,16,FALSE)</f>
        <v>#N/A</v>
      </c>
      <c r="Q11" s="9" t="e">
        <f>VLOOKUP($B11,Feet!$B$2:$S$1000,17,FALSE)</f>
        <v>#N/A</v>
      </c>
      <c r="R11" s="9" t="e">
        <f>VLOOKUP($B11,Feet!$B$2:$S$1000,18,FALSE)</f>
        <v>#N/A</v>
      </c>
      <c r="S11" s="9"/>
    </row>
    <row r="12" spans="1:19" x14ac:dyDescent="0.25">
      <c r="A12" s="9" t="s">
        <v>73</v>
      </c>
      <c r="B12" s="9" t="str">
        <f>'Frost Calculation'!B36</f>
        <v>Ring of Spell Power</v>
      </c>
      <c r="C12" s="9">
        <f>_xlfn.IFNA(VLOOKUP($B12,Ring!$B$2:$S$1000,2,FALSE),0)</f>
        <v>0</v>
      </c>
      <c r="D12" s="9" t="e">
        <f>VLOOKUP($B12,Ring!$B$2:$S$1000,4,FALSE)</f>
        <v>#N/A</v>
      </c>
      <c r="E12" s="9" t="e">
        <f>VLOOKUP($B12,Ring!$B$2:$S$1000,5,FALSE)</f>
        <v>#N/A</v>
      </c>
      <c r="F12" s="9" t="e">
        <f>VLOOKUP($B12,Ring!$B$2:$S$1000,6,FALSE)</f>
        <v>#N/A</v>
      </c>
      <c r="G12" s="9" t="e">
        <f>VLOOKUP($B12,Ring!$B$2:$S$1000,7,FALSE)</f>
        <v>#N/A</v>
      </c>
      <c r="H12" s="9" t="e">
        <f>VLOOKUP($B12,Ring!$B$2:$S$1000,8,FALSE)</f>
        <v>#N/A</v>
      </c>
      <c r="I12" s="9" t="e">
        <f>VLOOKUP($B12,Ring!$B$2:$S$1000,9,FALSE)</f>
        <v>#N/A</v>
      </c>
      <c r="J12" s="9" t="e">
        <f>VLOOKUP($B12,Ring!$B$2:$S$1000,10,FALSE)</f>
        <v>#N/A</v>
      </c>
      <c r="K12" s="21" t="e">
        <f>VLOOKUP($B12,Ring!$B$2:$S$1000,11,FALSE)</f>
        <v>#N/A</v>
      </c>
      <c r="L12" s="21" t="e">
        <f>VLOOKUP($B12,Ring!$B$2:$S$1000,12,FALSE)</f>
        <v>#N/A</v>
      </c>
      <c r="M12" s="9" t="e">
        <f>VLOOKUP($B12,Ring!$B$2:$S$1000,13,FALSE)</f>
        <v>#N/A</v>
      </c>
      <c r="N12" s="9" t="e">
        <f>VLOOKUP($B12,Ring!$B$2:$S$1000,14,FALSE)</f>
        <v>#N/A</v>
      </c>
      <c r="O12" s="9" t="e">
        <f>VLOOKUP($B12,Ring!$B$2:$S$1000,15,FALSE)</f>
        <v>#N/A</v>
      </c>
      <c r="P12" s="9" t="e">
        <f>VLOOKUP($B12,Ring!$B$2:$S$1000,16,FALSE)</f>
        <v>#N/A</v>
      </c>
      <c r="Q12" s="9" t="e">
        <f>VLOOKUP($B12,Ring!$B$2:$S$1000,17,FALSE)</f>
        <v>#N/A</v>
      </c>
      <c r="R12" s="9" t="e">
        <f>VLOOKUP($B12,Ring!$B$2:$S$1000,18,FALSE)</f>
        <v>#N/A</v>
      </c>
      <c r="S12" s="9"/>
    </row>
    <row r="13" spans="1:19" x14ac:dyDescent="0.25">
      <c r="A13" s="9" t="s">
        <v>73</v>
      </c>
      <c r="B13" s="9" t="str">
        <f>'Frost Calculation'!B37</f>
        <v>Ring of Spell Power</v>
      </c>
      <c r="C13" s="9">
        <f>_xlfn.IFNA(VLOOKUP($B13,Ring!$B$2:$S$1000,2,FALSE),0)</f>
        <v>0</v>
      </c>
      <c r="D13" s="9" t="e">
        <f>VLOOKUP($B13,Ring!$B$2:$S$1000,4,FALSE)</f>
        <v>#N/A</v>
      </c>
      <c r="E13" s="9" t="e">
        <f>VLOOKUP($B13,Ring!$B$2:$S$1000,5,FALSE)</f>
        <v>#N/A</v>
      </c>
      <c r="F13" s="9" t="e">
        <f>VLOOKUP($B13,Ring!$B$2:$S$1000,6,FALSE)</f>
        <v>#N/A</v>
      </c>
      <c r="G13" s="9" t="e">
        <f>VLOOKUP($B13,Ring!$B$2:$S$1000,7,FALSE)</f>
        <v>#N/A</v>
      </c>
      <c r="H13" s="9" t="e">
        <f>VLOOKUP($B13,Ring!$B$2:$S$1000,8,FALSE)</f>
        <v>#N/A</v>
      </c>
      <c r="I13" s="9" t="e">
        <f>VLOOKUP($B13,Ring!$B$2:$S$1000,9,FALSE)</f>
        <v>#N/A</v>
      </c>
      <c r="J13" s="9" t="e">
        <f>VLOOKUP($B13,Ring!$B$2:$S$1000,10,FALSE)</f>
        <v>#N/A</v>
      </c>
      <c r="K13" s="21" t="e">
        <f>VLOOKUP($B13,Ring!$B$2:$S$1000,11,FALSE)</f>
        <v>#N/A</v>
      </c>
      <c r="L13" s="21" t="e">
        <f>VLOOKUP($B13,Ring!$B$2:$S$1000,12,FALSE)</f>
        <v>#N/A</v>
      </c>
      <c r="M13" s="9" t="e">
        <f>VLOOKUP($B13,Ring!$B$2:$S$1000,13,FALSE)</f>
        <v>#N/A</v>
      </c>
      <c r="N13" s="9" t="e">
        <f>VLOOKUP($B13,Ring!$B$2:$S$1000,14,FALSE)</f>
        <v>#N/A</v>
      </c>
      <c r="O13" s="9" t="e">
        <f>VLOOKUP($B13,Ring!$B$2:$S$1000,15,FALSE)</f>
        <v>#N/A</v>
      </c>
      <c r="P13" s="9" t="e">
        <f>VLOOKUP($B13,Ring!$B$2:$S$1000,16,FALSE)</f>
        <v>#N/A</v>
      </c>
      <c r="Q13" s="9" t="e">
        <f>VLOOKUP($B13,Ring!$B$2:$S$1000,17,FALSE)</f>
        <v>#N/A</v>
      </c>
      <c r="R13" s="9" t="e">
        <f>VLOOKUP($B13,Ring!$B$2:$S$1000,18,FALSE)</f>
        <v>#N/A</v>
      </c>
      <c r="S13" s="9"/>
    </row>
    <row r="14" spans="1:19" x14ac:dyDescent="0.25">
      <c r="A14" s="9" t="s">
        <v>74</v>
      </c>
      <c r="B14" s="9" t="str">
        <f>'Frost Calculation'!B38</f>
        <v>Eye of the Beast</v>
      </c>
      <c r="C14" s="9">
        <f>_xlfn.IFNA(VLOOKUP($B14,Trinket!$B$2:$S$1000,2,FALSE),0)</f>
        <v>0</v>
      </c>
      <c r="D14" s="9" t="e">
        <f>VLOOKUP($B14,Trinket!$B$2:$S$1000,4,FALSE)</f>
        <v>#N/A</v>
      </c>
      <c r="E14" s="9" t="e">
        <f>VLOOKUP($B14,Trinket!$B$2:$S$1000,5,FALSE)</f>
        <v>#N/A</v>
      </c>
      <c r="F14" s="9" t="e">
        <f>VLOOKUP($B14,Trinket!$B$2:$S$1000,6,FALSE)</f>
        <v>#N/A</v>
      </c>
      <c r="G14" s="9" t="e">
        <f>VLOOKUP($B14,Trinket!$B$2:$S$1000,7,FALSE)</f>
        <v>#N/A</v>
      </c>
      <c r="H14" s="9" t="e">
        <f>VLOOKUP($B14,Trinket!$B$2:$S$1000,8,FALSE)</f>
        <v>#N/A</v>
      </c>
      <c r="I14" s="9" t="e">
        <f>VLOOKUP($B14,Trinket!$B$2:$S$1000,9,FALSE)</f>
        <v>#N/A</v>
      </c>
      <c r="J14" s="9" t="e">
        <f>VLOOKUP($B14,Trinket!$B$2:$S$1000,10,FALSE)</f>
        <v>#N/A</v>
      </c>
      <c r="K14" s="21" t="e">
        <f>VLOOKUP($B14,Trinket!$B$2:$S$1000,11,FALSE)</f>
        <v>#N/A</v>
      </c>
      <c r="L14" s="21" t="e">
        <f>VLOOKUP($B14,Trinket!$B$2:$S$1000,12,FALSE)</f>
        <v>#N/A</v>
      </c>
      <c r="M14" s="9" t="e">
        <f>VLOOKUP($B14,Trinket!$B$2:$S$1000,13,FALSE)</f>
        <v>#N/A</v>
      </c>
      <c r="N14" s="9" t="e">
        <f>VLOOKUP($B14,Trinket!$B$2:$S$1000,14,FALSE)</f>
        <v>#N/A</v>
      </c>
      <c r="O14" s="9" t="e">
        <f>VLOOKUP($B14,Trinket!$B$2:$S$1000,15,FALSE)</f>
        <v>#N/A</v>
      </c>
      <c r="P14" s="9" t="e">
        <f>VLOOKUP($B14,Trinket!$B$2:$S$1000,16,FALSE)</f>
        <v>#N/A</v>
      </c>
      <c r="Q14" s="9" t="e">
        <f>VLOOKUP($B14,Trinket!$B$2:$S$1000,17,FALSE)</f>
        <v>#N/A</v>
      </c>
      <c r="R14" s="9" t="e">
        <f>VLOOKUP($B14,Trinket!$B$2:$S$1000,18,FALSE)</f>
        <v>#N/A</v>
      </c>
      <c r="S14" s="9"/>
    </row>
    <row r="15" spans="1:19" x14ac:dyDescent="0.25">
      <c r="A15" s="9" t="s">
        <v>74</v>
      </c>
      <c r="B15" s="9" t="str">
        <f>'Frost Calculation'!B39</f>
        <v>Briarwood Reed</v>
      </c>
      <c r="C15" s="9">
        <f>_xlfn.IFNA(VLOOKUP($B15,Trinket!$B$2:$S$1000,2,FALSE),0)</f>
        <v>0</v>
      </c>
      <c r="D15" s="9" t="e">
        <f>VLOOKUP($B15,Trinket!$B$2:$S$1000,4,FALSE)</f>
        <v>#N/A</v>
      </c>
      <c r="E15" s="9" t="e">
        <f>VLOOKUP($B15,Trinket!$B$2:$S$1000,5,FALSE)</f>
        <v>#N/A</v>
      </c>
      <c r="F15" s="9" t="e">
        <f>VLOOKUP($B15,Trinket!$B$2:$S$1000,6,FALSE)</f>
        <v>#N/A</v>
      </c>
      <c r="G15" s="9" t="e">
        <f>VLOOKUP($B15,Trinket!$B$2:$S$1000,7,FALSE)</f>
        <v>#N/A</v>
      </c>
      <c r="H15" s="9" t="e">
        <f>VLOOKUP($B15,Trinket!$B$2:$S$1000,8,FALSE)</f>
        <v>#N/A</v>
      </c>
      <c r="I15" s="9" t="e">
        <f>VLOOKUP($B15,Trinket!$B$2:$S$1000,9,FALSE)</f>
        <v>#N/A</v>
      </c>
      <c r="J15" s="9" t="e">
        <f>VLOOKUP($B15,Trinket!$B$2:$S$1000,10,FALSE)</f>
        <v>#N/A</v>
      </c>
      <c r="K15" s="21" t="e">
        <f>VLOOKUP($B15,Trinket!$B$2:$S$1000,11,FALSE)</f>
        <v>#N/A</v>
      </c>
      <c r="L15" s="21" t="e">
        <f>VLOOKUP($B15,Trinket!$B$2:$S$1000,12,FALSE)</f>
        <v>#N/A</v>
      </c>
      <c r="M15" s="9" t="e">
        <f>VLOOKUP($B15,Trinket!$B$2:$S$1000,13,FALSE)</f>
        <v>#N/A</v>
      </c>
      <c r="N15" s="9" t="e">
        <f>VLOOKUP($B15,Trinket!$B$2:$S$1000,14,FALSE)</f>
        <v>#N/A</v>
      </c>
      <c r="O15" s="9" t="e">
        <f>VLOOKUP($B15,Trinket!$B$2:$S$1000,15,FALSE)</f>
        <v>#N/A</v>
      </c>
      <c r="P15" s="9" t="e">
        <f>VLOOKUP($B15,Trinket!$B$2:$S$1000,16,FALSE)</f>
        <v>#N/A</v>
      </c>
      <c r="Q15" s="9" t="e">
        <f>VLOOKUP($B15,Trinket!$B$2:$S$1000,17,FALSE)</f>
        <v>#N/A</v>
      </c>
      <c r="R15" s="9" t="e">
        <f>VLOOKUP($B15,Trinket!$B$2:$S$1000,18,FALSE)</f>
        <v>#N/A</v>
      </c>
      <c r="S15" s="9"/>
    </row>
    <row r="16" spans="1:19" x14ac:dyDescent="0.25">
      <c r="A16" s="9" t="s">
        <v>75</v>
      </c>
      <c r="B16" s="9" t="str">
        <f>'Frost Calculation'!B40</f>
        <v>Azuresong Mageblade</v>
      </c>
      <c r="C16" s="9">
        <f>_xlfn.IFNA(VLOOKUP($B16,Weapon!$B$2:$S$1000,2,FALSE),0)</f>
        <v>0</v>
      </c>
      <c r="D16" s="9" t="e">
        <f>VLOOKUP($B16,Weapon!$B$2:$S$1000,4,FALSE)</f>
        <v>#N/A</v>
      </c>
      <c r="E16" s="9" t="e">
        <f>VLOOKUP($B16,Weapon!$B$2:$S$1000,5,FALSE)</f>
        <v>#N/A</v>
      </c>
      <c r="F16" s="9" t="e">
        <f>VLOOKUP($B16,Weapon!$B$2:$S$1000,6,FALSE)</f>
        <v>#N/A</v>
      </c>
      <c r="G16" s="9" t="e">
        <f>VLOOKUP($B16,Weapon!$B$2:$S$1000,7,FALSE)</f>
        <v>#N/A</v>
      </c>
      <c r="H16" s="9" t="e">
        <f>VLOOKUP($B16,Weapon!$B$2:$S$1000,8,FALSE)</f>
        <v>#N/A</v>
      </c>
      <c r="I16" s="9" t="e">
        <f>VLOOKUP($B16,Weapon!$B$2:$S$1000,9,FALSE)</f>
        <v>#N/A</v>
      </c>
      <c r="J16" s="9" t="e">
        <f>VLOOKUP($B16,Weapon!$B$2:$S$1000,10,FALSE)</f>
        <v>#N/A</v>
      </c>
      <c r="K16" s="21" t="e">
        <f>VLOOKUP($B16,Weapon!$B$2:$S$1000,11,FALSE)</f>
        <v>#N/A</v>
      </c>
      <c r="L16" s="21" t="e">
        <f>VLOOKUP($B16,Weapon!$B$2:$S$1000,12,FALSE)</f>
        <v>#N/A</v>
      </c>
      <c r="M16" s="9" t="e">
        <f>VLOOKUP($B16,Weapon!$B$2:$S$1000,13,FALSE)</f>
        <v>#N/A</v>
      </c>
      <c r="N16" s="9" t="e">
        <f>VLOOKUP($B16,Weapon!$B$2:$S$1000,14,FALSE)</f>
        <v>#N/A</v>
      </c>
      <c r="O16" s="9" t="e">
        <f>VLOOKUP($B16,Weapon!$B$2:$S$1000,15,FALSE)</f>
        <v>#N/A</v>
      </c>
      <c r="P16" s="9" t="e">
        <f>VLOOKUP($B16,Weapon!$B$2:$S$1000,16,FALSE)</f>
        <v>#N/A</v>
      </c>
      <c r="Q16" s="9" t="e">
        <f>VLOOKUP($B16,Weapon!$B$2:$S$1000,17,FALSE)</f>
        <v>#N/A</v>
      </c>
      <c r="R16" s="9" t="e">
        <f>VLOOKUP($B16,Weapon!$B$2:$S$1000,18,FALSE)</f>
        <v>#N/A</v>
      </c>
      <c r="S16" s="9"/>
    </row>
    <row r="17" spans="1:19" x14ac:dyDescent="0.25">
      <c r="A17" s="9" t="s">
        <v>76</v>
      </c>
      <c r="B17" s="9" t="str">
        <f>'Frost Calculation'!B41</f>
        <v>Tome of the Ice Lord</v>
      </c>
      <c r="C17" s="9">
        <f>_xlfn.IFNA(VLOOKUP($B17,Offhand!$B$2:$S$1000,2,FALSE),0)</f>
        <v>0</v>
      </c>
      <c r="D17" s="9" t="e">
        <f>VLOOKUP($B17,Offhand!$B$2:$S$1000,4,FALSE)</f>
        <v>#N/A</v>
      </c>
      <c r="E17" s="9" t="e">
        <f>VLOOKUP($B17,Offhand!$B$2:$S$1000,5,FALSE)</f>
        <v>#N/A</v>
      </c>
      <c r="F17" s="9" t="e">
        <f>VLOOKUP($B17,Offhand!$B$2:$S$1000,6,FALSE)</f>
        <v>#N/A</v>
      </c>
      <c r="G17" s="9" t="e">
        <f>VLOOKUP($B17,Offhand!$B$2:$S$1000,7,FALSE)</f>
        <v>#N/A</v>
      </c>
      <c r="H17" s="9" t="e">
        <f>VLOOKUP($B17,Offhand!$B$2:$S$1000,8,FALSE)</f>
        <v>#N/A</v>
      </c>
      <c r="I17" s="9" t="e">
        <f>VLOOKUP($B17,Offhand!$B$2:$S$1000,9,FALSE)</f>
        <v>#N/A</v>
      </c>
      <c r="J17" s="9" t="e">
        <f>VLOOKUP($B17,Offhand!$B$2:$S$1000,10,FALSE)</f>
        <v>#N/A</v>
      </c>
      <c r="K17" s="21" t="e">
        <f>VLOOKUP($B17,Offhand!$B$2:$S$1000,11,FALSE)</f>
        <v>#N/A</v>
      </c>
      <c r="L17" s="21" t="e">
        <f>VLOOKUP($B17,Offhand!$B$2:$S$1000,12,FALSE)</f>
        <v>#N/A</v>
      </c>
      <c r="M17" s="9" t="e">
        <f>VLOOKUP($B17,Offhand!$B$2:$S$1000,13,FALSE)</f>
        <v>#N/A</v>
      </c>
      <c r="N17" s="9" t="e">
        <f>VLOOKUP($B17,Offhand!$B$2:$S$1000,14,FALSE)</f>
        <v>#N/A</v>
      </c>
      <c r="O17" s="9" t="e">
        <f>VLOOKUP($B17,Offhand!$B$2:$S$1000,15,FALSE)</f>
        <v>#N/A</v>
      </c>
      <c r="P17" s="9" t="e">
        <f>VLOOKUP($B17,Offhand!$B$2:$S$1000,16,FALSE)</f>
        <v>#N/A</v>
      </c>
      <c r="Q17" s="9" t="e">
        <f>VLOOKUP($B17,Offhand!$B$2:$S$1000,17,FALSE)</f>
        <v>#N/A</v>
      </c>
      <c r="R17" s="9" t="e">
        <f>VLOOKUP($B17,Offhand!$B$2:$S$1000,18,FALSE)</f>
        <v>#N/A</v>
      </c>
      <c r="S17" s="9"/>
    </row>
    <row r="18" spans="1:19" x14ac:dyDescent="0.25">
      <c r="A18" s="9" t="s">
        <v>77</v>
      </c>
      <c r="B18" s="9" t="str">
        <f>'Frost Calculation'!B42</f>
        <v>Wand of Biting Cold</v>
      </c>
      <c r="C18" s="9">
        <f>_xlfn.IFNA(VLOOKUP($B18,Wand!$B$2:$S$1000,2,FALSE),0)</f>
        <v>0</v>
      </c>
      <c r="D18" s="9" t="e">
        <f>VLOOKUP($B18,Wand!$B$2:$S$1000,4,FALSE)</f>
        <v>#N/A</v>
      </c>
      <c r="E18" s="9" t="e">
        <f>VLOOKUP($B18,Wand!$B$2:$S$1000,5,FALSE)</f>
        <v>#N/A</v>
      </c>
      <c r="F18" s="9" t="e">
        <f>VLOOKUP($B18,Wand!$B$2:$S$1000,6,FALSE)</f>
        <v>#N/A</v>
      </c>
      <c r="G18" s="9" t="e">
        <f>VLOOKUP($B18,Wand!$B$2:$S$1000,7,FALSE)</f>
        <v>#N/A</v>
      </c>
      <c r="H18" s="9" t="e">
        <f>VLOOKUP($B18,Wand!$B$2:$S$1000,8,FALSE)</f>
        <v>#N/A</v>
      </c>
      <c r="I18" s="9" t="e">
        <f>VLOOKUP($B18,Wand!$B$2:$S$1000,9,FALSE)</f>
        <v>#N/A</v>
      </c>
      <c r="J18" s="9" t="e">
        <f>VLOOKUP($B18,Wand!$B$2:$S$1000,10,FALSE)</f>
        <v>#N/A</v>
      </c>
      <c r="K18" s="21" t="e">
        <f>VLOOKUP($B18,Wand!$B$2:$S$1000,11,FALSE)</f>
        <v>#N/A</v>
      </c>
      <c r="L18" s="21" t="e">
        <f>VLOOKUP($B18,Wand!$B$2:$S$1000,12,FALSE)</f>
        <v>#N/A</v>
      </c>
      <c r="M18" s="9" t="e">
        <f>VLOOKUP($B18,Wand!$B$2:$S$1000,13,FALSE)</f>
        <v>#N/A</v>
      </c>
      <c r="N18" s="9" t="e">
        <f>VLOOKUP($B18,Wand!$B$2:$S$1000,14,FALSE)</f>
        <v>#N/A</v>
      </c>
      <c r="O18" s="9" t="e">
        <f>VLOOKUP($B18,Wand!$B$2:$S$1000,15,FALSE)</f>
        <v>#N/A</v>
      </c>
      <c r="P18" s="9" t="e">
        <f>VLOOKUP($B18,Wand!$B$2:$S$1000,16,FALSE)</f>
        <v>#N/A</v>
      </c>
      <c r="Q18" s="9" t="e">
        <f>VLOOKUP($B18,Wand!$B$2:$S$1000,17,FALSE)</f>
        <v>#N/A</v>
      </c>
      <c r="R18" s="9" t="e">
        <f>VLOOKUP($B18,Wand!$B$2:$S$1000,18,FALSE)</f>
        <v>#N/A</v>
      </c>
      <c r="S18" s="9"/>
    </row>
    <row r="19" spans="1:19" x14ac:dyDescent="0.25">
      <c r="A19" s="9" t="s">
        <v>153</v>
      </c>
      <c r="B19" s="24" t="str">
        <f>'Frost Calculation'!C26</f>
        <v>Arcanum of Focus</v>
      </c>
      <c r="C19" s="9">
        <f>_xlfn.IFNA(VLOOKUP($B19,Enchants!$B$2:$S$170,2,FALSE),0)</f>
        <v>0</v>
      </c>
      <c r="D19" s="9">
        <f>VLOOKUP($B19,Enchants!$B$2:$S$170,3,FALSE)</f>
        <v>0</v>
      </c>
      <c r="E19" s="9">
        <f>VLOOKUP($B19,Enchants!$B$2:$S$170,4,FALSE)</f>
        <v>0</v>
      </c>
      <c r="F19" s="9">
        <f>VLOOKUP($B19,Enchants!$B$2:$S$170,5,FALSE)</f>
        <v>0</v>
      </c>
      <c r="G19" s="9">
        <f>VLOOKUP($B19,Enchants!$B$2:$S$170,6,FALSE)</f>
        <v>0</v>
      </c>
      <c r="H19" s="9">
        <f>VLOOKUP($B19,Enchants!$B$2:$S$170,7,FALSE)</f>
        <v>0</v>
      </c>
      <c r="I19" s="9">
        <f>VLOOKUP($B19,Enchants!$B$2:$S$170,8,FALSE)</f>
        <v>0</v>
      </c>
      <c r="J19" s="9">
        <f>VLOOKUP($B19,Enchants!$B$2:$S$170,9,FALSE)</f>
        <v>8</v>
      </c>
      <c r="K19" s="9">
        <f>VLOOKUP($B19,Enchants!$B$2:$S$170,10,FALSE)</f>
        <v>0</v>
      </c>
      <c r="L19" s="9">
        <f>VLOOKUP($B19,Enchants!$B$2:$S$170,11,FALSE)</f>
        <v>0</v>
      </c>
      <c r="M19" s="9">
        <f>VLOOKUP($B19,Enchants!$B$2:$S$170,12,FALSE)</f>
        <v>0</v>
      </c>
      <c r="N19" s="9">
        <f>VLOOKUP($B19,Enchants!$B$2:$S$170,13,FALSE)</f>
        <v>0</v>
      </c>
      <c r="O19" s="9">
        <f>VLOOKUP($B19,Enchants!$B$2:$S$170,14,FALSE)</f>
        <v>0</v>
      </c>
      <c r="P19" s="9">
        <f>VLOOKUP($B19,Enchants!$B$2:$S$170,15,FALSE)</f>
        <v>0</v>
      </c>
      <c r="Q19" s="9">
        <f>VLOOKUP($B19,Enchants!$B$2:$S$170,16,FALSE)</f>
        <v>0</v>
      </c>
      <c r="R19" s="9">
        <f>VLOOKUP($B19,Enchants!$B$2:$S$170,17,FALSE)</f>
        <v>0</v>
      </c>
      <c r="S19" s="9">
        <f>VLOOKUP($B19,Enchants!$B$2:$S$170,18,FALSE)</f>
        <v>0</v>
      </c>
    </row>
    <row r="20" spans="1:19" x14ac:dyDescent="0.25">
      <c r="A20" s="9" t="s">
        <v>154</v>
      </c>
      <c r="B20" s="24" t="str">
        <f>'Frost Calculation'!C28</f>
        <v>Chromatic Mantle of the Dawn</v>
      </c>
      <c r="C20" s="9">
        <f>_xlfn.IFNA(VLOOKUP($B20,Enchants!$B$2:$S$170,2,FALSE),0)</f>
        <v>0</v>
      </c>
      <c r="D20" s="9">
        <f>VLOOKUP($B20,Enchants!$B$2:$S$170,3,FALSE)</f>
        <v>0</v>
      </c>
      <c r="E20" s="9">
        <f>VLOOKUP($B20,Enchants!$B$2:$S$170,4,FALSE)</f>
        <v>0</v>
      </c>
      <c r="F20" s="9">
        <f>VLOOKUP($B20,Enchants!$B$2:$S$170,5,FALSE)</f>
        <v>0</v>
      </c>
      <c r="G20" s="9">
        <f>VLOOKUP($B20,Enchants!$B$2:$S$170,6,FALSE)</f>
        <v>0</v>
      </c>
      <c r="H20" s="9">
        <f>VLOOKUP($B20,Enchants!$B$2:$S$170,7,FALSE)</f>
        <v>0</v>
      </c>
      <c r="I20" s="9">
        <f>VLOOKUP($B20,Enchants!$B$2:$S$170,8,FALSE)</f>
        <v>0</v>
      </c>
      <c r="J20" s="9">
        <f>VLOOKUP($B20,Enchants!$B$2:$S$170,9,FALSE)</f>
        <v>0</v>
      </c>
      <c r="K20" s="9">
        <f>VLOOKUP($B20,Enchants!$B$2:$S$170,10,FALSE)</f>
        <v>0</v>
      </c>
      <c r="L20" s="9">
        <f>VLOOKUP($B20,Enchants!$B$2:$S$170,11,FALSE)</f>
        <v>0</v>
      </c>
      <c r="M20" s="9">
        <f>VLOOKUP($B20,Enchants!$B$2:$S$170,12,FALSE)</f>
        <v>0</v>
      </c>
      <c r="N20" s="9">
        <f>VLOOKUP($B20,Enchants!$B$2:$S$170,13,FALSE)</f>
        <v>5</v>
      </c>
      <c r="O20" s="9">
        <f>VLOOKUP($B20,Enchants!$B$2:$S$170,14,FALSE)</f>
        <v>5</v>
      </c>
      <c r="P20" s="9">
        <f>VLOOKUP($B20,Enchants!$B$2:$S$170,15,FALSE)</f>
        <v>5</v>
      </c>
      <c r="Q20" s="9">
        <f>VLOOKUP($B20,Enchants!$B$2:$S$170,16,FALSE)</f>
        <v>5</v>
      </c>
      <c r="R20" s="9">
        <f>VLOOKUP($B20,Enchants!$B$2:$S$170,17,FALSE)</f>
        <v>5</v>
      </c>
      <c r="S20" s="9">
        <f>VLOOKUP($B20,Enchants!$B$2:$S$170,18,FALSE)</f>
        <v>0</v>
      </c>
    </row>
    <row r="21" spans="1:19" x14ac:dyDescent="0.25">
      <c r="A21" s="9" t="s">
        <v>155</v>
      </c>
      <c r="B21" s="24">
        <f>'Frost Calculation'!C29</f>
        <v>0</v>
      </c>
      <c r="C21" s="9">
        <f>_xlfn.IFNA(VLOOKUP($B21,Enchants!$B$2:$S$170,2,FALSE),0)</f>
        <v>0</v>
      </c>
      <c r="D21" s="9" t="e">
        <f>VLOOKUP($B21,Enchants!$B$2:$S$170,3,FALSE)</f>
        <v>#N/A</v>
      </c>
      <c r="E21" s="9" t="e">
        <f>VLOOKUP($B21,Enchants!$B$2:$S$170,4,FALSE)</f>
        <v>#N/A</v>
      </c>
      <c r="F21" s="9" t="e">
        <f>VLOOKUP($B21,Enchants!$B$2:$S$170,5,FALSE)</f>
        <v>#N/A</v>
      </c>
      <c r="G21" s="9" t="e">
        <f>VLOOKUP($B21,Enchants!$B$2:$S$170,6,FALSE)</f>
        <v>#N/A</v>
      </c>
      <c r="H21" s="9" t="e">
        <f>VLOOKUP($B21,Enchants!$B$2:$S$170,7,FALSE)</f>
        <v>#N/A</v>
      </c>
      <c r="I21" s="9" t="e">
        <f>VLOOKUP($B21,Enchants!$B$2:$S$170,8,FALSE)</f>
        <v>#N/A</v>
      </c>
      <c r="J21" s="9" t="e">
        <f>VLOOKUP($B21,Enchants!$B$2:$S$170,9,FALSE)</f>
        <v>#N/A</v>
      </c>
      <c r="K21" s="9" t="e">
        <f>VLOOKUP($B21,Enchants!$B$2:$S$170,10,FALSE)</f>
        <v>#N/A</v>
      </c>
      <c r="L21" s="9" t="e">
        <f>VLOOKUP($B21,Enchants!$B$2:$S$170,11,FALSE)</f>
        <v>#N/A</v>
      </c>
      <c r="M21" s="9" t="e">
        <f>VLOOKUP($B21,Enchants!$B$2:$S$170,12,FALSE)</f>
        <v>#N/A</v>
      </c>
      <c r="N21" s="9" t="e">
        <f>VLOOKUP($B21,Enchants!$B$2:$S$170,13,FALSE)</f>
        <v>#N/A</v>
      </c>
      <c r="O21" s="9" t="e">
        <f>VLOOKUP($B21,Enchants!$B$2:$S$170,14,FALSE)</f>
        <v>#N/A</v>
      </c>
      <c r="P21" s="9" t="e">
        <f>VLOOKUP($B21,Enchants!$B$2:$S$170,15,FALSE)</f>
        <v>#N/A</v>
      </c>
      <c r="Q21" s="9" t="e">
        <f>VLOOKUP($B21,Enchants!$B$2:$S$170,16,FALSE)</f>
        <v>#N/A</v>
      </c>
      <c r="R21" s="9" t="e">
        <f>VLOOKUP($B21,Enchants!$B$2:$S$170,17,FALSE)</f>
        <v>#N/A</v>
      </c>
      <c r="S21" s="9" t="e">
        <f>VLOOKUP($B21,Enchants!$B$2:$S$170,18,FALSE)</f>
        <v>#N/A</v>
      </c>
    </row>
    <row r="22" spans="1:19" x14ac:dyDescent="0.25">
      <c r="A22" s="9" t="s">
        <v>156</v>
      </c>
      <c r="B22" s="24">
        <f>'Frost Calculation'!C30</f>
        <v>0</v>
      </c>
      <c r="C22" s="9">
        <f>_xlfn.IFNA(VLOOKUP($B22,Enchants!$B$2:$S$170,2,FALSE),0)</f>
        <v>0</v>
      </c>
      <c r="D22" s="9" t="e">
        <f>VLOOKUP($B22,Enchants!$B$2:$S$170,3,FALSE)</f>
        <v>#N/A</v>
      </c>
      <c r="E22" s="9" t="e">
        <f>VLOOKUP($B22,Enchants!$B$2:$S$170,4,FALSE)</f>
        <v>#N/A</v>
      </c>
      <c r="F22" s="9" t="e">
        <f>VLOOKUP($B22,Enchants!$B$2:$S$170,5,FALSE)</f>
        <v>#N/A</v>
      </c>
      <c r="G22" s="9" t="e">
        <f>VLOOKUP($B22,Enchants!$B$2:$S$170,6,FALSE)</f>
        <v>#N/A</v>
      </c>
      <c r="H22" s="9" t="e">
        <f>VLOOKUP($B22,Enchants!$B$2:$S$170,7,FALSE)</f>
        <v>#N/A</v>
      </c>
      <c r="I22" s="9" t="e">
        <f>VLOOKUP($B22,Enchants!$B$2:$S$170,8,FALSE)</f>
        <v>#N/A</v>
      </c>
      <c r="J22" s="9" t="e">
        <f>VLOOKUP($B22,Enchants!$B$2:$S$170,9,FALSE)</f>
        <v>#N/A</v>
      </c>
      <c r="K22" s="9" t="e">
        <f>VLOOKUP($B22,Enchants!$B$2:$S$170,10,FALSE)</f>
        <v>#N/A</v>
      </c>
      <c r="L22" s="9" t="e">
        <f>VLOOKUP($B22,Enchants!$B$2:$S$170,11,FALSE)</f>
        <v>#N/A</v>
      </c>
      <c r="M22" s="9" t="e">
        <f>VLOOKUP($B22,Enchants!$B$2:$S$170,12,FALSE)</f>
        <v>#N/A</v>
      </c>
      <c r="N22" s="9" t="e">
        <f>VLOOKUP($B22,Enchants!$B$2:$S$170,13,FALSE)</f>
        <v>#N/A</v>
      </c>
      <c r="O22" s="9" t="e">
        <f>VLOOKUP($B22,Enchants!$B$2:$S$170,14,FALSE)</f>
        <v>#N/A</v>
      </c>
      <c r="P22" s="9" t="e">
        <f>VLOOKUP($B22,Enchants!$B$2:$S$170,15,FALSE)</f>
        <v>#N/A</v>
      </c>
      <c r="Q22" s="9" t="e">
        <f>VLOOKUP($B22,Enchants!$B$2:$S$170,16,FALSE)</f>
        <v>#N/A</v>
      </c>
      <c r="R22" s="9" t="e">
        <f>VLOOKUP($B22,Enchants!$B$2:$S$170,17,FALSE)</f>
        <v>#N/A</v>
      </c>
      <c r="S22" s="9" t="e">
        <f>VLOOKUP($B22,Enchants!$B$2:$S$170,18,FALSE)</f>
        <v>#N/A</v>
      </c>
    </row>
    <row r="23" spans="1:19" x14ac:dyDescent="0.25">
      <c r="A23" s="9" t="s">
        <v>157</v>
      </c>
      <c r="B23" s="24" t="str">
        <f>'Frost Calculation'!C31</f>
        <v>Greater Intellect</v>
      </c>
      <c r="C23" s="9">
        <f>_xlfn.IFNA(VLOOKUP($B23,Enchants!$B$2:$S$170,2,FALSE),0)</f>
        <v>0</v>
      </c>
      <c r="D23" s="9">
        <f>VLOOKUP($B23,Enchants!$B$2:$S$170,3,FALSE)</f>
        <v>0</v>
      </c>
      <c r="E23" s="9">
        <f>VLOOKUP($B23,Enchants!$B$2:$S$170,4,FALSE)</f>
        <v>0</v>
      </c>
      <c r="F23" s="9">
        <f>VLOOKUP($B23,Enchants!$B$2:$S$170,5,FALSE)</f>
        <v>0</v>
      </c>
      <c r="G23" s="9">
        <f>VLOOKUP($B23,Enchants!$B$2:$S$170,6,FALSE)</f>
        <v>0</v>
      </c>
      <c r="H23" s="9">
        <f>VLOOKUP($B23,Enchants!$B$2:$S$170,7,FALSE)</f>
        <v>7</v>
      </c>
      <c r="I23" s="9">
        <f>VLOOKUP($B23,Enchants!$B$2:$S$170,8,FALSE)</f>
        <v>0</v>
      </c>
      <c r="J23" s="9">
        <f>VLOOKUP($B23,Enchants!$B$2:$S$170,9,FALSE)</f>
        <v>0</v>
      </c>
      <c r="K23" s="9">
        <f>VLOOKUP($B23,Enchants!$B$2:$S$170,10,FALSE)</f>
        <v>0</v>
      </c>
      <c r="L23" s="9">
        <f>VLOOKUP($B23,Enchants!$B$2:$S$170,11,FALSE)</f>
        <v>0</v>
      </c>
      <c r="M23" s="9">
        <f>VLOOKUP($B23,Enchants!$B$2:$S$170,12,FALSE)</f>
        <v>0</v>
      </c>
      <c r="N23" s="9">
        <f>VLOOKUP($B23,Enchants!$B$2:$S$170,13,FALSE)</f>
        <v>0</v>
      </c>
      <c r="O23" s="9">
        <f>VLOOKUP($B23,Enchants!$B$2:$S$170,14,FALSE)</f>
        <v>0</v>
      </c>
      <c r="P23" s="9">
        <f>VLOOKUP($B23,Enchants!$B$2:$S$170,15,FALSE)</f>
        <v>0</v>
      </c>
      <c r="Q23" s="9">
        <f>VLOOKUP($B23,Enchants!$B$2:$S$170,16,FALSE)</f>
        <v>0</v>
      </c>
      <c r="R23" s="9">
        <f>VLOOKUP($B23,Enchants!$B$2:$S$170,17,FALSE)</f>
        <v>0</v>
      </c>
      <c r="S23" s="9">
        <f>VLOOKUP($B23,Enchants!$B$2:$S$170,18,FALSE)</f>
        <v>0</v>
      </c>
    </row>
    <row r="24" spans="1:19" x14ac:dyDescent="0.25">
      <c r="A24" s="9" t="s">
        <v>158</v>
      </c>
      <c r="B24" s="24">
        <f>'Frost Calculation'!C32</f>
        <v>0</v>
      </c>
      <c r="C24" s="9">
        <f>_xlfn.IFNA(VLOOKUP($B24,Enchants!$B$2:$S$170,2,FALSE),0)</f>
        <v>0</v>
      </c>
      <c r="D24" s="9" t="e">
        <f>VLOOKUP($B24,Enchants!$B$2:$S$170,3,FALSE)</f>
        <v>#N/A</v>
      </c>
      <c r="E24" s="9" t="e">
        <f>VLOOKUP($B24,Enchants!$B$2:$S$170,4,FALSE)</f>
        <v>#N/A</v>
      </c>
      <c r="F24" s="9" t="e">
        <f>VLOOKUP($B24,Enchants!$B$2:$S$170,5,FALSE)</f>
        <v>#N/A</v>
      </c>
      <c r="G24" s="9" t="e">
        <f>VLOOKUP($B24,Enchants!$B$2:$S$170,6,FALSE)</f>
        <v>#N/A</v>
      </c>
      <c r="H24" s="9" t="e">
        <f>VLOOKUP($B24,Enchants!$B$2:$S$170,7,FALSE)</f>
        <v>#N/A</v>
      </c>
      <c r="I24" s="9" t="e">
        <f>VLOOKUP($B24,Enchants!$B$2:$S$170,8,FALSE)</f>
        <v>#N/A</v>
      </c>
      <c r="J24" s="9" t="e">
        <f>VLOOKUP($B24,Enchants!$B$2:$S$170,9,FALSE)</f>
        <v>#N/A</v>
      </c>
      <c r="K24" s="9" t="e">
        <f>VLOOKUP($B24,Enchants!$B$2:$S$170,10,FALSE)</f>
        <v>#N/A</v>
      </c>
      <c r="L24" s="9" t="e">
        <f>VLOOKUP($B24,Enchants!$B$2:$S$170,11,FALSE)</f>
        <v>#N/A</v>
      </c>
      <c r="M24" s="9" t="e">
        <f>VLOOKUP($B24,Enchants!$B$2:$S$170,12,FALSE)</f>
        <v>#N/A</v>
      </c>
      <c r="N24" s="9" t="e">
        <f>VLOOKUP($B24,Enchants!$B$2:$S$170,13,FALSE)</f>
        <v>#N/A</v>
      </c>
      <c r="O24" s="9" t="e">
        <f>VLOOKUP($B24,Enchants!$B$2:$S$170,14,FALSE)</f>
        <v>#N/A</v>
      </c>
      <c r="P24" s="9" t="e">
        <f>VLOOKUP($B24,Enchants!$B$2:$S$170,15,FALSE)</f>
        <v>#N/A</v>
      </c>
      <c r="Q24" s="9" t="e">
        <f>VLOOKUP($B24,Enchants!$B$2:$S$170,16,FALSE)</f>
        <v>#N/A</v>
      </c>
      <c r="R24" s="9" t="e">
        <f>VLOOKUP($B24,Enchants!$B$2:$S$170,17,FALSE)</f>
        <v>#N/A</v>
      </c>
      <c r="S24" s="9" t="e">
        <f>VLOOKUP($B24,Enchants!$B$2:$S$170,18,FALSE)</f>
        <v>#N/A</v>
      </c>
    </row>
    <row r="25" spans="1:19" x14ac:dyDescent="0.25">
      <c r="A25" s="9" t="s">
        <v>159</v>
      </c>
      <c r="B25" s="24" t="str">
        <f>'Frost Calculation'!C34</f>
        <v>Arcanum of Focus</v>
      </c>
      <c r="C25" s="9">
        <f>_xlfn.IFNA(VLOOKUP($B25,Enchants!$B$2:$S$170,2,FALSE),0)</f>
        <v>0</v>
      </c>
      <c r="D25" s="9">
        <f>VLOOKUP($B25,Enchants!$B$2:$S$170,3,FALSE)</f>
        <v>0</v>
      </c>
      <c r="E25" s="9">
        <f>VLOOKUP($B25,Enchants!$B$2:$S$170,4,FALSE)</f>
        <v>0</v>
      </c>
      <c r="F25" s="9">
        <f>VLOOKUP($B25,Enchants!$B$2:$S$170,5,FALSE)</f>
        <v>0</v>
      </c>
      <c r="G25" s="9">
        <f>VLOOKUP($B25,Enchants!$B$2:$S$170,6,FALSE)</f>
        <v>0</v>
      </c>
      <c r="H25" s="9">
        <f>VLOOKUP($B25,Enchants!$B$2:$S$170,7,FALSE)</f>
        <v>0</v>
      </c>
      <c r="I25" s="9">
        <f>VLOOKUP($B25,Enchants!$B$2:$S$170,8,FALSE)</f>
        <v>0</v>
      </c>
      <c r="J25" s="9">
        <f>VLOOKUP($B25,Enchants!$B$2:$S$170,9,FALSE)</f>
        <v>8</v>
      </c>
      <c r="K25" s="9">
        <f>VLOOKUP($B25,Enchants!$B$2:$S$170,10,FALSE)</f>
        <v>0</v>
      </c>
      <c r="L25" s="9">
        <f>VLOOKUP($B25,Enchants!$B$2:$S$170,11,FALSE)</f>
        <v>0</v>
      </c>
      <c r="M25" s="9">
        <f>VLOOKUP($B25,Enchants!$B$2:$S$170,12,FALSE)</f>
        <v>0</v>
      </c>
      <c r="N25" s="9">
        <f>VLOOKUP($B25,Enchants!$B$2:$S$170,13,FALSE)</f>
        <v>0</v>
      </c>
      <c r="O25" s="9">
        <f>VLOOKUP($B25,Enchants!$B$2:$S$170,14,FALSE)</f>
        <v>0</v>
      </c>
      <c r="P25" s="9">
        <f>VLOOKUP($B25,Enchants!$B$2:$S$170,15,FALSE)</f>
        <v>0</v>
      </c>
      <c r="Q25" s="9">
        <f>VLOOKUP($B25,Enchants!$B$2:$S$170,16,FALSE)</f>
        <v>0</v>
      </c>
      <c r="R25" s="9">
        <f>VLOOKUP($B25,Enchants!$B$2:$S$170,17,FALSE)</f>
        <v>0</v>
      </c>
      <c r="S25" s="9">
        <f>VLOOKUP($B25,Enchants!$B$2:$S$170,18,FALSE)</f>
        <v>0</v>
      </c>
    </row>
    <row r="26" spans="1:19" x14ac:dyDescent="0.25">
      <c r="A26" s="9" t="s">
        <v>734</v>
      </c>
      <c r="B26" s="24">
        <f>'Frost Calculation'!C35</f>
        <v>0</v>
      </c>
      <c r="C26" s="9">
        <f>_xlfn.IFNA(VLOOKUP($B26,Enchants!$B$2:$S$170,2,FALSE),0)</f>
        <v>0</v>
      </c>
      <c r="D26" s="9" t="e">
        <f>VLOOKUP($B26,Enchants!$B$2:$S$170,3,FALSE)</f>
        <v>#N/A</v>
      </c>
      <c r="E26" s="9" t="e">
        <f>VLOOKUP($B26,Enchants!$B$2:$S$170,4,FALSE)</f>
        <v>#N/A</v>
      </c>
      <c r="F26" s="9" t="e">
        <f>VLOOKUP($B26,Enchants!$B$2:$S$170,5,FALSE)</f>
        <v>#N/A</v>
      </c>
      <c r="G26" s="9" t="e">
        <f>VLOOKUP($B26,Enchants!$B$2:$S$170,6,FALSE)</f>
        <v>#N/A</v>
      </c>
      <c r="H26" s="9" t="e">
        <f>VLOOKUP($B26,Enchants!$B$2:$S$170,7,FALSE)</f>
        <v>#N/A</v>
      </c>
      <c r="I26" s="9" t="e">
        <f>VLOOKUP($B26,Enchants!$B$2:$S$170,8,FALSE)</f>
        <v>#N/A</v>
      </c>
      <c r="J26" s="9" t="e">
        <f>VLOOKUP($B26,Enchants!$B$2:$S$170,9,FALSE)</f>
        <v>#N/A</v>
      </c>
      <c r="K26" s="9" t="e">
        <f>VLOOKUP($B26,Enchants!$B$2:$S$170,10,FALSE)</f>
        <v>#N/A</v>
      </c>
      <c r="L26" s="9" t="e">
        <f>VLOOKUP($B26,Enchants!$B$2:$S$170,11,FALSE)</f>
        <v>#N/A</v>
      </c>
      <c r="M26" s="9" t="e">
        <f>VLOOKUP($B26,Enchants!$B$2:$S$170,12,FALSE)</f>
        <v>#N/A</v>
      </c>
      <c r="N26" s="9" t="e">
        <f>VLOOKUP($B26,Enchants!$B$2:$S$170,13,FALSE)</f>
        <v>#N/A</v>
      </c>
      <c r="O26" s="9" t="e">
        <f>VLOOKUP($B26,Enchants!$B$2:$S$170,14,FALSE)</f>
        <v>#N/A</v>
      </c>
      <c r="P26" s="9" t="e">
        <f>VLOOKUP($B26,Enchants!$B$2:$S$170,15,FALSE)</f>
        <v>#N/A</v>
      </c>
      <c r="Q26" s="9" t="e">
        <f>VLOOKUP($B26,Enchants!$B$2:$S$170,16,FALSE)</f>
        <v>#N/A</v>
      </c>
      <c r="R26" s="9" t="e">
        <f>VLOOKUP($B26,Enchants!$B$2:$S$170,17,FALSE)</f>
        <v>#N/A</v>
      </c>
      <c r="S26" s="9" t="e">
        <f>VLOOKUP($B26,Enchants!$B$2:$S$170,18,FALSE)</f>
        <v>#N/A</v>
      </c>
    </row>
    <row r="27" spans="1:19" x14ac:dyDescent="0.25">
      <c r="A27" s="9" t="s">
        <v>160</v>
      </c>
      <c r="B27" s="24" t="str">
        <f>'Frost Calculation'!C40</f>
        <v>Spell Power</v>
      </c>
      <c r="C27" s="9">
        <f>_xlfn.IFNA(VLOOKUP($B27,Enchants!$B$2:$S$170,2,FALSE),0)</f>
        <v>0</v>
      </c>
      <c r="D27" s="9">
        <f>VLOOKUP($B27,Enchants!$B$2:$S$170,3,FALSE)</f>
        <v>0</v>
      </c>
      <c r="E27" s="9">
        <f>VLOOKUP($B27,Enchants!$B$2:$S$170,4,FALSE)</f>
        <v>0</v>
      </c>
      <c r="F27" s="9">
        <f>VLOOKUP($B27,Enchants!$B$2:$S$170,5,FALSE)</f>
        <v>0</v>
      </c>
      <c r="G27" s="9">
        <f>VLOOKUP($B27,Enchants!$B$2:$S$170,6,FALSE)</f>
        <v>0</v>
      </c>
      <c r="H27" s="9">
        <f>VLOOKUP($B27,Enchants!$B$2:$S$170,7,FALSE)</f>
        <v>0</v>
      </c>
      <c r="I27" s="9">
        <f>VLOOKUP($B27,Enchants!$B$2:$S$170,8,FALSE)</f>
        <v>0</v>
      </c>
      <c r="J27" s="9">
        <f>VLOOKUP($B27,Enchants!$B$2:$S$170,9,FALSE)</f>
        <v>30</v>
      </c>
      <c r="K27" s="9">
        <f>VLOOKUP($B27,Enchants!$B$2:$S$170,10,FALSE)</f>
        <v>0</v>
      </c>
      <c r="L27" s="9">
        <f>VLOOKUP($B27,Enchants!$B$2:$S$170,11,FALSE)</f>
        <v>0</v>
      </c>
      <c r="M27" s="9">
        <f>VLOOKUP($B27,Enchants!$B$2:$S$170,12,FALSE)</f>
        <v>0</v>
      </c>
      <c r="N27" s="9">
        <f>VLOOKUP($B27,Enchants!$B$2:$S$170,13,FALSE)</f>
        <v>0</v>
      </c>
      <c r="O27" s="9">
        <f>VLOOKUP($B27,Enchants!$B$2:$S$170,14,FALSE)</f>
        <v>0</v>
      </c>
      <c r="P27" s="9">
        <f>VLOOKUP($B27,Enchants!$B$2:$S$170,15,FALSE)</f>
        <v>0</v>
      </c>
      <c r="Q27" s="9">
        <f>VLOOKUP($B27,Enchants!$B$2:$S$170,16,FALSE)</f>
        <v>0</v>
      </c>
      <c r="R27" s="9">
        <f>VLOOKUP($B27,Enchants!$B$2:$S$170,17,FALSE)</f>
        <v>0</v>
      </c>
      <c r="S27" s="9">
        <f>VLOOKUP($B27,Enchants!$B$2:$S$170,18,FALSE)</f>
        <v>0</v>
      </c>
    </row>
    <row r="28" spans="1:19" x14ac:dyDescent="0.25">
      <c r="A28" s="9" t="s">
        <v>166</v>
      </c>
      <c r="B28" s="24">
        <f>COUNTIF(B2:B27,"*Arcanist*")</f>
        <v>3</v>
      </c>
      <c r="C28" s="9">
        <f>J28*'Frost Calculation'!F17</f>
        <v>6.4622347452388942</v>
      </c>
      <c r="D28" s="9"/>
      <c r="E28" s="9"/>
      <c r="F28" s="9"/>
      <c r="G28" s="9"/>
      <c r="H28" s="9"/>
      <c r="I28" s="9"/>
      <c r="J28" s="9">
        <f>IF(B28=3,18,0)</f>
        <v>18</v>
      </c>
      <c r="K28" s="9"/>
      <c r="L28" s="9"/>
      <c r="M28" s="9"/>
      <c r="N28" s="9"/>
      <c r="O28" s="9"/>
      <c r="P28" s="9"/>
      <c r="Q28" s="9"/>
      <c r="R28" s="9"/>
      <c r="S28" s="9"/>
    </row>
    <row r="29" spans="1:19" x14ac:dyDescent="0.25">
      <c r="A29" s="9"/>
      <c r="B29" s="24" t="s">
        <v>152</v>
      </c>
      <c r="C29" s="9">
        <f>SUM(C2:C28)</f>
        <v>17.967947485329343</v>
      </c>
      <c r="D29" s="9">
        <f t="shared" ref="D29:I29" si="0">SUMIF(D2:D28,"&gt;0")</f>
        <v>83</v>
      </c>
      <c r="E29" s="9">
        <f t="shared" si="0"/>
        <v>0</v>
      </c>
      <c r="F29" s="9">
        <f t="shared" si="0"/>
        <v>16</v>
      </c>
      <c r="G29" s="9">
        <f t="shared" si="0"/>
        <v>0</v>
      </c>
      <c r="H29" s="9">
        <f t="shared" si="0"/>
        <v>34</v>
      </c>
      <c r="I29" s="9">
        <f t="shared" si="0"/>
        <v>10</v>
      </c>
      <c r="J29" s="9">
        <f>SUMIF(J2:J28,"&gt;0")</f>
        <v>84</v>
      </c>
      <c r="K29" s="9">
        <f t="shared" ref="K29:S29" si="1">SUMIF(K2:K28,"&gt;0")</f>
        <v>0</v>
      </c>
      <c r="L29" s="9">
        <f t="shared" si="1"/>
        <v>0.01</v>
      </c>
      <c r="M29" s="9">
        <f t="shared" si="1"/>
        <v>0</v>
      </c>
      <c r="N29" s="9">
        <f t="shared" si="1"/>
        <v>15</v>
      </c>
      <c r="O29" s="9">
        <f t="shared" si="1"/>
        <v>5</v>
      </c>
      <c r="P29" s="9">
        <f t="shared" si="1"/>
        <v>5</v>
      </c>
      <c r="Q29" s="9">
        <f t="shared" si="1"/>
        <v>5</v>
      </c>
      <c r="R29" s="9">
        <f t="shared" si="1"/>
        <v>5</v>
      </c>
      <c r="S29" s="9">
        <f t="shared" si="1"/>
        <v>0</v>
      </c>
    </row>
    <row r="30" spans="1:19" x14ac:dyDescent="0.25">
      <c r="B30" s="5"/>
    </row>
    <row r="31" spans="1:19" x14ac:dyDescent="0.25">
      <c r="B31" s="5"/>
    </row>
    <row r="32" spans="1:19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E901-D80A-4C4C-A213-40DADE789742}">
  <sheetPr codeName="Tabelle3"/>
  <dimension ref="A1:T501"/>
  <sheetViews>
    <sheetView showGridLines="0" workbookViewId="0">
      <selection activeCell="Q10" sqref="Q10"/>
    </sheetView>
  </sheetViews>
  <sheetFormatPr baseColWidth="10" defaultRowHeight="15" x14ac:dyDescent="0.25"/>
  <cols>
    <col min="1" max="1" width="6" style="48" bestFit="1" customWidth="1"/>
    <col min="2" max="2" width="35.85546875" style="44" bestFit="1" customWidth="1"/>
    <col min="3" max="3" width="5.85546875" style="56" bestFit="1" customWidth="1"/>
    <col min="4" max="4" width="10" style="43" bestFit="1" customWidth="1"/>
    <col min="5" max="5" width="6.5703125" style="43" bestFit="1" customWidth="1"/>
    <col min="6" max="6" width="8.5703125" style="43" bestFit="1" customWidth="1"/>
    <col min="7" max="7" width="8.140625" style="43" bestFit="1" customWidth="1"/>
    <col min="8" max="8" width="6.7109375" style="43" bestFit="1" customWidth="1"/>
    <col min="9" max="9" width="8.42578125" style="43" bestFit="1" customWidth="1"/>
    <col min="10" max="10" width="5.7109375" style="43" bestFit="1" customWidth="1"/>
    <col min="11" max="11" width="16.5703125" style="43" bestFit="1" customWidth="1"/>
    <col min="12" max="12" width="9" style="45" bestFit="1" customWidth="1"/>
    <col min="13" max="13" width="8.42578125" style="45" bestFit="1" customWidth="1"/>
    <col min="14" max="14" width="5" style="43" bestFit="1" customWidth="1"/>
    <col min="15" max="15" width="14.28515625" style="43" bestFit="1" customWidth="1"/>
    <col min="16" max="16" width="15.28515625" style="43" bestFit="1" customWidth="1"/>
    <col min="17" max="17" width="17.140625" style="43" bestFit="1" customWidth="1"/>
    <col min="18" max="18" width="18" style="43" bestFit="1" customWidth="1"/>
    <col min="19" max="19" width="17.140625" style="43" bestFit="1" customWidth="1"/>
    <col min="20" max="20" width="38.7109375" bestFit="1" customWidth="1"/>
  </cols>
  <sheetData>
    <row r="1" spans="1:20" s="75" customFormat="1" ht="29.25" customHeight="1" x14ac:dyDescent="0.25">
      <c r="A1" s="70" t="s">
        <v>78</v>
      </c>
      <c r="B1" s="71" t="s">
        <v>85</v>
      </c>
      <c r="C1" s="72" t="s">
        <v>86</v>
      </c>
      <c r="D1" s="73" t="s">
        <v>79</v>
      </c>
      <c r="E1" s="73" t="s">
        <v>80</v>
      </c>
      <c r="F1" s="73" t="s">
        <v>81</v>
      </c>
      <c r="G1" s="73" t="s">
        <v>33</v>
      </c>
      <c r="H1" s="73" t="s">
        <v>82</v>
      </c>
      <c r="I1" s="73" t="s">
        <v>83</v>
      </c>
      <c r="J1" s="73" t="s">
        <v>2</v>
      </c>
      <c r="K1" s="73" t="s">
        <v>171</v>
      </c>
      <c r="L1" s="74" t="s">
        <v>42</v>
      </c>
      <c r="M1" s="74" t="s">
        <v>41</v>
      </c>
      <c r="N1" s="73" t="s">
        <v>61</v>
      </c>
      <c r="O1" s="73" t="s">
        <v>87</v>
      </c>
      <c r="P1" s="73" t="s">
        <v>88</v>
      </c>
      <c r="Q1" s="73" t="s">
        <v>89</v>
      </c>
      <c r="R1" s="73" t="s">
        <v>91</v>
      </c>
      <c r="S1" s="73" t="s">
        <v>90</v>
      </c>
      <c r="T1" s="73" t="s">
        <v>437</v>
      </c>
    </row>
    <row r="2" spans="1:20" x14ac:dyDescent="0.25">
      <c r="A2" s="46">
        <v>22800</v>
      </c>
      <c r="B2" s="43" t="s">
        <v>420</v>
      </c>
      <c r="C2" s="56">
        <f>(I2*'Frost Calculation'!$F$20/'Frost Calculation'!$E$20)+(K2*'Frost Calculation'!$F$17/'Frost Calculation'!$E$17)+(L2*'Frost Calculation'!$F$18/'Frost Calculation'!$E$18)+M2*'Frost Calculation'!$F$19/'Frost Calculation'!$E$19</f>
        <v>50.681526070099984</v>
      </c>
      <c r="D2" s="43" t="s">
        <v>111</v>
      </c>
      <c r="G2" s="43">
        <v>31</v>
      </c>
      <c r="I2" s="43">
        <v>30</v>
      </c>
      <c r="K2" s="43">
        <v>113</v>
      </c>
      <c r="L2" s="45">
        <v>0.01</v>
      </c>
      <c r="M2" s="45">
        <v>0.02</v>
      </c>
      <c r="T2" s="49" t="s">
        <v>440</v>
      </c>
    </row>
    <row r="3" spans="1:20" x14ac:dyDescent="0.25">
      <c r="A3" s="46">
        <v>22799</v>
      </c>
      <c r="B3" s="43" t="s">
        <v>435</v>
      </c>
      <c r="C3" s="56">
        <f>(I3*'Frost Calculation'!$F$20/'Frost Calculation'!$E$20)+(K3*'Frost Calculation'!$F$17/'Frost Calculation'!$E$17)+(L3*'Frost Calculation'!$F$18/'Frost Calculation'!$E$18)+M3*'Frost Calculation'!$F$19/'Frost Calculation'!$E$19</f>
        <v>51.413735755663851</v>
      </c>
      <c r="D3" s="43" t="s">
        <v>111</v>
      </c>
      <c r="G3" s="43">
        <v>30</v>
      </c>
      <c r="I3" s="43">
        <v>31</v>
      </c>
      <c r="K3" s="43">
        <v>126</v>
      </c>
      <c r="L3" s="45">
        <v>0.02</v>
      </c>
      <c r="M3" s="45">
        <v>0</v>
      </c>
      <c r="T3" s="49" t="s">
        <v>438</v>
      </c>
    </row>
    <row r="4" spans="1:20" x14ac:dyDescent="0.25">
      <c r="A4" s="48">
        <v>21273</v>
      </c>
      <c r="B4" s="44" t="s">
        <v>399</v>
      </c>
      <c r="C4" s="56">
        <f>(I4*'Frost Calculation'!$F$20/'Frost Calculation'!$E$20)+(K4*'Frost Calculation'!$F$17/'Frost Calculation'!$E$17)+(L4*'Frost Calculation'!$F$18/'Frost Calculation'!$E$18)+M4*'Frost Calculation'!$F$19/'Frost Calculation'!$E$19</f>
        <v>37.521605388999859</v>
      </c>
      <c r="D4" s="43" t="s">
        <v>111</v>
      </c>
      <c r="G4" s="43">
        <v>32</v>
      </c>
      <c r="I4" s="43">
        <v>33</v>
      </c>
      <c r="K4" s="43">
        <v>76</v>
      </c>
      <c r="L4" s="45">
        <v>0.01</v>
      </c>
      <c r="M4" s="45">
        <v>0.02</v>
      </c>
      <c r="T4" s="49" t="s">
        <v>442</v>
      </c>
    </row>
    <row r="5" spans="1:20" x14ac:dyDescent="0.25">
      <c r="A5" s="48">
        <v>19356</v>
      </c>
      <c r="B5" s="43" t="s">
        <v>110</v>
      </c>
      <c r="C5" s="56">
        <f>(I5*'Frost Calculation'!$F$20/'Frost Calculation'!$E$20)+(K5*'Frost Calculation'!$F$17/'Frost Calculation'!$E$17)+(L5*'Frost Calculation'!$F$18/'Frost Calculation'!$E$18)+M5*'Frost Calculation'!$F$19/'Frost Calculation'!$E$19</f>
        <v>36.252813449586547</v>
      </c>
      <c r="D5" s="43" t="s">
        <v>111</v>
      </c>
      <c r="G5" s="43">
        <v>24</v>
      </c>
      <c r="I5" s="43">
        <v>29</v>
      </c>
      <c r="J5" s="43">
        <v>18</v>
      </c>
      <c r="K5" s="43">
        <v>84</v>
      </c>
      <c r="L5" s="45">
        <v>0.02</v>
      </c>
      <c r="M5" s="45">
        <v>0</v>
      </c>
      <c r="T5" s="49" t="s">
        <v>446</v>
      </c>
    </row>
    <row r="6" spans="1:20" x14ac:dyDescent="0.25">
      <c r="A6" s="43">
        <v>21452</v>
      </c>
      <c r="B6" s="43" t="s">
        <v>373</v>
      </c>
      <c r="C6" s="56">
        <f>(I6*'Frost Calculation'!$F$20/'Frost Calculation'!$E$20)+(K6*'Frost Calculation'!$F$17/'Frost Calculation'!$E$17)+(L6*'Frost Calculation'!$F$18/'Frost Calculation'!$E$18)+M6*'Frost Calculation'!$F$19/'Frost Calculation'!$E$19</f>
        <v>28.15212863560377</v>
      </c>
      <c r="D6" s="43" t="s">
        <v>111</v>
      </c>
      <c r="G6" s="43">
        <v>24</v>
      </c>
      <c r="I6" s="43">
        <v>23</v>
      </c>
      <c r="J6" s="43">
        <v>14</v>
      </c>
      <c r="K6" s="43">
        <v>60</v>
      </c>
      <c r="L6" s="45">
        <v>0.01</v>
      </c>
      <c r="M6" s="45">
        <v>0.01</v>
      </c>
      <c r="T6" s="49" t="s">
        <v>444</v>
      </c>
    </row>
    <row r="7" spans="1:20" x14ac:dyDescent="0.25">
      <c r="A7" s="43">
        <v>23451</v>
      </c>
      <c r="B7" s="43" t="s">
        <v>341</v>
      </c>
      <c r="C7" s="56">
        <f>(I7*'Frost Calculation'!$F$20/'Frost Calculation'!$E$20)+(K7*'Frost Calculation'!$F$17/'Frost Calculation'!$E$17)+(L7*'Frost Calculation'!$F$18/'Frost Calculation'!$E$18)+M7*'Frost Calculation'!$F$19/'Frost Calculation'!$E$19</f>
        <v>28.629080623501793</v>
      </c>
      <c r="D7" s="43" t="s">
        <v>75</v>
      </c>
      <c r="G7" s="43">
        <v>14</v>
      </c>
      <c r="I7" s="43">
        <v>8</v>
      </c>
      <c r="K7" s="43">
        <v>72</v>
      </c>
      <c r="L7" s="45">
        <v>0.01</v>
      </c>
      <c r="M7" s="45">
        <v>0</v>
      </c>
      <c r="T7" s="49" t="s">
        <v>443</v>
      </c>
    </row>
    <row r="8" spans="1:20" x14ac:dyDescent="0.25">
      <c r="A8" s="43">
        <v>22496</v>
      </c>
      <c r="B8" s="43" t="s">
        <v>354</v>
      </c>
      <c r="C8" s="56">
        <f>(I8*'Frost Calculation'!$F$20/'Frost Calculation'!$E$20)+(K8*'Frost Calculation'!$F$17/'Frost Calculation'!$E$17)+(L8*'Frost Calculation'!$F$18/'Frost Calculation'!$E$18)+M8*'Frost Calculation'!$F$19/'Frost Calculation'!$E$19</f>
        <v>23.649708231748789</v>
      </c>
      <c r="D8" s="43" t="s">
        <v>67</v>
      </c>
      <c r="E8" s="43">
        <v>138</v>
      </c>
      <c r="G8" s="43">
        <v>21</v>
      </c>
      <c r="I8" s="43">
        <v>27</v>
      </c>
      <c r="K8" s="43">
        <v>47</v>
      </c>
      <c r="L8" s="45">
        <v>0.01</v>
      </c>
      <c r="M8" s="45">
        <v>0.01</v>
      </c>
      <c r="T8" s="49" t="s">
        <v>447</v>
      </c>
    </row>
    <row r="9" spans="1:20" x14ac:dyDescent="0.25">
      <c r="A9" s="43">
        <v>18873</v>
      </c>
      <c r="B9" s="43" t="s">
        <v>342</v>
      </c>
      <c r="C9" s="56">
        <f>(I9*'Frost Calculation'!$F$20/'Frost Calculation'!$E$20)+(K9*'Frost Calculation'!$F$17/'Frost Calculation'!$E$17)+(L9*'Frost Calculation'!$F$18/'Frost Calculation'!$E$18)+M9*'Frost Calculation'!$F$19/'Frost Calculation'!$E$19</f>
        <v>26.437233462198794</v>
      </c>
      <c r="D9" s="43" t="s">
        <v>111</v>
      </c>
      <c r="G9" s="43">
        <v>41</v>
      </c>
      <c r="I9" s="43">
        <v>23</v>
      </c>
      <c r="J9" s="43">
        <v>17</v>
      </c>
      <c r="K9" s="43">
        <v>71</v>
      </c>
      <c r="L9" s="45">
        <v>0</v>
      </c>
      <c r="M9" s="45">
        <v>0</v>
      </c>
      <c r="T9" s="49" t="s">
        <v>441</v>
      </c>
    </row>
    <row r="10" spans="1:20" x14ac:dyDescent="0.25">
      <c r="A10" s="43">
        <v>22498</v>
      </c>
      <c r="B10" s="43" t="s">
        <v>352</v>
      </c>
      <c r="C10" s="56">
        <f>(I10*'Frost Calculation'!$F$20/'Frost Calculation'!$E$20)+(K10*'Frost Calculation'!$F$17/'Frost Calculation'!$E$17)+(L10*'Frost Calculation'!$F$18/'Frost Calculation'!$E$18)+M10*'Frost Calculation'!$F$19/'Frost Calculation'!$E$19</f>
        <v>21.627445974349751</v>
      </c>
      <c r="D10" s="43" t="s">
        <v>63</v>
      </c>
      <c r="E10" s="43">
        <v>108</v>
      </c>
      <c r="G10" s="43">
        <v>22</v>
      </c>
      <c r="I10" s="43">
        <v>23</v>
      </c>
      <c r="K10" s="43">
        <v>35</v>
      </c>
      <c r="L10" s="45">
        <v>0.02</v>
      </c>
      <c r="M10" s="45">
        <v>0.01</v>
      </c>
      <c r="T10" s="49" t="s">
        <v>450</v>
      </c>
    </row>
    <row r="11" spans="1:20" x14ac:dyDescent="0.25">
      <c r="A11" s="43">
        <v>19379</v>
      </c>
      <c r="B11" s="43" t="s">
        <v>209</v>
      </c>
      <c r="C11" s="56">
        <f>(I11*'Frost Calculation'!$F$20/'Frost Calculation'!$E$20)+(K11*'Frost Calculation'!$F$17/'Frost Calculation'!$E$17)+(L11*'Frost Calculation'!$F$18/'Frost Calculation'!$E$18)+M11*'Frost Calculation'!$F$19/'Frost Calculation'!$E$19</f>
        <v>22.223364331752567</v>
      </c>
      <c r="D11" s="43" t="s">
        <v>74</v>
      </c>
      <c r="E11" s="43">
        <v>0</v>
      </c>
      <c r="K11" s="43">
        <v>44</v>
      </c>
      <c r="L11" s="45">
        <v>0</v>
      </c>
      <c r="M11" s="45">
        <v>0.02</v>
      </c>
      <c r="T11" s="49" t="s">
        <v>448</v>
      </c>
    </row>
    <row r="12" spans="1:20" x14ac:dyDescent="0.25">
      <c r="A12" s="47">
        <v>19347</v>
      </c>
      <c r="B12" s="43" t="s">
        <v>206</v>
      </c>
      <c r="C12" s="56">
        <f>(I12*'Frost Calculation'!$F$20/'Frost Calculation'!$E$20)+(K12*'Frost Calculation'!$F$17/'Frost Calculation'!$E$17)+(L12*'Frost Calculation'!$F$18/'Frost Calculation'!$E$18)+M12*'Frost Calculation'!$F$19/'Frost Calculation'!$E$19</f>
        <v>23.677018470824006</v>
      </c>
      <c r="D12" s="43" t="s">
        <v>75</v>
      </c>
      <c r="G12" s="43">
        <v>7</v>
      </c>
      <c r="I12" s="43">
        <v>17</v>
      </c>
      <c r="K12" s="43">
        <v>64</v>
      </c>
      <c r="L12" s="45">
        <v>0</v>
      </c>
      <c r="M12" s="45">
        <v>0</v>
      </c>
      <c r="N12" s="43">
        <v>4</v>
      </c>
      <c r="T12" s="49" t="s">
        <v>445</v>
      </c>
    </row>
    <row r="13" spans="1:20" x14ac:dyDescent="0.25">
      <c r="A13" s="46">
        <v>23070</v>
      </c>
      <c r="B13" s="43" t="s">
        <v>428</v>
      </c>
      <c r="C13" s="56">
        <f>(I13*'Frost Calculation'!$F$20/'Frost Calculation'!$E$20)+(K13*'Frost Calculation'!$F$17/'Frost Calculation'!$E$17)+(L13*'Frost Calculation'!$F$18/'Frost Calculation'!$E$18)+M13*'Frost Calculation'!$F$19/'Frost Calculation'!$E$19</f>
        <v>21.274482539600957</v>
      </c>
      <c r="D13" s="43" t="s">
        <v>71</v>
      </c>
      <c r="E13" s="43">
        <v>112</v>
      </c>
      <c r="G13" s="43">
        <v>20</v>
      </c>
      <c r="I13" s="43">
        <v>14</v>
      </c>
      <c r="K13" s="43">
        <v>44</v>
      </c>
      <c r="L13" s="45">
        <v>0.02</v>
      </c>
      <c r="M13" s="45">
        <v>0</v>
      </c>
      <c r="T13" s="49" t="s">
        <v>451</v>
      </c>
    </row>
    <row r="14" spans="1:20" x14ac:dyDescent="0.25">
      <c r="A14" s="43">
        <v>22497</v>
      </c>
      <c r="B14" s="43" t="s">
        <v>358</v>
      </c>
      <c r="C14" s="56">
        <f>(I14*'Frost Calculation'!$F$20/'Frost Calculation'!$E$20)+(K14*'Frost Calculation'!$F$17/'Frost Calculation'!$E$17)+(L14*'Frost Calculation'!$F$18/'Frost Calculation'!$E$18)+M14*'Frost Calculation'!$F$19/'Frost Calculation'!$E$19</f>
        <v>20.798864532953353</v>
      </c>
      <c r="D14" s="43" t="s">
        <v>71</v>
      </c>
      <c r="E14" s="43">
        <v>116</v>
      </c>
      <c r="G14" s="43">
        <v>25</v>
      </c>
      <c r="I14" s="43">
        <v>26</v>
      </c>
      <c r="J14" s="43">
        <v>10</v>
      </c>
      <c r="K14" s="43">
        <v>46</v>
      </c>
      <c r="L14" s="45">
        <v>0</v>
      </c>
      <c r="M14" s="45">
        <v>0.01</v>
      </c>
      <c r="T14" s="49" t="s">
        <v>452</v>
      </c>
    </row>
    <row r="15" spans="1:20" x14ac:dyDescent="0.25">
      <c r="A15" s="43">
        <v>20069</v>
      </c>
      <c r="B15" s="43" t="s">
        <v>351</v>
      </c>
      <c r="C15" s="56">
        <f>(I15*'Frost Calculation'!$F$20/'Frost Calculation'!$E$20)+(K15*'Frost Calculation'!$F$17/'Frost Calculation'!$E$17)+(L15*'Frost Calculation'!$F$18/'Frost Calculation'!$E$18)+M15*'Frost Calculation'!$F$19/'Frost Calculation'!$E$19</f>
        <v>20.032694281021364</v>
      </c>
      <c r="D15" s="43" t="s">
        <v>111</v>
      </c>
      <c r="E15" s="43">
        <v>95</v>
      </c>
      <c r="G15" s="43">
        <v>19</v>
      </c>
      <c r="I15" s="43">
        <v>10</v>
      </c>
      <c r="K15" s="43">
        <v>41</v>
      </c>
      <c r="L15" s="45">
        <v>0.02</v>
      </c>
      <c r="M15" s="45">
        <v>0</v>
      </c>
      <c r="T15" s="49" t="s">
        <v>454</v>
      </c>
    </row>
    <row r="16" spans="1:20" x14ac:dyDescent="0.25">
      <c r="A16" s="48">
        <v>21128</v>
      </c>
      <c r="B16" s="44" t="s">
        <v>398</v>
      </c>
      <c r="C16" s="56">
        <f>(I16*'Frost Calculation'!$F$20/'Frost Calculation'!$E$20)+(K16*'Frost Calculation'!$F$17/'Frost Calculation'!$E$17)+(L16*'Frost Calculation'!$F$18/'Frost Calculation'!$E$18)+M16*'Frost Calculation'!$F$19/'Frost Calculation'!$E$19</f>
        <v>21.175599691946214</v>
      </c>
      <c r="D16" s="43" t="s">
        <v>111</v>
      </c>
      <c r="G16" s="43">
        <v>21</v>
      </c>
      <c r="I16" s="43">
        <v>26</v>
      </c>
      <c r="J16" s="43">
        <v>8</v>
      </c>
      <c r="K16" s="43">
        <v>56</v>
      </c>
      <c r="L16" s="45">
        <v>0</v>
      </c>
      <c r="M16" s="45">
        <v>0</v>
      </c>
      <c r="O16" s="43">
        <v>10</v>
      </c>
      <c r="P16" s="43">
        <v>10</v>
      </c>
      <c r="Q16" s="43">
        <v>10</v>
      </c>
      <c r="R16" s="43">
        <v>10</v>
      </c>
      <c r="S16" s="43">
        <v>10</v>
      </c>
      <c r="T16" s="49" t="s">
        <v>449</v>
      </c>
    </row>
    <row r="17" spans="1:20" x14ac:dyDescent="0.25">
      <c r="A17" s="43">
        <v>19375</v>
      </c>
      <c r="B17" s="43" t="s">
        <v>207</v>
      </c>
      <c r="C17" s="56">
        <f>(I17*'Frost Calculation'!$F$20/'Frost Calculation'!$E$20)+(K17*'Frost Calculation'!$F$17/'Frost Calculation'!$E$17)+(L17*'Frost Calculation'!$F$18/'Frost Calculation'!$E$18)+M17*'Frost Calculation'!$F$19/'Frost Calculation'!$E$19</f>
        <v>18.455238002914282</v>
      </c>
      <c r="D17" s="43" t="s">
        <v>63</v>
      </c>
      <c r="E17" s="43">
        <v>102</v>
      </c>
      <c r="G17" s="43">
        <v>15</v>
      </c>
      <c r="I17" s="43">
        <v>24</v>
      </c>
      <c r="J17" s="43">
        <v>9</v>
      </c>
      <c r="K17" s="43">
        <v>35</v>
      </c>
      <c r="L17" s="45">
        <v>0.02</v>
      </c>
      <c r="M17" s="45">
        <v>0</v>
      </c>
      <c r="T17" s="49" t="s">
        <v>458</v>
      </c>
    </row>
    <row r="18" spans="1:20" x14ac:dyDescent="0.25">
      <c r="A18" s="46">
        <v>21838</v>
      </c>
      <c r="B18" s="43" t="s">
        <v>413</v>
      </c>
      <c r="C18" s="56">
        <f>(I18*'Frost Calculation'!$F$20/'Frost Calculation'!$E$20)+(K18*'Frost Calculation'!$F$17/'Frost Calculation'!$E$17)+(L18*'Frost Calculation'!$F$18/'Frost Calculation'!$E$18)+M18*'Frost Calculation'!$F$19/'Frost Calculation'!$E$19</f>
        <v>17.197181752122315</v>
      </c>
      <c r="D18" s="43" t="s">
        <v>67</v>
      </c>
      <c r="E18" s="43">
        <v>109</v>
      </c>
      <c r="G18" s="43">
        <v>21</v>
      </c>
      <c r="K18" s="43">
        <v>30</v>
      </c>
      <c r="L18" s="45">
        <v>0</v>
      </c>
      <c r="M18" s="45">
        <v>0.02</v>
      </c>
      <c r="R18" s="43">
        <v>25</v>
      </c>
      <c r="T18" s="49" t="s">
        <v>465</v>
      </c>
    </row>
    <row r="19" spans="1:20" x14ac:dyDescent="0.25">
      <c r="A19" s="43">
        <v>19682</v>
      </c>
      <c r="B19" s="43" t="s">
        <v>178</v>
      </c>
      <c r="C19" s="56">
        <f>(I19*'Frost Calculation'!$F$20/'Frost Calculation'!$E$20)+(K19*'Frost Calculation'!$F$17/'Frost Calculation'!$E$17)+(L19*'Frost Calculation'!$F$18/'Frost Calculation'!$E$18)+M19*'Frost Calculation'!$F$19/'Frost Calculation'!$E$19</f>
        <v>16.655577314628438</v>
      </c>
      <c r="D19" s="43" t="s">
        <v>67</v>
      </c>
      <c r="E19" s="43">
        <v>92</v>
      </c>
      <c r="I19" s="43">
        <v>13</v>
      </c>
      <c r="K19" s="43">
        <v>27</v>
      </c>
      <c r="L19" s="45">
        <v>0</v>
      </c>
      <c r="M19" s="45">
        <v>0.02</v>
      </c>
      <c r="T19" s="49" t="s">
        <v>468</v>
      </c>
    </row>
    <row r="20" spans="1:20" x14ac:dyDescent="0.25">
      <c r="A20" s="43">
        <v>19884</v>
      </c>
      <c r="B20" s="43" t="s">
        <v>387</v>
      </c>
      <c r="C20" s="56">
        <f>(I20*'Frost Calculation'!$F$20/'Frost Calculation'!$E$20)+(K20*'Frost Calculation'!$F$17/'Frost Calculation'!$E$17)+(L20*'Frost Calculation'!$F$18/'Frost Calculation'!$E$18)+M20*'Frost Calculation'!$F$19/'Frost Calculation'!$E$19</f>
        <v>16.532015463848605</v>
      </c>
      <c r="D20" s="43" t="s">
        <v>111</v>
      </c>
      <c r="G20" s="43">
        <v>10</v>
      </c>
      <c r="I20" s="43">
        <v>10</v>
      </c>
      <c r="K20" s="43">
        <v>27</v>
      </c>
      <c r="L20" s="45">
        <v>0</v>
      </c>
      <c r="M20" s="45">
        <v>0.02</v>
      </c>
      <c r="N20" s="43">
        <v>14</v>
      </c>
      <c r="T20" s="49" t="s">
        <v>469</v>
      </c>
    </row>
    <row r="21" spans="1:20" x14ac:dyDescent="0.25">
      <c r="A21" s="43">
        <v>21413</v>
      </c>
      <c r="B21" s="43" t="s">
        <v>367</v>
      </c>
      <c r="C21" s="56">
        <f>(I21*'Frost Calculation'!$F$20/'Frost Calculation'!$E$20)+(K21*'Frost Calculation'!$F$17/'Frost Calculation'!$E$17)+(L21*'Frost Calculation'!$F$18/'Frost Calculation'!$E$18)+M21*'Frost Calculation'!$F$19/'Frost Calculation'!$E$19</f>
        <v>18.232913448607615</v>
      </c>
      <c r="D21" s="43" t="s">
        <v>75</v>
      </c>
      <c r="G21" s="43">
        <v>8</v>
      </c>
      <c r="I21" s="43">
        <v>16</v>
      </c>
      <c r="K21" s="43">
        <v>40</v>
      </c>
      <c r="L21" s="45">
        <v>0</v>
      </c>
      <c r="M21" s="45">
        <v>0.01</v>
      </c>
      <c r="T21" s="49" t="s">
        <v>457</v>
      </c>
    </row>
    <row r="22" spans="1:20" x14ac:dyDescent="0.25">
      <c r="A22" s="46">
        <v>18842</v>
      </c>
      <c r="B22" s="43" t="s">
        <v>193</v>
      </c>
      <c r="C22" s="56">
        <f>(I22*'Frost Calculation'!$F$20/'Frost Calculation'!$E$20)+(K22*'Frost Calculation'!$F$17/'Frost Calculation'!$E$17)+(L22*'Frost Calculation'!$F$18/'Frost Calculation'!$E$18)+M22*'Frost Calculation'!$F$19/'Frost Calculation'!$E$19</f>
        <v>18.335094522837693</v>
      </c>
      <c r="D22" s="43" t="s">
        <v>111</v>
      </c>
      <c r="G22" s="43">
        <v>16</v>
      </c>
      <c r="I22" s="43">
        <v>37</v>
      </c>
      <c r="J22" s="43">
        <v>14</v>
      </c>
      <c r="K22" s="43">
        <v>40</v>
      </c>
      <c r="L22" s="45">
        <v>0.01</v>
      </c>
      <c r="M22" s="45">
        <v>0</v>
      </c>
      <c r="T22" s="49" t="s">
        <v>456</v>
      </c>
    </row>
    <row r="23" spans="1:20" x14ac:dyDescent="0.25">
      <c r="A23" s="46">
        <v>23220</v>
      </c>
      <c r="B23" s="43" t="s">
        <v>417</v>
      </c>
      <c r="C23" s="56">
        <f>(I23*'Frost Calculation'!$F$20/'Frost Calculation'!$E$20)+(K23*'Frost Calculation'!$F$17/'Frost Calculation'!$E$17)+(L23*'Frost Calculation'!$F$18/'Frost Calculation'!$E$18)+M23*'Frost Calculation'!$F$19/'Frost Calculation'!$E$19</f>
        <v>19.810249582586788</v>
      </c>
      <c r="D23" s="43" t="s">
        <v>67</v>
      </c>
      <c r="E23" s="43">
        <v>128</v>
      </c>
      <c r="G23" s="43">
        <v>25</v>
      </c>
      <c r="I23" s="43">
        <v>19</v>
      </c>
      <c r="K23" s="43">
        <v>53</v>
      </c>
      <c r="L23" s="45">
        <v>0</v>
      </c>
      <c r="M23" s="45">
        <v>0</v>
      </c>
      <c r="T23" s="49" t="s">
        <v>453</v>
      </c>
    </row>
    <row r="24" spans="1:20" x14ac:dyDescent="0.25">
      <c r="A24" s="43">
        <v>19438</v>
      </c>
      <c r="B24" s="43" t="s">
        <v>210</v>
      </c>
      <c r="C24" s="56">
        <f>(I24*'Frost Calculation'!$F$20/'Frost Calculation'!$E$20)+(K24*'Frost Calculation'!$F$17/'Frost Calculation'!$E$17)+(L24*'Frost Calculation'!$F$18/'Frost Calculation'!$E$18)+M24*'Frost Calculation'!$F$19/'Frost Calculation'!$E$19</f>
        <v>18.068164314234505</v>
      </c>
      <c r="D24" s="43" t="s">
        <v>72</v>
      </c>
      <c r="E24" s="43">
        <v>75</v>
      </c>
      <c r="G24" s="43">
        <v>11</v>
      </c>
      <c r="I24" s="43">
        <v>12</v>
      </c>
      <c r="K24" s="43">
        <v>40</v>
      </c>
      <c r="L24" s="45">
        <v>0</v>
      </c>
      <c r="M24" s="45">
        <v>0.01</v>
      </c>
      <c r="T24" s="49" t="s">
        <v>459</v>
      </c>
    </row>
    <row r="25" spans="1:20" x14ac:dyDescent="0.25">
      <c r="A25" s="46">
        <v>23035</v>
      </c>
      <c r="B25" s="43" t="s">
        <v>419</v>
      </c>
      <c r="C25" s="56">
        <f>(I25*'Frost Calculation'!$F$20/'Frost Calculation'!$E$20)+(K25*'Frost Calculation'!$F$17/'Frost Calculation'!$E$17)+(L25*'Frost Calculation'!$F$18/'Frost Calculation'!$E$18)+M25*'Frost Calculation'!$F$19/'Frost Calculation'!$E$19</f>
        <v>19.298159917748855</v>
      </c>
      <c r="D25" s="43" t="s">
        <v>63</v>
      </c>
      <c r="E25" s="43">
        <v>102</v>
      </c>
      <c r="G25" s="43">
        <v>18</v>
      </c>
      <c r="I25" s="43">
        <v>24</v>
      </c>
      <c r="K25" s="43">
        <v>51</v>
      </c>
      <c r="L25" s="45">
        <v>0</v>
      </c>
      <c r="M25" s="45">
        <v>0</v>
      </c>
      <c r="T25" s="49" t="s">
        <v>455</v>
      </c>
    </row>
    <row r="26" spans="1:20" x14ac:dyDescent="0.25">
      <c r="A26" s="43">
        <v>21461</v>
      </c>
      <c r="B26" s="43" t="s">
        <v>372</v>
      </c>
      <c r="C26" s="56">
        <f>(I26*'Frost Calculation'!$F$20/'Frost Calculation'!$E$20)+(K26*'Frost Calculation'!$F$17/'Frost Calculation'!$E$17)+(L26*'Frost Calculation'!$F$18/'Frost Calculation'!$E$18)+M26*'Frost Calculation'!$F$19/'Frost Calculation'!$E$19</f>
        <v>17.829174608781027</v>
      </c>
      <c r="D26" s="43" t="s">
        <v>71</v>
      </c>
      <c r="E26" s="43">
        <v>97</v>
      </c>
      <c r="G26" s="43">
        <v>14</v>
      </c>
      <c r="I26" s="43">
        <v>16</v>
      </c>
      <c r="J26" s="43">
        <v>8</v>
      </c>
      <c r="K26" s="43">
        <v>41</v>
      </c>
      <c r="L26" s="45">
        <v>0.01</v>
      </c>
      <c r="M26" s="45">
        <v>0</v>
      </c>
      <c r="T26" s="49" t="s">
        <v>460</v>
      </c>
    </row>
    <row r="27" spans="1:20" x14ac:dyDescent="0.25">
      <c r="A27" s="46">
        <v>21585</v>
      </c>
      <c r="B27" s="43" t="s">
        <v>411</v>
      </c>
      <c r="C27" s="56">
        <f>(I27*'Frost Calculation'!$F$20/'Frost Calculation'!$E$20)+(K27*'Frost Calculation'!$F$17/'Frost Calculation'!$E$17)+(L27*'Frost Calculation'!$F$18/'Frost Calculation'!$E$18)+M27*'Frost Calculation'!$F$19/'Frost Calculation'!$E$19</f>
        <v>17.114687040807855</v>
      </c>
      <c r="D27" s="43" t="s">
        <v>69</v>
      </c>
      <c r="E27" s="43">
        <v>83</v>
      </c>
      <c r="G27" s="43">
        <v>19</v>
      </c>
      <c r="I27" s="43">
        <v>15</v>
      </c>
      <c r="K27" s="43">
        <v>37</v>
      </c>
      <c r="L27" s="45">
        <v>0</v>
      </c>
      <c r="M27" s="45">
        <v>0.01</v>
      </c>
      <c r="T27" s="49" t="s">
        <v>464</v>
      </c>
    </row>
    <row r="28" spans="1:20" x14ac:dyDescent="0.25">
      <c r="A28" s="46">
        <v>22730</v>
      </c>
      <c r="B28" s="43" t="s">
        <v>410</v>
      </c>
      <c r="C28" s="56">
        <f>(I28*'Frost Calculation'!$F$20/'Frost Calculation'!$E$20)+(K28*'Frost Calculation'!$F$17/'Frost Calculation'!$E$17)+(L28*'Frost Calculation'!$F$18/'Frost Calculation'!$E$18)+M28*'Frost Calculation'!$F$19/'Frost Calculation'!$E$19</f>
        <v>17.540863623628088</v>
      </c>
      <c r="D28" s="43" t="s">
        <v>70</v>
      </c>
      <c r="E28" s="43">
        <v>75</v>
      </c>
      <c r="G28" s="43">
        <v>10</v>
      </c>
      <c r="I28" s="43">
        <v>9</v>
      </c>
      <c r="K28" s="43">
        <v>41</v>
      </c>
      <c r="L28" s="45">
        <v>0.01</v>
      </c>
      <c r="M28" s="45">
        <v>0</v>
      </c>
      <c r="T28" s="49" t="s">
        <v>461</v>
      </c>
    </row>
    <row r="29" spans="1:20" x14ac:dyDescent="0.25">
      <c r="A29" s="46">
        <v>21709</v>
      </c>
      <c r="B29" s="43" t="s">
        <v>412</v>
      </c>
      <c r="C29" s="56">
        <f>(I29*'Frost Calculation'!$F$20/'Frost Calculation'!$E$20)+(K29*'Frost Calculation'!$F$17/'Frost Calculation'!$E$17)+(L29*'Frost Calculation'!$F$18/'Frost Calculation'!$E$18)+M29*'Frost Calculation'!$F$19/'Frost Calculation'!$E$19</f>
        <v>16.74400148846836</v>
      </c>
      <c r="D29" s="43" t="s">
        <v>73</v>
      </c>
      <c r="E29" s="43">
        <v>0</v>
      </c>
      <c r="G29" s="43">
        <v>5</v>
      </c>
      <c r="I29" s="43">
        <v>6</v>
      </c>
      <c r="K29" s="43">
        <v>37</v>
      </c>
      <c r="L29" s="45">
        <v>0</v>
      </c>
      <c r="M29" s="45">
        <v>0.01</v>
      </c>
      <c r="T29" s="49" t="s">
        <v>467</v>
      </c>
    </row>
    <row r="30" spans="1:20" x14ac:dyDescent="0.25">
      <c r="A30" s="46">
        <v>14152</v>
      </c>
      <c r="B30" s="43" t="s">
        <v>177</v>
      </c>
      <c r="C30" s="56">
        <f>(I30*'Frost Calculation'!$F$20/'Frost Calculation'!$E$20)+(K30*'Frost Calculation'!$F$17/'Frost Calculation'!$E$17)+(L30*'Frost Calculation'!$F$18/'Frost Calculation'!$E$18)+M30*'Frost Calculation'!$F$19/'Frost Calculation'!$E$19</f>
        <v>17.30541243300576</v>
      </c>
      <c r="D30" s="43" t="s">
        <v>67</v>
      </c>
      <c r="E30" s="43">
        <v>96</v>
      </c>
      <c r="I30" s="43">
        <v>12</v>
      </c>
      <c r="K30" s="43">
        <v>40</v>
      </c>
      <c r="L30" s="45">
        <v>0.01</v>
      </c>
      <c r="M30" s="45">
        <v>0</v>
      </c>
      <c r="T30" s="49" t="s">
        <v>462</v>
      </c>
    </row>
    <row r="31" spans="1:20" x14ac:dyDescent="0.25">
      <c r="A31" s="48">
        <v>17103</v>
      </c>
      <c r="B31" s="44" t="s">
        <v>104</v>
      </c>
      <c r="C31" s="56">
        <f>(I31*'Frost Calculation'!$F$20/'Frost Calculation'!$E$20)+(K31*'Frost Calculation'!$F$17/'Frost Calculation'!$E$17)+(L31*'Frost Calculation'!$F$18/'Frost Calculation'!$E$18)+M31*'Frost Calculation'!$F$19/'Frost Calculation'!$E$19</f>
        <v>17.30541243300576</v>
      </c>
      <c r="D31" s="43" t="s">
        <v>75</v>
      </c>
      <c r="G31" s="43">
        <v>7</v>
      </c>
      <c r="I31" s="43">
        <v>12</v>
      </c>
      <c r="K31" s="43">
        <v>40</v>
      </c>
      <c r="L31" s="45">
        <v>0.01</v>
      </c>
      <c r="M31" s="45">
        <v>0</v>
      </c>
      <c r="T31" s="49" t="s">
        <v>463</v>
      </c>
    </row>
    <row r="32" spans="1:20" x14ac:dyDescent="0.25">
      <c r="A32" s="46">
        <v>23050</v>
      </c>
      <c r="B32" s="43" t="s">
        <v>430</v>
      </c>
      <c r="C32" s="56">
        <f>(I32*'Frost Calculation'!$F$20/'Frost Calculation'!$E$20)+(K32*'Frost Calculation'!$F$17/'Frost Calculation'!$E$17)+(L32*'Frost Calculation'!$F$18/'Frost Calculation'!$E$18)+M32*'Frost Calculation'!$F$19/'Frost Calculation'!$E$19</f>
        <v>15.451437824810977</v>
      </c>
      <c r="D32" s="43" t="s">
        <v>66</v>
      </c>
      <c r="E32" s="43">
        <v>68</v>
      </c>
      <c r="G32" s="43">
        <v>12</v>
      </c>
      <c r="I32" s="43">
        <v>11</v>
      </c>
      <c r="K32" s="43">
        <v>26</v>
      </c>
      <c r="L32" s="45">
        <v>0.01</v>
      </c>
      <c r="M32" s="45">
        <v>0.01</v>
      </c>
      <c r="T32" s="49" t="s">
        <v>473</v>
      </c>
    </row>
    <row r="33" spans="1:20" x14ac:dyDescent="0.25">
      <c r="A33" s="46">
        <v>23049</v>
      </c>
      <c r="B33" s="43" t="s">
        <v>432</v>
      </c>
      <c r="C33" s="56">
        <f>(I33*'Frost Calculation'!$F$20/'Frost Calculation'!$E$20)+(K33*'Frost Calculation'!$F$17/'Frost Calculation'!$E$17)+(L33*'Frost Calculation'!$F$18/'Frost Calculation'!$E$18)+M33*'Frost Calculation'!$F$19/'Frost Calculation'!$E$19</f>
        <v>15.327875974031144</v>
      </c>
      <c r="D33" s="43" t="s">
        <v>76</v>
      </c>
      <c r="E33" s="43">
        <v>0</v>
      </c>
      <c r="G33" s="43">
        <v>12</v>
      </c>
      <c r="I33" s="43">
        <v>8</v>
      </c>
      <c r="K33" s="43">
        <v>26</v>
      </c>
      <c r="L33" s="45">
        <v>0.01</v>
      </c>
      <c r="M33" s="45">
        <v>0.01</v>
      </c>
      <c r="T33" s="49" t="s">
        <v>474</v>
      </c>
    </row>
    <row r="34" spans="1:20" x14ac:dyDescent="0.25">
      <c r="A34" s="46">
        <v>22983</v>
      </c>
      <c r="B34" s="43" t="s">
        <v>427</v>
      </c>
      <c r="C34" s="56">
        <f>(I34*'Frost Calculation'!$F$20/'Frost Calculation'!$E$20)+(K34*'Frost Calculation'!$F$17/'Frost Calculation'!$E$17)+(L34*'Frost Calculation'!$F$18/'Frost Calculation'!$E$18)+M34*'Frost Calculation'!$F$19/'Frost Calculation'!$E$19</f>
        <v>16.946399391603599</v>
      </c>
      <c r="D34" s="43" t="s">
        <v>65</v>
      </c>
      <c r="E34" s="43">
        <v>94</v>
      </c>
      <c r="G34" s="43">
        <v>12</v>
      </c>
      <c r="I34" s="43">
        <v>12</v>
      </c>
      <c r="K34" s="43">
        <v>39</v>
      </c>
      <c r="L34" s="45">
        <v>0.01</v>
      </c>
      <c r="M34" s="45">
        <v>0</v>
      </c>
      <c r="T34" s="49" t="s">
        <v>466</v>
      </c>
    </row>
    <row r="35" spans="1:20" x14ac:dyDescent="0.25">
      <c r="A35" s="46">
        <v>23031</v>
      </c>
      <c r="B35" s="43" t="s">
        <v>418</v>
      </c>
      <c r="C35" s="56">
        <f>(I35*'Frost Calculation'!$F$20/'Frost Calculation'!$E$20)+(K35*'Frost Calculation'!$F$17/'Frost Calculation'!$E$17)+(L35*'Frost Calculation'!$F$18/'Frost Calculation'!$E$18)+M35*'Frost Calculation'!$F$19/'Frost Calculation'!$E$19</f>
        <v>16.137864745506533</v>
      </c>
      <c r="D35" s="43" t="s">
        <v>73</v>
      </c>
      <c r="E35" s="43">
        <v>0</v>
      </c>
      <c r="K35" s="43">
        <v>36</v>
      </c>
      <c r="L35" s="45">
        <v>0</v>
      </c>
      <c r="M35" s="45">
        <v>0.01</v>
      </c>
      <c r="T35" s="49" t="s">
        <v>470</v>
      </c>
    </row>
    <row r="36" spans="1:20" x14ac:dyDescent="0.25">
      <c r="A36" s="46">
        <v>16916</v>
      </c>
      <c r="B36" s="43" t="s">
        <v>172</v>
      </c>
      <c r="C36" s="56">
        <f>(I36*'Frost Calculation'!$F$20/'Frost Calculation'!$E$20)+(K36*'Frost Calculation'!$F$17/'Frost Calculation'!$E$17)+(L36*'Frost Calculation'!$F$18/'Frost Calculation'!$E$18)+M36*'Frost Calculation'!$F$19/'Frost Calculation'!$E$19</f>
        <v>15.009930072094354</v>
      </c>
      <c r="D36" s="43" t="s">
        <v>67</v>
      </c>
      <c r="E36" s="43">
        <v>116</v>
      </c>
      <c r="G36" s="43">
        <v>16</v>
      </c>
      <c r="I36" s="43">
        <v>26</v>
      </c>
      <c r="J36" s="43">
        <v>8</v>
      </c>
      <c r="K36" s="43">
        <v>32</v>
      </c>
      <c r="L36" s="45">
        <v>0.01</v>
      </c>
      <c r="M36" s="45">
        <v>0</v>
      </c>
      <c r="O36" s="43">
        <v>10</v>
      </c>
      <c r="Q36" s="43">
        <v>10</v>
      </c>
      <c r="T36" s="49" t="s">
        <v>477</v>
      </c>
    </row>
    <row r="37" spans="1:20" x14ac:dyDescent="0.25">
      <c r="A37" s="43">
        <v>16441</v>
      </c>
      <c r="B37" s="43" t="s">
        <v>330</v>
      </c>
      <c r="C37" s="56">
        <f>(I37*'Frost Calculation'!$F$20/'Frost Calculation'!$E$20)+(K37*'Frost Calculation'!$F$17/'Frost Calculation'!$E$17)+(L37*'Frost Calculation'!$F$18/'Frost Calculation'!$E$18)+M37*'Frost Calculation'!$F$19/'Frost Calculation'!$E$19</f>
        <v>14.99825756115702</v>
      </c>
      <c r="D37" s="43" t="s">
        <v>63</v>
      </c>
      <c r="E37" s="43">
        <v>162</v>
      </c>
      <c r="G37" s="43">
        <v>28</v>
      </c>
      <c r="I37" s="43">
        <v>17</v>
      </c>
      <c r="J37" s="43">
        <v>6</v>
      </c>
      <c r="K37" s="43">
        <v>33</v>
      </c>
      <c r="L37" s="45">
        <v>0.01</v>
      </c>
      <c r="M37" s="45">
        <v>0</v>
      </c>
      <c r="T37" s="49" t="s">
        <v>475</v>
      </c>
    </row>
    <row r="38" spans="1:20" x14ac:dyDescent="0.25">
      <c r="A38" s="43">
        <v>16443</v>
      </c>
      <c r="B38" s="43" t="s">
        <v>332</v>
      </c>
      <c r="C38" s="56">
        <f>(I38*'Frost Calculation'!$F$20/'Frost Calculation'!$E$20)+(K38*'Frost Calculation'!$F$17/'Frost Calculation'!$E$17)+(L38*'Frost Calculation'!$F$18/'Frost Calculation'!$E$18)+M38*'Frost Calculation'!$F$19/'Frost Calculation'!$E$19</f>
        <v>14.99825756115702</v>
      </c>
      <c r="D38" s="43" t="s">
        <v>67</v>
      </c>
      <c r="E38" s="43">
        <v>183</v>
      </c>
      <c r="G38" s="43">
        <v>28</v>
      </c>
      <c r="I38" s="43">
        <v>17</v>
      </c>
      <c r="J38" s="43">
        <v>6</v>
      </c>
      <c r="K38" s="43">
        <v>33</v>
      </c>
      <c r="L38" s="45">
        <v>0.01</v>
      </c>
      <c r="M38" s="45">
        <v>0</v>
      </c>
      <c r="T38" s="49" t="s">
        <v>476</v>
      </c>
    </row>
    <row r="39" spans="1:20" x14ac:dyDescent="0.25">
      <c r="A39" s="46">
        <v>22731</v>
      </c>
      <c r="B39" s="43" t="s">
        <v>409</v>
      </c>
      <c r="C39" s="56">
        <f>(I39*'Frost Calculation'!$F$20/'Frost Calculation'!$E$20)+(K39*'Frost Calculation'!$F$17/'Frost Calculation'!$E$17)+(L39*'Frost Calculation'!$F$18/'Frost Calculation'!$E$18)+M39*'Frost Calculation'!$F$19/'Frost Calculation'!$E$19</f>
        <v>14.395659333026341</v>
      </c>
      <c r="D39" s="43" t="s">
        <v>66</v>
      </c>
      <c r="E39" s="43">
        <v>66</v>
      </c>
      <c r="G39" s="43">
        <v>11</v>
      </c>
      <c r="I39" s="43">
        <v>10</v>
      </c>
      <c r="K39" s="43">
        <v>30</v>
      </c>
      <c r="L39" s="45">
        <v>0</v>
      </c>
      <c r="M39" s="45">
        <v>0.01</v>
      </c>
      <c r="T39" s="49" t="s">
        <v>481</v>
      </c>
    </row>
    <row r="40" spans="1:20" x14ac:dyDescent="0.25">
      <c r="A40" s="46">
        <v>21597</v>
      </c>
      <c r="B40" s="43" t="s">
        <v>406</v>
      </c>
      <c r="C40" s="56">
        <f>(I40*'Frost Calculation'!$F$20/'Frost Calculation'!$E$20)+(K40*'Frost Calculation'!$F$17/'Frost Calculation'!$E$17)+(L40*'Frost Calculation'!$F$18/'Frost Calculation'!$E$18)+M40*'Frost Calculation'!$F$19/'Frost Calculation'!$E$19</f>
        <v>13.214985009211457</v>
      </c>
      <c r="D40" s="43" t="s">
        <v>76</v>
      </c>
      <c r="E40" s="43">
        <v>0</v>
      </c>
      <c r="G40" s="43">
        <v>10</v>
      </c>
      <c r="I40" s="43">
        <v>9</v>
      </c>
      <c r="K40" s="43">
        <v>20</v>
      </c>
      <c r="L40" s="45">
        <v>0.01</v>
      </c>
      <c r="M40" s="45">
        <v>0.01</v>
      </c>
      <c r="T40" s="49" t="s">
        <v>499</v>
      </c>
    </row>
    <row r="41" spans="1:20" x14ac:dyDescent="0.25">
      <c r="A41" s="43">
        <v>22502</v>
      </c>
      <c r="B41" s="43" t="s">
        <v>357</v>
      </c>
      <c r="C41" s="56">
        <f>(I41*'Frost Calculation'!$F$20/'Frost Calculation'!$E$20)+(K41*'Frost Calculation'!$F$17/'Frost Calculation'!$E$17)+(L41*'Frost Calculation'!$F$18/'Frost Calculation'!$E$18)+M41*'Frost Calculation'!$F$19/'Frost Calculation'!$E$19</f>
        <v>14.130693369748069</v>
      </c>
      <c r="D41" s="43" t="s">
        <v>70</v>
      </c>
      <c r="E41" s="43">
        <v>75</v>
      </c>
      <c r="G41" s="43">
        <v>19</v>
      </c>
      <c r="I41" s="43">
        <v>21</v>
      </c>
      <c r="J41" s="43">
        <v>10</v>
      </c>
      <c r="K41" s="43">
        <v>28</v>
      </c>
      <c r="L41" s="45">
        <v>0</v>
      </c>
      <c r="M41" s="45">
        <v>0.01</v>
      </c>
      <c r="T41" s="49" t="s">
        <v>483</v>
      </c>
    </row>
    <row r="42" spans="1:20" x14ac:dyDescent="0.25">
      <c r="A42" s="43">
        <v>19145</v>
      </c>
      <c r="B42" s="43" t="s">
        <v>173</v>
      </c>
      <c r="C42" s="56">
        <f>(I42*'Frost Calculation'!$F$20/'Frost Calculation'!$E$20)+(K42*'Frost Calculation'!$F$17/'Frost Calculation'!$E$17)+(L42*'Frost Calculation'!$F$18/'Frost Calculation'!$E$18)+M42*'Frost Calculation'!$F$19/'Frost Calculation'!$E$19</f>
        <v>13.776395953748857</v>
      </c>
      <c r="D42" s="43" t="s">
        <v>67</v>
      </c>
      <c r="E42" s="43">
        <v>102</v>
      </c>
      <c r="G42" s="43">
        <v>10</v>
      </c>
      <c r="I42" s="43">
        <v>15</v>
      </c>
      <c r="J42" s="43">
        <v>10</v>
      </c>
      <c r="K42" s="43">
        <v>23</v>
      </c>
      <c r="L42" s="45">
        <v>0.02</v>
      </c>
      <c r="M42" s="45">
        <v>0</v>
      </c>
      <c r="T42" s="49" t="s">
        <v>491</v>
      </c>
    </row>
    <row r="43" spans="1:20" x14ac:dyDescent="0.25">
      <c r="A43" s="46">
        <v>23025</v>
      </c>
      <c r="B43" s="43" t="s">
        <v>424</v>
      </c>
      <c r="C43" s="56">
        <f>(I43*'Frost Calculation'!$F$20/'Frost Calculation'!$E$20)+(K43*'Frost Calculation'!$F$17/'Frost Calculation'!$E$17)+(L43*'Frost Calculation'!$F$18/'Frost Calculation'!$E$18)+M43*'Frost Calculation'!$F$19/'Frost Calculation'!$E$19</f>
        <v>13.203312498274123</v>
      </c>
      <c r="D43" s="43" t="s">
        <v>73</v>
      </c>
      <c r="E43" s="43">
        <v>0</v>
      </c>
      <c r="G43" s="43">
        <v>17</v>
      </c>
      <c r="K43" s="43">
        <v>21</v>
      </c>
      <c r="L43" s="45">
        <v>0.01</v>
      </c>
      <c r="M43" s="45">
        <v>0.01</v>
      </c>
      <c r="T43" s="49" t="s">
        <v>498</v>
      </c>
    </row>
    <row r="44" spans="1:20" x14ac:dyDescent="0.25">
      <c r="A44" s="43">
        <v>20034</v>
      </c>
      <c r="B44" s="43" t="s">
        <v>378</v>
      </c>
      <c r="C44" s="56">
        <f>(I44*'Frost Calculation'!$F$20/'Frost Calculation'!$E$20)+(K44*'Frost Calculation'!$F$17/'Frost Calculation'!$E$17)+(L44*'Frost Calculation'!$F$18/'Frost Calculation'!$E$18)+M44*'Frost Calculation'!$F$19/'Frost Calculation'!$E$19</f>
        <v>13.895242179125741</v>
      </c>
      <c r="D44" s="43" t="s">
        <v>67</v>
      </c>
      <c r="E44" s="43">
        <v>100</v>
      </c>
      <c r="G44" s="43">
        <v>23</v>
      </c>
      <c r="I44" s="43">
        <v>24</v>
      </c>
      <c r="K44" s="43">
        <v>27</v>
      </c>
      <c r="L44" s="45">
        <v>0</v>
      </c>
      <c r="M44" s="45">
        <v>0.01</v>
      </c>
      <c r="T44" s="49" t="s">
        <v>487</v>
      </c>
    </row>
    <row r="45" spans="1:20" x14ac:dyDescent="0.25">
      <c r="A45" s="46">
        <v>21344</v>
      </c>
      <c r="B45" s="43" t="s">
        <v>404</v>
      </c>
      <c r="C45" s="56">
        <f>(I45*'Frost Calculation'!$F$20/'Frost Calculation'!$E$20)+(K45*'Frost Calculation'!$F$17/'Frost Calculation'!$E$17)+(L45*'Frost Calculation'!$F$18/'Frost Calculation'!$E$18)+M45*'Frost Calculation'!$F$19/'Frost Calculation'!$E$19</f>
        <v>13.883569668188407</v>
      </c>
      <c r="D45" s="43" t="s">
        <v>72</v>
      </c>
      <c r="E45" s="43">
        <v>82</v>
      </c>
      <c r="G45" s="43">
        <v>15</v>
      </c>
      <c r="I45" s="43">
        <v>15</v>
      </c>
      <c r="J45" s="43">
        <v>6</v>
      </c>
      <c r="K45" s="43">
        <v>28</v>
      </c>
      <c r="L45" s="45">
        <v>0</v>
      </c>
      <c r="M45" s="45">
        <v>0.01</v>
      </c>
      <c r="N45" s="43">
        <v>4</v>
      </c>
      <c r="T45" s="49" t="s">
        <v>486</v>
      </c>
    </row>
    <row r="46" spans="1:20" x14ac:dyDescent="0.25">
      <c r="A46" s="48">
        <v>16915</v>
      </c>
      <c r="B46" s="44" t="s">
        <v>100</v>
      </c>
      <c r="C46" s="56">
        <f>(I46*'Frost Calculation'!$F$20/'Frost Calculation'!$E$20)+(K46*'Frost Calculation'!$F$17/'Frost Calculation'!$E$17)+(L46*'Frost Calculation'!$F$18/'Frost Calculation'!$E$18)+M46*'Frost Calculation'!$F$19/'Frost Calculation'!$E$19</f>
        <v>14.33309127288331</v>
      </c>
      <c r="D46" s="43" t="s">
        <v>71</v>
      </c>
      <c r="E46" s="43">
        <v>101</v>
      </c>
      <c r="G46" s="43">
        <v>16</v>
      </c>
      <c r="I46" s="43">
        <v>27</v>
      </c>
      <c r="J46" s="43">
        <v>5</v>
      </c>
      <c r="K46" s="43">
        <v>30</v>
      </c>
      <c r="L46" s="45">
        <v>0.01</v>
      </c>
      <c r="M46" s="45">
        <v>0</v>
      </c>
      <c r="O46" s="43">
        <v>10</v>
      </c>
      <c r="S46" s="43">
        <v>10</v>
      </c>
      <c r="T46" s="49" t="s">
        <v>482</v>
      </c>
    </row>
    <row r="47" spans="1:20" x14ac:dyDescent="0.25">
      <c r="A47" s="43">
        <v>21499</v>
      </c>
      <c r="B47" s="43" t="s">
        <v>361</v>
      </c>
      <c r="C47" s="56">
        <f>(I47*'Frost Calculation'!$F$20/'Frost Calculation'!$E$20)+(K47*'Frost Calculation'!$F$17/'Frost Calculation'!$E$17)+(L47*'Frost Calculation'!$F$18/'Frost Calculation'!$E$18)+M47*'Frost Calculation'!$F$19/'Frost Calculation'!$E$19</f>
        <v>14.515682668975028</v>
      </c>
      <c r="D47" s="43" t="s">
        <v>67</v>
      </c>
      <c r="E47" s="43">
        <v>102</v>
      </c>
      <c r="G47" s="43">
        <v>20</v>
      </c>
      <c r="I47" s="43">
        <v>14</v>
      </c>
      <c r="J47" s="43">
        <v>8</v>
      </c>
      <c r="K47" s="43">
        <v>32</v>
      </c>
      <c r="L47" s="45">
        <v>0.01</v>
      </c>
      <c r="M47" s="45">
        <v>0</v>
      </c>
      <c r="T47" s="49" t="s">
        <v>480</v>
      </c>
    </row>
    <row r="48" spans="1:20" x14ac:dyDescent="0.25">
      <c r="A48" s="43">
        <v>16442</v>
      </c>
      <c r="B48" s="43" t="s">
        <v>333</v>
      </c>
      <c r="C48" s="56">
        <f>(I48*'Frost Calculation'!$F$20/'Frost Calculation'!$E$20)+(K48*'Frost Calculation'!$F$17/'Frost Calculation'!$E$17)+(L48*'Frost Calculation'!$F$18/'Frost Calculation'!$E$18)+M48*'Frost Calculation'!$F$19/'Frost Calculation'!$E$19</f>
        <v>14.04478028773037</v>
      </c>
      <c r="D48" s="43" t="s">
        <v>71</v>
      </c>
      <c r="E48" s="43">
        <v>155</v>
      </c>
      <c r="G48" s="43">
        <v>26</v>
      </c>
      <c r="I48" s="43">
        <v>20</v>
      </c>
      <c r="J48" s="43">
        <v>10</v>
      </c>
      <c r="K48" s="43">
        <v>30</v>
      </c>
      <c r="L48" s="45">
        <v>0.01</v>
      </c>
      <c r="M48" s="45">
        <v>0</v>
      </c>
      <c r="T48" s="49" t="s">
        <v>484</v>
      </c>
    </row>
    <row r="49" spans="1:20" x14ac:dyDescent="0.25">
      <c r="A49" s="48">
        <v>14340</v>
      </c>
      <c r="B49" s="44" t="s">
        <v>96</v>
      </c>
      <c r="C49" s="56">
        <f>(I49*'Frost Calculation'!$F$20/'Frost Calculation'!$E$20)+(K49*'Frost Calculation'!$F$17/'Frost Calculation'!$E$17)+(L49*'Frost Calculation'!$F$18/'Frost Calculation'!$E$18)+M49*'Frost Calculation'!$F$19/'Frost Calculation'!$E$19</f>
        <v>15.437560780292914</v>
      </c>
      <c r="D49" s="43" t="s">
        <v>67</v>
      </c>
      <c r="E49" s="43">
        <v>88</v>
      </c>
      <c r="G49" s="43">
        <v>15</v>
      </c>
      <c r="K49" s="43">
        <v>43</v>
      </c>
      <c r="L49" s="45">
        <v>0</v>
      </c>
      <c r="M49" s="45">
        <v>0</v>
      </c>
      <c r="T49" s="49" t="s">
        <v>471</v>
      </c>
    </row>
    <row r="50" spans="1:20" x14ac:dyDescent="0.25">
      <c r="A50" s="46">
        <v>19165</v>
      </c>
      <c r="B50" s="43" t="s">
        <v>180</v>
      </c>
      <c r="C50" s="56">
        <f>(I50*'Frost Calculation'!$F$20/'Frost Calculation'!$E$20)+(K50*'Frost Calculation'!$F$17/'Frost Calculation'!$E$17)+(L50*'Frost Calculation'!$F$18/'Frost Calculation'!$E$18)+M50*'Frost Calculation'!$F$19/'Frost Calculation'!$E$19</f>
        <v>15.437560780292914</v>
      </c>
      <c r="D50" s="43" t="s">
        <v>71</v>
      </c>
      <c r="E50" s="43">
        <v>94</v>
      </c>
      <c r="G50" s="43">
        <v>21</v>
      </c>
      <c r="K50" s="43">
        <v>43</v>
      </c>
      <c r="L50" s="45">
        <v>0</v>
      </c>
      <c r="M50" s="45">
        <v>0</v>
      </c>
      <c r="O50" s="43">
        <v>16</v>
      </c>
      <c r="T50" s="49" t="s">
        <v>472</v>
      </c>
    </row>
    <row r="51" spans="1:20" x14ac:dyDescent="0.25">
      <c r="A51" s="43">
        <v>21527</v>
      </c>
      <c r="B51" s="43" t="s">
        <v>375</v>
      </c>
      <c r="C51" s="56">
        <f>(I51*'Frost Calculation'!$F$20/'Frost Calculation'!$E$20)+(K51*'Frost Calculation'!$F$17/'Frost Calculation'!$E$17)+(L51*'Frost Calculation'!$F$18/'Frost Calculation'!$E$18)+M51*'Frost Calculation'!$F$19/'Frost Calculation'!$E$19</f>
        <v>14.701692435769985</v>
      </c>
      <c r="D51" s="43" t="s">
        <v>67</v>
      </c>
      <c r="E51" s="43">
        <v>117</v>
      </c>
      <c r="G51" s="43">
        <v>17</v>
      </c>
      <c r="I51" s="43">
        <v>17</v>
      </c>
      <c r="K51" s="43">
        <v>39</v>
      </c>
      <c r="L51" s="45">
        <v>0</v>
      </c>
      <c r="M51" s="45">
        <v>0</v>
      </c>
      <c r="O51" s="43">
        <v>30</v>
      </c>
      <c r="T51" s="49" t="s">
        <v>478</v>
      </c>
    </row>
    <row r="52" spans="1:20" x14ac:dyDescent="0.25">
      <c r="A52" s="43">
        <v>23062</v>
      </c>
      <c r="B52" s="43" t="s">
        <v>360</v>
      </c>
      <c r="C52" s="56">
        <f>(I52*'Frost Calculation'!$F$20/'Frost Calculation'!$E$20)+(K52*'Frost Calculation'!$F$17/'Frost Calculation'!$E$17)+(L52*'Frost Calculation'!$F$18/'Frost Calculation'!$E$18)+M52*'Frost Calculation'!$F$19/'Frost Calculation'!$E$19</f>
        <v>13.632907451797596</v>
      </c>
      <c r="D52" s="43" t="s">
        <v>73</v>
      </c>
      <c r="E52" s="43">
        <v>0</v>
      </c>
      <c r="G52" s="43">
        <v>10</v>
      </c>
      <c r="I52" s="43">
        <v>10</v>
      </c>
      <c r="K52" s="43">
        <v>30</v>
      </c>
      <c r="L52" s="45">
        <v>0.01</v>
      </c>
      <c r="M52" s="45">
        <v>0</v>
      </c>
      <c r="T52" s="49" t="s">
        <v>490</v>
      </c>
    </row>
    <row r="53" spans="1:20" x14ac:dyDescent="0.25">
      <c r="A53" s="43">
        <v>22500</v>
      </c>
      <c r="B53" s="43" t="s">
        <v>359</v>
      </c>
      <c r="C53" s="56">
        <f>(I53*'Frost Calculation'!$F$20/'Frost Calculation'!$E$20)+(K53*'Frost Calculation'!$F$17/'Frost Calculation'!$E$17)+(L53*'Frost Calculation'!$F$18/'Frost Calculation'!$E$18)+M53*'Frost Calculation'!$F$19/'Frost Calculation'!$E$19</f>
        <v>13.244379637739494</v>
      </c>
      <c r="D53" s="43" t="s">
        <v>72</v>
      </c>
      <c r="E53" s="43">
        <v>89</v>
      </c>
      <c r="G53" s="43">
        <v>17</v>
      </c>
      <c r="I53" s="43">
        <v>18</v>
      </c>
      <c r="J53" s="43">
        <v>10</v>
      </c>
      <c r="K53" s="43">
        <v>28</v>
      </c>
      <c r="L53" s="45">
        <v>0.01</v>
      </c>
      <c r="M53" s="45">
        <v>0</v>
      </c>
      <c r="T53" s="49" t="s">
        <v>495</v>
      </c>
    </row>
    <row r="54" spans="1:20" x14ac:dyDescent="0.25">
      <c r="A54" s="43">
        <v>20070</v>
      </c>
      <c r="B54" s="43" t="s">
        <v>350</v>
      </c>
      <c r="C54" s="56">
        <f>(I54*'Frost Calculation'!$F$20/'Frost Calculation'!$E$20)+(K54*'Frost Calculation'!$F$17/'Frost Calculation'!$E$17)+(L54*'Frost Calculation'!$F$18/'Frost Calculation'!$E$18)+M54*'Frost Calculation'!$F$19/'Frost Calculation'!$E$19</f>
        <v>13.221034615864824</v>
      </c>
      <c r="D54" s="43" t="s">
        <v>75</v>
      </c>
      <c r="E54" s="43">
        <v>35</v>
      </c>
      <c r="G54" s="43">
        <v>8</v>
      </c>
      <c r="K54" s="43">
        <v>30</v>
      </c>
      <c r="L54" s="45">
        <v>0.01</v>
      </c>
      <c r="M54" s="45">
        <v>0</v>
      </c>
      <c r="T54" s="49" t="s">
        <v>494</v>
      </c>
    </row>
    <row r="55" spans="1:20" x14ac:dyDescent="0.25">
      <c r="A55" s="46">
        <v>23046</v>
      </c>
      <c r="B55" s="43" t="s">
        <v>431</v>
      </c>
      <c r="C55" s="56">
        <f>(I55*'Frost Calculation'!$F$20/'Frost Calculation'!$E$20)+(K55*'Frost Calculation'!$F$17/'Frost Calculation'!$E$17)+(L55*'Frost Calculation'!$F$18/'Frost Calculation'!$E$18)+M55*'Frost Calculation'!$F$19/'Frost Calculation'!$E$19</f>
        <v>14.360521656086432</v>
      </c>
      <c r="D55" s="43" t="s">
        <v>74</v>
      </c>
      <c r="E55" s="43">
        <v>0</v>
      </c>
      <c r="K55" s="43">
        <v>40</v>
      </c>
      <c r="L55" s="45">
        <v>0</v>
      </c>
      <c r="M55" s="45">
        <v>0</v>
      </c>
      <c r="T55" s="49" t="s">
        <v>479</v>
      </c>
    </row>
    <row r="56" spans="1:20" x14ac:dyDescent="0.25">
      <c r="A56" s="43">
        <v>22501</v>
      </c>
      <c r="B56" s="43" t="s">
        <v>356</v>
      </c>
      <c r="C56" s="56">
        <f>(I56*'Frost Calculation'!$F$20/'Frost Calculation'!$E$20)+(K56*'Frost Calculation'!$F$17/'Frost Calculation'!$E$17)+(L56*'Frost Calculation'!$F$18/'Frost Calculation'!$E$18)+M56*'Frost Calculation'!$F$19/'Frost Calculation'!$E$19</f>
        <v>13.707027878750058</v>
      </c>
      <c r="D56" s="43" t="s">
        <v>69</v>
      </c>
      <c r="E56" s="43">
        <v>83</v>
      </c>
      <c r="G56" s="43">
        <v>17</v>
      </c>
      <c r="I56" s="43">
        <v>19</v>
      </c>
      <c r="J56" s="43">
        <v>10</v>
      </c>
      <c r="K56" s="43">
        <v>36</v>
      </c>
      <c r="L56" s="45">
        <v>0</v>
      </c>
      <c r="M56" s="45">
        <v>0</v>
      </c>
      <c r="T56" s="49" t="s">
        <v>485</v>
      </c>
    </row>
    <row r="57" spans="1:20" x14ac:dyDescent="0.25">
      <c r="A57" s="43">
        <v>22499</v>
      </c>
      <c r="B57" s="43" t="s">
        <v>353</v>
      </c>
      <c r="C57" s="56">
        <f>(I57*'Frost Calculation'!$F$20/'Frost Calculation'!$E$20)+(K57*'Frost Calculation'!$F$17/'Frost Calculation'!$E$17)+(L57*'Frost Calculation'!$F$18/'Frost Calculation'!$E$18)+M57*'Frost Calculation'!$F$19/'Frost Calculation'!$E$19</f>
        <v>13.66584059515678</v>
      </c>
      <c r="D57" s="43" t="s">
        <v>65</v>
      </c>
      <c r="E57" s="43">
        <v>97</v>
      </c>
      <c r="G57" s="43">
        <v>17</v>
      </c>
      <c r="I57" s="43">
        <v>18</v>
      </c>
      <c r="J57" s="43">
        <v>9</v>
      </c>
      <c r="K57" s="43">
        <v>36</v>
      </c>
      <c r="L57" s="45">
        <v>0</v>
      </c>
      <c r="M57" s="45">
        <v>0</v>
      </c>
      <c r="T57" s="49" t="s">
        <v>488</v>
      </c>
    </row>
    <row r="58" spans="1:20" x14ac:dyDescent="0.25">
      <c r="A58" s="46">
        <v>21671</v>
      </c>
      <c r="B58" s="43" t="s">
        <v>402</v>
      </c>
      <c r="C58" s="56">
        <f>(I58*'Frost Calculation'!$F$20/'Frost Calculation'!$E$20)+(K58*'Frost Calculation'!$F$17/'Frost Calculation'!$E$17)+(L58*'Frost Calculation'!$F$18/'Frost Calculation'!$E$18)+M58*'Frost Calculation'!$F$19/'Frost Calculation'!$E$19</f>
        <v>13.624653311563502</v>
      </c>
      <c r="D58" s="43" t="s">
        <v>67</v>
      </c>
      <c r="E58" s="43">
        <v>116</v>
      </c>
      <c r="G58" s="43">
        <v>23</v>
      </c>
      <c r="I58" s="43">
        <v>17</v>
      </c>
      <c r="J58" s="43">
        <v>8</v>
      </c>
      <c r="K58" s="43">
        <v>36</v>
      </c>
      <c r="L58" s="45">
        <v>0</v>
      </c>
      <c r="M58" s="45">
        <v>0</v>
      </c>
      <c r="T58" s="49" t="s">
        <v>489</v>
      </c>
    </row>
    <row r="59" spans="1:20" x14ac:dyDescent="0.25">
      <c r="A59" s="43">
        <v>19857</v>
      </c>
      <c r="B59" s="43" t="s">
        <v>388</v>
      </c>
      <c r="C59" s="56">
        <f>(I59*'Frost Calculation'!$F$20/'Frost Calculation'!$E$20)+(K59*'Frost Calculation'!$F$17/'Frost Calculation'!$E$17)+(L59*'Frost Calculation'!$F$18/'Frost Calculation'!$E$18)+M59*'Frost Calculation'!$F$19/'Frost Calculation'!$E$19</f>
        <v>11.882568043211215</v>
      </c>
      <c r="D59" s="43" t="s">
        <v>66</v>
      </c>
      <c r="E59" s="43">
        <v>52</v>
      </c>
      <c r="I59" s="43">
        <v>10</v>
      </c>
      <c r="K59" s="43">
        <v>23</v>
      </c>
      <c r="L59" s="45">
        <v>0</v>
      </c>
      <c r="M59" s="45">
        <v>0.01</v>
      </c>
      <c r="T59" s="49" t="s">
        <v>509</v>
      </c>
    </row>
    <row r="60" spans="1:20" x14ac:dyDescent="0.25">
      <c r="A60" s="48">
        <v>16795</v>
      </c>
      <c r="B60" s="43" t="s">
        <v>113</v>
      </c>
      <c r="C60" s="56">
        <f>(I60*'Frost Calculation'!$F$20/'Frost Calculation'!$E$20)+(K60*'Frost Calculation'!$F$17/'Frost Calculation'!$E$17)+(L60*'Frost Calculation'!$F$18/'Frost Calculation'!$E$18)+M60*'Frost Calculation'!$F$19/'Frost Calculation'!$E$19</f>
        <v>11.505712740090448</v>
      </c>
      <c r="D60" s="43" t="s">
        <v>63</v>
      </c>
      <c r="E60" s="43">
        <v>83</v>
      </c>
      <c r="G60" s="43">
        <v>16</v>
      </c>
      <c r="I60" s="43">
        <v>27</v>
      </c>
      <c r="J60" s="43">
        <v>10</v>
      </c>
      <c r="K60" s="43">
        <v>20</v>
      </c>
      <c r="L60" s="45">
        <v>0</v>
      </c>
      <c r="M60" s="45">
        <v>0.01</v>
      </c>
      <c r="O60" s="43">
        <v>10</v>
      </c>
      <c r="T60" s="49" t="s">
        <v>512</v>
      </c>
    </row>
    <row r="61" spans="1:20" x14ac:dyDescent="0.25">
      <c r="A61" s="46">
        <v>21608</v>
      </c>
      <c r="B61" s="43" t="s">
        <v>407</v>
      </c>
      <c r="C61" s="56">
        <f>(I61*'Frost Calculation'!$F$20/'Frost Calculation'!$E$20)+(K61*'Frost Calculation'!$F$17/'Frost Calculation'!$E$17)+(L61*'Frost Calculation'!$F$18/'Frost Calculation'!$E$18)+M61*'Frost Calculation'!$F$19/'Frost Calculation'!$E$19</f>
        <v>12.349931909624727</v>
      </c>
      <c r="D61" s="43" t="s">
        <v>64</v>
      </c>
      <c r="E61" s="43">
        <v>0</v>
      </c>
      <c r="G61" s="43">
        <v>9</v>
      </c>
      <c r="I61" s="43">
        <v>5</v>
      </c>
      <c r="K61" s="43">
        <v>27</v>
      </c>
      <c r="L61" s="45">
        <v>0.01</v>
      </c>
      <c r="M61" s="45">
        <v>0</v>
      </c>
      <c r="T61" s="49" t="s">
        <v>505</v>
      </c>
    </row>
    <row r="62" spans="1:20" x14ac:dyDescent="0.25">
      <c r="A62" s="48">
        <v>19136</v>
      </c>
      <c r="B62" s="44" t="s">
        <v>99</v>
      </c>
      <c r="C62" s="56">
        <f>(I62*'Frost Calculation'!$F$20/'Frost Calculation'!$E$20)+(K62*'Frost Calculation'!$F$17/'Frost Calculation'!$E$17)+(L62*'Frost Calculation'!$F$18/'Frost Calculation'!$E$18)+M62*'Frost Calculation'!$F$19/'Frost Calculation'!$E$19</f>
        <v>12.084965946346456</v>
      </c>
      <c r="D62" s="43" t="s">
        <v>70</v>
      </c>
      <c r="E62" s="43">
        <v>61</v>
      </c>
      <c r="G62" s="43">
        <v>12</v>
      </c>
      <c r="I62" s="43">
        <v>16</v>
      </c>
      <c r="K62" s="43">
        <v>25</v>
      </c>
      <c r="L62" s="45">
        <v>0.01</v>
      </c>
      <c r="M62" s="45">
        <v>0</v>
      </c>
      <c r="T62" s="49" t="s">
        <v>508</v>
      </c>
    </row>
    <row r="63" spans="1:20" x14ac:dyDescent="0.25">
      <c r="A63" s="43">
        <v>16437</v>
      </c>
      <c r="B63" s="43" t="s">
        <v>335</v>
      </c>
      <c r="C63" s="56">
        <f>(I63*'Frost Calculation'!$F$20/'Frost Calculation'!$E$20)+(K63*'Frost Calculation'!$F$17/'Frost Calculation'!$E$17)+(L63*'Frost Calculation'!$F$18/'Frost Calculation'!$E$18)+M63*'Frost Calculation'!$F$19/'Frost Calculation'!$E$19</f>
        <v>11.329291094780004</v>
      </c>
      <c r="D63" s="43" t="s">
        <v>72</v>
      </c>
      <c r="E63" s="43">
        <v>115</v>
      </c>
      <c r="G63" s="43">
        <v>23</v>
      </c>
      <c r="I63" s="43">
        <v>14</v>
      </c>
      <c r="J63" s="43">
        <v>6</v>
      </c>
      <c r="K63" s="43">
        <v>21</v>
      </c>
      <c r="L63" s="45">
        <v>0</v>
      </c>
      <c r="M63" s="45">
        <v>0.01</v>
      </c>
      <c r="T63" s="49" t="s">
        <v>513</v>
      </c>
    </row>
    <row r="64" spans="1:20" x14ac:dyDescent="0.25">
      <c r="A64" s="46">
        <v>21600</v>
      </c>
      <c r="B64" s="43" t="s">
        <v>405</v>
      </c>
      <c r="C64" s="56">
        <f>(I64*'Frost Calculation'!$F$20/'Frost Calculation'!$E$20)+(K64*'Frost Calculation'!$F$17/'Frost Calculation'!$E$17)+(L64*'Frost Calculation'!$F$18/'Frost Calculation'!$E$18)+M64*'Frost Calculation'!$F$19/'Frost Calculation'!$E$19</f>
        <v>12.989001795945736</v>
      </c>
      <c r="D64" s="43" t="s">
        <v>72</v>
      </c>
      <c r="E64" s="43">
        <v>84</v>
      </c>
      <c r="G64" s="43">
        <v>18</v>
      </c>
      <c r="I64" s="43">
        <v>19</v>
      </c>
      <c r="K64" s="43">
        <v>34</v>
      </c>
      <c r="L64" s="45">
        <v>0</v>
      </c>
      <c r="M64" s="45">
        <v>0</v>
      </c>
      <c r="T64" s="49" t="s">
        <v>496</v>
      </c>
    </row>
    <row r="65" spans="1:20" x14ac:dyDescent="0.25">
      <c r="A65" s="47">
        <v>19374</v>
      </c>
      <c r="B65" s="43" t="s">
        <v>199</v>
      </c>
      <c r="C65" s="56">
        <f>(I65*'Frost Calculation'!$F$20/'Frost Calculation'!$E$20)+(K65*'Frost Calculation'!$F$17/'Frost Calculation'!$E$17)+(L65*'Frost Calculation'!$F$18/'Frost Calculation'!$E$18)+M65*'Frost Calculation'!$F$19/'Frost Calculation'!$E$19</f>
        <v>11.246916527593449</v>
      </c>
      <c r="D65" s="43" t="s">
        <v>68</v>
      </c>
      <c r="E65" s="43">
        <v>50</v>
      </c>
      <c r="G65" s="43">
        <v>9</v>
      </c>
      <c r="I65" s="43">
        <v>12</v>
      </c>
      <c r="K65" s="43">
        <v>21</v>
      </c>
      <c r="L65" s="45">
        <v>0</v>
      </c>
      <c r="M65" s="45">
        <v>0.01</v>
      </c>
      <c r="T65" s="49" t="s">
        <v>516</v>
      </c>
    </row>
    <row r="66" spans="1:20" x14ac:dyDescent="0.25">
      <c r="A66" s="47">
        <v>19403</v>
      </c>
      <c r="B66" t="s">
        <v>737</v>
      </c>
      <c r="C66" s="56">
        <f>(I66*'Frost Calculation'!$F$20/'Frost Calculation'!$E$20)+(K66*'Frost Calculation'!$F$17/'Frost Calculation'!$E$17)+(L66*'Frost Calculation'!$F$18/'Frost Calculation'!$E$18)+M66*'Frost Calculation'!$F$19/'Frost Calculation'!$E$19</f>
        <v>11.246916527593449</v>
      </c>
      <c r="D66" t="s">
        <v>73</v>
      </c>
      <c r="E66">
        <v>0</v>
      </c>
      <c r="F66"/>
      <c r="G66">
        <v>9</v>
      </c>
      <c r="H66"/>
      <c r="I66">
        <v>12</v>
      </c>
      <c r="J66"/>
      <c r="K66">
        <v>21</v>
      </c>
      <c r="L66" s="1">
        <v>0</v>
      </c>
      <c r="M66" s="1">
        <v>0.01</v>
      </c>
      <c r="N66"/>
      <c r="O66"/>
      <c r="P66"/>
      <c r="Q66"/>
      <c r="R66"/>
      <c r="S66"/>
      <c r="T66" s="49" t="s">
        <v>738</v>
      </c>
    </row>
    <row r="67" spans="1:20" x14ac:dyDescent="0.25">
      <c r="A67" s="47">
        <v>19400</v>
      </c>
      <c r="B67" s="43" t="s">
        <v>202</v>
      </c>
      <c r="C67" s="56">
        <f>(I67*'Frost Calculation'!$F$20/'Frost Calculation'!$E$20)+(K67*'Frost Calculation'!$F$17/'Frost Calculation'!$E$17)+(L67*'Frost Calculation'!$F$18/'Frost Calculation'!$E$18)+M67*'Frost Calculation'!$F$19/'Frost Calculation'!$E$19</f>
        <v>13.059703852194955</v>
      </c>
      <c r="D67" s="43" t="s">
        <v>70</v>
      </c>
      <c r="E67" s="43">
        <v>64</v>
      </c>
      <c r="G67" s="43">
        <v>12</v>
      </c>
      <c r="I67" s="43">
        <v>12</v>
      </c>
      <c r="K67" s="43">
        <v>35</v>
      </c>
      <c r="L67" s="45">
        <v>0</v>
      </c>
      <c r="M67" s="45">
        <v>0</v>
      </c>
      <c r="N67" s="43">
        <v>5</v>
      </c>
      <c r="T67" s="49" t="s">
        <v>493</v>
      </c>
    </row>
    <row r="68" spans="1:20" x14ac:dyDescent="0.25">
      <c r="A68" s="46">
        <v>23069</v>
      </c>
      <c r="B68" s="43" t="s">
        <v>436</v>
      </c>
      <c r="C68" s="56">
        <f>(I68*'Frost Calculation'!$F$20/'Frost Calculation'!$E$20)+(K68*'Frost Calculation'!$F$17/'Frost Calculation'!$E$17)+(L68*'Frost Calculation'!$F$18/'Frost Calculation'!$E$18)+M68*'Frost Calculation'!$F$19/'Frost Calculation'!$E$19</f>
        <v>13.283482531879949</v>
      </c>
      <c r="D68" s="43" t="s">
        <v>67</v>
      </c>
      <c r="E68" s="43">
        <v>448</v>
      </c>
      <c r="G68" s="43">
        <v>32</v>
      </c>
      <c r="K68" s="43">
        <v>37</v>
      </c>
      <c r="L68" s="45">
        <v>0</v>
      </c>
      <c r="M68" s="45">
        <v>0</v>
      </c>
      <c r="T68" s="49" t="s">
        <v>492</v>
      </c>
    </row>
    <row r="69" spans="1:20" x14ac:dyDescent="0.25">
      <c r="A69" s="46">
        <v>19370</v>
      </c>
      <c r="B69" s="43" t="s">
        <v>175</v>
      </c>
      <c r="C69" s="56">
        <f>(I69*'Frost Calculation'!$F$20/'Frost Calculation'!$E$20)+(K69*'Frost Calculation'!$F$17/'Frost Calculation'!$E$17)+(L69*'Frost Calculation'!$F$18/'Frost Calculation'!$E$18)+M69*'Frost Calculation'!$F$19/'Frost Calculation'!$E$19</f>
        <v>12.865439945165903</v>
      </c>
      <c r="D69" s="43" t="s">
        <v>65</v>
      </c>
      <c r="E69" s="43">
        <v>84</v>
      </c>
      <c r="G69" s="43">
        <v>12</v>
      </c>
      <c r="I69" s="43">
        <v>16</v>
      </c>
      <c r="K69" s="43">
        <v>34</v>
      </c>
      <c r="L69" s="45">
        <v>0</v>
      </c>
      <c r="M69" s="45">
        <v>0</v>
      </c>
      <c r="T69" s="49" t="s">
        <v>497</v>
      </c>
    </row>
    <row r="70" spans="1:20" x14ac:dyDescent="0.25">
      <c r="A70" s="48">
        <v>16914</v>
      </c>
      <c r="B70" s="43" t="s">
        <v>168</v>
      </c>
      <c r="C70" s="56">
        <f>(I70*'Frost Calculation'!$F$20/'Frost Calculation'!$E$20)+(K70*'Frost Calculation'!$F$17/'Frost Calculation'!$E$17)+(L70*'Frost Calculation'!$F$18/'Frost Calculation'!$E$18)+M70*'Frost Calculation'!$F$19/'Frost Calculation'!$E$19</f>
        <v>12.559286698294354</v>
      </c>
      <c r="D70" s="43" t="s">
        <v>63</v>
      </c>
      <c r="E70" s="43">
        <v>94</v>
      </c>
      <c r="G70" s="43">
        <v>17</v>
      </c>
      <c r="I70" s="43">
        <v>26</v>
      </c>
      <c r="J70" s="43">
        <v>7</v>
      </c>
      <c r="K70" s="43">
        <v>32</v>
      </c>
      <c r="L70" s="45">
        <v>0</v>
      </c>
      <c r="M70" s="45">
        <v>0</v>
      </c>
      <c r="N70" s="43">
        <v>4</v>
      </c>
      <c r="P70" s="43">
        <v>10</v>
      </c>
      <c r="R70" s="43">
        <v>10</v>
      </c>
      <c r="T70" s="49" t="s">
        <v>503</v>
      </c>
    </row>
    <row r="71" spans="1:20" x14ac:dyDescent="0.25">
      <c r="A71" s="46">
        <v>23057</v>
      </c>
      <c r="B71" s="43" t="s">
        <v>433</v>
      </c>
      <c r="C71" s="56">
        <f>(I71*'Frost Calculation'!$F$20/'Frost Calculation'!$E$20)+(K71*'Frost Calculation'!$F$17/'Frost Calculation'!$E$17)+(L71*'Frost Calculation'!$F$18/'Frost Calculation'!$E$18)+M71*'Frost Calculation'!$F$19/'Frost Calculation'!$E$19</f>
        <v>10.574793353785353</v>
      </c>
      <c r="D71" s="43" t="s">
        <v>64</v>
      </c>
      <c r="E71" s="43">
        <v>0</v>
      </c>
      <c r="G71" s="43">
        <v>9</v>
      </c>
      <c r="I71" s="43">
        <v>7</v>
      </c>
      <c r="K71" s="43">
        <v>15</v>
      </c>
      <c r="L71" s="45">
        <v>0.02</v>
      </c>
      <c r="M71" s="45">
        <v>0</v>
      </c>
      <c r="T71" s="49" t="s">
        <v>531</v>
      </c>
    </row>
    <row r="72" spans="1:20" x14ac:dyDescent="0.25">
      <c r="A72" s="43">
        <v>19864</v>
      </c>
      <c r="B72" s="43" t="s">
        <v>391</v>
      </c>
      <c r="C72" s="56">
        <f>(I72*'Frost Calculation'!$F$20/'Frost Calculation'!$E$20)+(K72*'Frost Calculation'!$F$17/'Frost Calculation'!$E$17)+(L72*'Frost Calculation'!$F$18/'Frost Calculation'!$E$18)+M72*'Frost Calculation'!$F$19/'Frost Calculation'!$E$19</f>
        <v>12.465239620170465</v>
      </c>
      <c r="D72" s="43" t="s">
        <v>75</v>
      </c>
      <c r="G72" s="43">
        <v>12</v>
      </c>
      <c r="I72" s="43">
        <v>15</v>
      </c>
      <c r="K72" s="43">
        <v>33</v>
      </c>
      <c r="L72" s="45">
        <v>0</v>
      </c>
      <c r="M72" s="45">
        <v>0</v>
      </c>
      <c r="T72" s="49" t="s">
        <v>504</v>
      </c>
    </row>
    <row r="73" spans="1:20" x14ac:dyDescent="0.25">
      <c r="A73" s="48">
        <v>19310</v>
      </c>
      <c r="B73" s="44" t="s">
        <v>105</v>
      </c>
      <c r="C73" s="56">
        <f>(I73*'Frost Calculation'!$F$20/'Frost Calculation'!$E$20)+(K73*'Frost Calculation'!$F$17/'Frost Calculation'!$E$17)+(L73*'Frost Calculation'!$F$18/'Frost Calculation'!$E$18)+M73*'Frost Calculation'!$F$19/'Frost Calculation'!$E$19</f>
        <v>12.577128960012962</v>
      </c>
      <c r="D73" s="43" t="s">
        <v>76</v>
      </c>
      <c r="E73" s="43">
        <v>0</v>
      </c>
      <c r="I73" s="43">
        <v>9</v>
      </c>
      <c r="K73" s="43">
        <v>34</v>
      </c>
      <c r="L73" s="45">
        <v>0</v>
      </c>
      <c r="M73" s="45">
        <v>0</v>
      </c>
      <c r="T73" s="49" t="s">
        <v>500</v>
      </c>
    </row>
    <row r="74" spans="1:20" x14ac:dyDescent="0.25">
      <c r="A74" s="47">
        <v>18534</v>
      </c>
      <c r="B74" s="43" t="s">
        <v>251</v>
      </c>
      <c r="C74" s="56">
        <f>(I74*'Frost Calculation'!$F$20/'Frost Calculation'!$E$20)+(K74*'Frost Calculation'!$F$17/'Frost Calculation'!$E$17)+(L74*'Frost Calculation'!$F$18/'Frost Calculation'!$E$18)+M74*'Frost Calculation'!$F$19/'Frost Calculation'!$E$19</f>
        <v>11.284565296355581</v>
      </c>
      <c r="D74" s="43" t="s">
        <v>111</v>
      </c>
      <c r="G74" s="43">
        <v>11</v>
      </c>
      <c r="I74" s="43">
        <v>14</v>
      </c>
      <c r="J74" s="43">
        <v>7</v>
      </c>
      <c r="K74" s="43">
        <v>23</v>
      </c>
      <c r="L74" s="45">
        <v>0.01</v>
      </c>
      <c r="M74" s="45">
        <v>0</v>
      </c>
      <c r="T74" s="49" t="s">
        <v>515</v>
      </c>
    </row>
    <row r="75" spans="1:20" x14ac:dyDescent="0.25">
      <c r="A75" s="47">
        <v>13170</v>
      </c>
      <c r="B75" s="43" t="s">
        <v>273</v>
      </c>
      <c r="C75" s="56">
        <f>(I75*'Frost Calculation'!$F$20/'Frost Calculation'!$E$20)+(K75*'Frost Calculation'!$F$17/'Frost Calculation'!$E$17)+(L75*'Frost Calculation'!$F$18/'Frost Calculation'!$E$18)+M75*'Frost Calculation'!$F$19/'Frost Calculation'!$E$19</f>
        <v>12.535941676419686</v>
      </c>
      <c r="D75" s="43" t="s">
        <v>71</v>
      </c>
      <c r="E75" s="43">
        <v>75</v>
      </c>
      <c r="G75" s="43">
        <v>8</v>
      </c>
      <c r="I75" s="43">
        <v>8</v>
      </c>
      <c r="K75" s="43">
        <v>34</v>
      </c>
      <c r="L75" s="45">
        <v>0</v>
      </c>
      <c r="M75" s="45">
        <v>0</v>
      </c>
      <c r="T75" s="49" t="s">
        <v>501</v>
      </c>
    </row>
    <row r="76" spans="1:20" x14ac:dyDescent="0.25">
      <c r="A76" s="48">
        <v>18814</v>
      </c>
      <c r="B76" s="44" t="s">
        <v>93</v>
      </c>
      <c r="C76" s="56">
        <f>(I76*'Frost Calculation'!$F$20/'Frost Calculation'!$E$20)+(K76*'Frost Calculation'!$F$17/'Frost Calculation'!$E$17)+(L76*'Frost Calculation'!$F$18/'Frost Calculation'!$E$18)+M76*'Frost Calculation'!$F$19/'Frost Calculation'!$E$19</f>
        <v>12.494754392826408</v>
      </c>
      <c r="D76" s="43" t="s">
        <v>64</v>
      </c>
      <c r="E76" s="43">
        <v>0</v>
      </c>
      <c r="G76" s="43">
        <v>7</v>
      </c>
      <c r="I76" s="43">
        <v>7</v>
      </c>
      <c r="K76" s="43">
        <v>34</v>
      </c>
      <c r="L76" s="45">
        <v>0</v>
      </c>
      <c r="M76" s="45">
        <v>0</v>
      </c>
      <c r="T76" s="49" t="s">
        <v>502</v>
      </c>
    </row>
    <row r="77" spans="1:20" x14ac:dyDescent="0.25">
      <c r="A77" s="46">
        <v>21836</v>
      </c>
      <c r="B77" s="43" t="s">
        <v>415</v>
      </c>
      <c r="C77" s="56">
        <f>(I77*'Frost Calculation'!$F$20/'Frost Calculation'!$E$20)+(K77*'Frost Calculation'!$F$17/'Frost Calculation'!$E$17)+(L77*'Frost Calculation'!$F$18/'Frost Calculation'!$E$18)+M77*'Frost Calculation'!$F$19/'Frost Calculation'!$E$19</f>
        <v>11.425969408854019</v>
      </c>
      <c r="D77" s="43" t="s">
        <v>73</v>
      </c>
      <c r="E77" s="43">
        <v>0</v>
      </c>
      <c r="G77" s="43">
        <v>6</v>
      </c>
      <c r="K77" s="43">
        <v>25</v>
      </c>
      <c r="L77" s="45">
        <v>0.01</v>
      </c>
      <c r="M77" s="45">
        <v>0</v>
      </c>
      <c r="T77" s="49" t="s">
        <v>511</v>
      </c>
    </row>
    <row r="78" spans="1:20" x14ac:dyDescent="0.25">
      <c r="A78" s="43">
        <v>20258</v>
      </c>
      <c r="B78" s="43" t="s">
        <v>395</v>
      </c>
      <c r="C78" s="56">
        <f>(I78*'Frost Calculation'!$F$20/'Frost Calculation'!$E$20)+(K78*'Frost Calculation'!$F$17/'Frost Calculation'!$E$17)+(L78*'Frost Calculation'!$F$18/'Frost Calculation'!$E$18)+M78*'Frost Calculation'!$F$19/'Frost Calculation'!$E$19</f>
        <v>12.147413862361581</v>
      </c>
      <c r="D78" s="43" t="s">
        <v>111</v>
      </c>
      <c r="G78" s="43">
        <v>13</v>
      </c>
      <c r="I78" s="43">
        <v>16</v>
      </c>
      <c r="K78" s="43">
        <v>32</v>
      </c>
      <c r="L78" s="45">
        <v>0</v>
      </c>
      <c r="M78" s="45">
        <v>0</v>
      </c>
      <c r="T78" s="49" t="s">
        <v>506</v>
      </c>
    </row>
    <row r="79" spans="1:20" x14ac:dyDescent="0.25">
      <c r="A79" s="43">
        <v>23318</v>
      </c>
      <c r="B79" s="43" t="s">
        <v>336</v>
      </c>
      <c r="C79" s="56">
        <f>(I79*'Frost Calculation'!$F$20/'Frost Calculation'!$E$20)+(K79*'Frost Calculation'!$F$17/'Frost Calculation'!$E$17)+(L79*'Frost Calculation'!$F$18/'Frost Calculation'!$E$18)+M79*'Frost Calculation'!$F$19/'Frost Calculation'!$E$19</f>
        <v>10.731288347924368</v>
      </c>
      <c r="D79" s="43" t="s">
        <v>63</v>
      </c>
      <c r="E79" s="43">
        <v>141</v>
      </c>
      <c r="G79" s="43">
        <v>19</v>
      </c>
      <c r="I79" s="43">
        <v>18</v>
      </c>
      <c r="J79" s="43">
        <v>6</v>
      </c>
      <c r="K79" s="43">
        <v>21</v>
      </c>
      <c r="L79" s="45">
        <v>0.01</v>
      </c>
      <c r="M79" s="45">
        <v>0</v>
      </c>
      <c r="T79" s="49" t="s">
        <v>522</v>
      </c>
    </row>
    <row r="80" spans="1:20" x14ac:dyDescent="0.25">
      <c r="A80" s="43">
        <v>19891</v>
      </c>
      <c r="B80" s="43" t="s">
        <v>386</v>
      </c>
      <c r="C80" s="56">
        <f>(I80*'Frost Calculation'!$F$20/'Frost Calculation'!$E$20)+(K80*'Frost Calculation'!$F$17/'Frost Calculation'!$E$17)+(L80*'Frost Calculation'!$F$18/'Frost Calculation'!$E$18)+M80*'Frost Calculation'!$F$19/'Frost Calculation'!$E$19</f>
        <v>10.12869011979369</v>
      </c>
      <c r="D80" s="43" t="s">
        <v>76</v>
      </c>
      <c r="E80" s="43">
        <v>0</v>
      </c>
      <c r="G80" s="43">
        <v>8</v>
      </c>
      <c r="I80" s="43">
        <v>11</v>
      </c>
      <c r="K80" s="43">
        <v>18</v>
      </c>
      <c r="L80" s="45">
        <v>0</v>
      </c>
      <c r="M80" s="45">
        <v>0.01</v>
      </c>
      <c r="T80" s="49" t="s">
        <v>537</v>
      </c>
    </row>
    <row r="81" spans="1:20" x14ac:dyDescent="0.25">
      <c r="A81" s="46">
        <v>16796</v>
      </c>
      <c r="B81" s="43" t="s">
        <v>187</v>
      </c>
      <c r="C81" s="56">
        <f>(I81*'Frost Calculation'!$F$20/'Frost Calculation'!$E$20)+(K81*'Frost Calculation'!$F$17/'Frost Calculation'!$E$17)+(L81*'Frost Calculation'!$F$18/'Frost Calculation'!$E$18)+M81*'Frost Calculation'!$F$19/'Frost Calculation'!$E$19</f>
        <v>10.578211724488595</v>
      </c>
      <c r="D81" s="43" t="s">
        <v>71</v>
      </c>
      <c r="E81" s="43">
        <v>89</v>
      </c>
      <c r="G81" s="43">
        <v>18</v>
      </c>
      <c r="I81" s="43">
        <v>23</v>
      </c>
      <c r="J81" s="43">
        <v>10</v>
      </c>
      <c r="K81" s="43">
        <v>20</v>
      </c>
      <c r="L81" s="45">
        <v>0.01</v>
      </c>
      <c r="M81" s="45">
        <v>0</v>
      </c>
      <c r="R81" s="43">
        <v>10</v>
      </c>
      <c r="T81" s="49" t="s">
        <v>528</v>
      </c>
    </row>
    <row r="82" spans="1:20" x14ac:dyDescent="0.25">
      <c r="A82" s="43">
        <v>23305</v>
      </c>
      <c r="B82" s="43" t="s">
        <v>338</v>
      </c>
      <c r="C82" s="56">
        <f>(I82*'Frost Calculation'!$F$20/'Frost Calculation'!$E$20)+(K82*'Frost Calculation'!$F$17/'Frost Calculation'!$E$17)+(L82*'Frost Calculation'!$F$18/'Frost Calculation'!$E$18)+M82*'Frost Calculation'!$F$19/'Frost Calculation'!$E$19</f>
        <v>10.690101064331092</v>
      </c>
      <c r="D82" s="43" t="s">
        <v>67</v>
      </c>
      <c r="E82" s="43">
        <v>156</v>
      </c>
      <c r="G82" s="43">
        <v>18</v>
      </c>
      <c r="I82" s="43">
        <v>17</v>
      </c>
      <c r="J82" s="43">
        <v>5</v>
      </c>
      <c r="K82" s="43">
        <v>21</v>
      </c>
      <c r="L82" s="45">
        <v>0.01</v>
      </c>
      <c r="M82" s="45">
        <v>0</v>
      </c>
      <c r="T82" s="49" t="s">
        <v>524</v>
      </c>
    </row>
    <row r="83" spans="1:20" x14ac:dyDescent="0.25">
      <c r="A83" s="43">
        <v>23304</v>
      </c>
      <c r="B83" s="43" t="s">
        <v>339</v>
      </c>
      <c r="C83" s="56">
        <f>(I83*'Frost Calculation'!$F$20/'Frost Calculation'!$E$20)+(K83*'Frost Calculation'!$F$17/'Frost Calculation'!$E$17)+(L83*'Frost Calculation'!$F$18/'Frost Calculation'!$E$18)+M83*'Frost Calculation'!$F$19/'Frost Calculation'!$E$19</f>
        <v>10.690101064331092</v>
      </c>
      <c r="D83" s="43" t="s">
        <v>71</v>
      </c>
      <c r="E83" s="43">
        <v>144</v>
      </c>
      <c r="G83" s="43">
        <v>18</v>
      </c>
      <c r="I83" s="43">
        <v>17</v>
      </c>
      <c r="J83" s="43">
        <v>5</v>
      </c>
      <c r="K83" s="43">
        <v>21</v>
      </c>
      <c r="L83" s="45">
        <v>0.01</v>
      </c>
      <c r="M83" s="45">
        <v>0</v>
      </c>
      <c r="T83" s="49" t="s">
        <v>525</v>
      </c>
    </row>
    <row r="84" spans="1:20" x14ac:dyDescent="0.25">
      <c r="A84" s="48">
        <v>19147</v>
      </c>
      <c r="B84" s="44" t="s">
        <v>101</v>
      </c>
      <c r="C84" s="56">
        <f>(I84*'Frost Calculation'!$F$20/'Frost Calculation'!$E$20)+(K84*'Frost Calculation'!$F$17/'Frost Calculation'!$E$17)+(L84*'Frost Calculation'!$F$18/'Frost Calculation'!$E$18)+M84*'Frost Calculation'!$F$19/'Frost Calculation'!$E$19</f>
        <v>11.847430366271306</v>
      </c>
      <c r="D84" s="43" t="s">
        <v>73</v>
      </c>
      <c r="E84" s="43">
        <v>0</v>
      </c>
      <c r="K84" s="43">
        <v>33</v>
      </c>
      <c r="L84" s="45">
        <v>0</v>
      </c>
      <c r="M84" s="45">
        <v>0</v>
      </c>
      <c r="T84" s="49" t="s">
        <v>507</v>
      </c>
    </row>
    <row r="85" spans="1:20" x14ac:dyDescent="0.25">
      <c r="A85" s="43">
        <v>23021</v>
      </c>
      <c r="B85" s="43" t="s">
        <v>423</v>
      </c>
      <c r="C85" s="56">
        <f>(I85*'Frost Calculation'!$F$20/'Frost Calculation'!$E$20)+(K85*'Frost Calculation'!$F$17/'Frost Calculation'!$E$17)+(L85*'Frost Calculation'!$F$18/'Frost Calculation'!$E$18)+M85*'Frost Calculation'!$F$19/'Frost Calculation'!$E$19</f>
        <v>10.442977362771426</v>
      </c>
      <c r="D85" s="43" t="s">
        <v>68</v>
      </c>
      <c r="E85" s="43">
        <v>55</v>
      </c>
      <c r="G85" s="43">
        <v>14</v>
      </c>
      <c r="I85" s="43">
        <v>11</v>
      </c>
      <c r="K85" s="43">
        <v>21</v>
      </c>
      <c r="L85" s="45">
        <v>0.01</v>
      </c>
      <c r="M85" s="45">
        <v>0</v>
      </c>
      <c r="T85" s="49" t="s">
        <v>535</v>
      </c>
    </row>
    <row r="86" spans="1:20" x14ac:dyDescent="0.25">
      <c r="A86" s="47">
        <v>16913</v>
      </c>
      <c r="B86" s="43" t="s">
        <v>201</v>
      </c>
      <c r="C86" s="56">
        <f>(I86*'Frost Calculation'!$F$20/'Frost Calculation'!$E$20)+(K86*'Frost Calculation'!$F$17/'Frost Calculation'!$E$17)+(L86*'Frost Calculation'!$F$18/'Frost Calculation'!$E$18)+M86*'Frost Calculation'!$F$19/'Frost Calculation'!$E$19</f>
        <v>10.289900739335653</v>
      </c>
      <c r="D86" s="43" t="s">
        <v>69</v>
      </c>
      <c r="E86" s="43">
        <v>72</v>
      </c>
      <c r="G86" s="43">
        <v>16</v>
      </c>
      <c r="I86" s="43">
        <v>16</v>
      </c>
      <c r="J86" s="43">
        <v>6</v>
      </c>
      <c r="K86" s="43">
        <v>20</v>
      </c>
      <c r="L86" s="45">
        <v>0.01</v>
      </c>
      <c r="M86" s="45">
        <v>0</v>
      </c>
      <c r="R86" s="43">
        <v>10</v>
      </c>
      <c r="T86" s="49" t="s">
        <v>533</v>
      </c>
    </row>
    <row r="87" spans="1:20" x14ac:dyDescent="0.25">
      <c r="A87" s="43">
        <v>21471</v>
      </c>
      <c r="B87" s="43" t="s">
        <v>363</v>
      </c>
      <c r="C87" s="56">
        <f>(I87*'Frost Calculation'!$F$20/'Frost Calculation'!$E$20)+(K87*'Frost Calculation'!$F$17/'Frost Calculation'!$E$17)+(L87*'Frost Calculation'!$F$18/'Frost Calculation'!$E$18)+M87*'Frost Calculation'!$F$19/'Frost Calculation'!$E$19</f>
        <v>10.319415511991595</v>
      </c>
      <c r="D87" s="43" t="s">
        <v>76</v>
      </c>
      <c r="E87" s="43">
        <v>0</v>
      </c>
      <c r="G87" s="43">
        <v>8</v>
      </c>
      <c r="I87" s="43">
        <v>8</v>
      </c>
      <c r="K87" s="43">
        <v>21</v>
      </c>
      <c r="L87" s="45">
        <v>0.01</v>
      </c>
      <c r="M87" s="45">
        <v>0</v>
      </c>
      <c r="T87" s="49" t="s">
        <v>532</v>
      </c>
    </row>
    <row r="88" spans="1:20" x14ac:dyDescent="0.25">
      <c r="A88" s="43">
        <v>19897</v>
      </c>
      <c r="B88" s="43" t="s">
        <v>385</v>
      </c>
      <c r="C88" s="56">
        <f>(I88*'Frost Calculation'!$F$20/'Frost Calculation'!$E$20)+(K88*'Frost Calculation'!$F$17/'Frost Calculation'!$E$17)+(L88*'Frost Calculation'!$F$18/'Frost Calculation'!$E$18)+M88*'Frost Calculation'!$F$19/'Frost Calculation'!$E$19</f>
        <v>11.264638645184151</v>
      </c>
      <c r="D88" s="43" t="s">
        <v>72</v>
      </c>
      <c r="E88" s="43">
        <v>69</v>
      </c>
      <c r="G88" s="43">
        <v>8</v>
      </c>
      <c r="I88" s="43">
        <v>12</v>
      </c>
      <c r="J88" s="43">
        <v>12</v>
      </c>
      <c r="K88" s="43">
        <v>30</v>
      </c>
      <c r="L88" s="45">
        <v>0</v>
      </c>
      <c r="M88" s="45">
        <v>0</v>
      </c>
      <c r="T88" s="49" t="s">
        <v>510</v>
      </c>
    </row>
    <row r="89" spans="1:20" x14ac:dyDescent="0.25">
      <c r="A89" s="47">
        <v>19388</v>
      </c>
      <c r="B89" s="43" t="s">
        <v>205</v>
      </c>
      <c r="C89" s="56">
        <f>(I89*'Frost Calculation'!$F$20/'Frost Calculation'!$E$20)+(K89*'Frost Calculation'!$F$17/'Frost Calculation'!$E$17)+(L89*'Frost Calculation'!$F$18/'Frost Calculation'!$E$18)+M89*'Frost Calculation'!$F$19/'Frost Calculation'!$E$19</f>
        <v>7.2505361819230378</v>
      </c>
      <c r="D89" s="43" t="s">
        <v>70</v>
      </c>
      <c r="E89" s="43">
        <v>66</v>
      </c>
      <c r="G89" s="43">
        <v>17</v>
      </c>
      <c r="I89" s="43">
        <v>20</v>
      </c>
      <c r="J89" s="43">
        <v>13</v>
      </c>
      <c r="K89" s="43">
        <v>0</v>
      </c>
      <c r="L89" s="45">
        <v>0</v>
      </c>
      <c r="M89" s="45">
        <v>0.02</v>
      </c>
      <c r="T89" s="49" t="s">
        <v>577</v>
      </c>
    </row>
    <row r="90" spans="1:20" x14ac:dyDescent="0.25">
      <c r="A90" s="43">
        <v>19895</v>
      </c>
      <c r="B90" s="43" t="s">
        <v>384</v>
      </c>
      <c r="C90" s="56">
        <f>(I90*'Frost Calculation'!$F$20/'Frost Calculation'!$E$20)+(K90*'Frost Calculation'!$F$17/'Frost Calculation'!$E$17)+(L90*'Frost Calculation'!$F$18/'Frost Calculation'!$E$18)+M90*'Frost Calculation'!$F$19/'Frost Calculation'!$E$19</f>
        <v>10.876110831126049</v>
      </c>
      <c r="D90" s="43" t="s">
        <v>71</v>
      </c>
      <c r="E90" s="43">
        <v>87</v>
      </c>
      <c r="G90" s="43">
        <v>20</v>
      </c>
      <c r="I90" s="43">
        <v>20</v>
      </c>
      <c r="K90" s="43">
        <v>28</v>
      </c>
      <c r="L90" s="45">
        <v>0</v>
      </c>
      <c r="M90" s="45">
        <v>0</v>
      </c>
      <c r="T90" s="49" t="s">
        <v>517</v>
      </c>
    </row>
    <row r="91" spans="1:20" x14ac:dyDescent="0.25">
      <c r="A91" s="47">
        <v>18727</v>
      </c>
      <c r="B91" s="43" t="s">
        <v>214</v>
      </c>
      <c r="C91" s="56">
        <f>(I91*'Frost Calculation'!$F$20/'Frost Calculation'!$E$20)+(K91*'Frost Calculation'!$F$17/'Frost Calculation'!$E$17)+(L91*'Frost Calculation'!$F$18/'Frost Calculation'!$E$18)+M91*'Frost Calculation'!$F$19/'Frost Calculation'!$E$19</f>
        <v>11.099889510811042</v>
      </c>
      <c r="D91" s="43" t="s">
        <v>63</v>
      </c>
      <c r="E91" s="43">
        <v>68</v>
      </c>
      <c r="G91" s="43">
        <v>8</v>
      </c>
      <c r="I91" s="43">
        <v>8</v>
      </c>
      <c r="J91" s="43">
        <v>8</v>
      </c>
      <c r="K91" s="43">
        <v>30</v>
      </c>
      <c r="L91" s="45">
        <v>0</v>
      </c>
      <c r="M91" s="45">
        <v>0</v>
      </c>
      <c r="T91" s="49" t="s">
        <v>514</v>
      </c>
    </row>
    <row r="92" spans="1:20" x14ac:dyDescent="0.25">
      <c r="A92" s="43">
        <v>22752</v>
      </c>
      <c r="B92" s="43" t="s">
        <v>348</v>
      </c>
      <c r="C92" s="56">
        <f>(I92*'Frost Calculation'!$F$20/'Frost Calculation'!$E$20)+(K92*'Frost Calculation'!$F$17/'Frost Calculation'!$E$17)+(L92*'Frost Calculation'!$F$18/'Frost Calculation'!$E$18)+M92*'Frost Calculation'!$F$19/'Frost Calculation'!$E$19</f>
        <v>10.834923547532771</v>
      </c>
      <c r="D92" s="43" t="s">
        <v>71</v>
      </c>
      <c r="E92" s="43">
        <v>188</v>
      </c>
      <c r="G92" s="43">
        <v>23</v>
      </c>
      <c r="I92" s="43">
        <v>19</v>
      </c>
      <c r="J92" s="43">
        <v>10</v>
      </c>
      <c r="K92" s="43">
        <v>28</v>
      </c>
      <c r="L92" s="45">
        <v>0</v>
      </c>
      <c r="M92" s="45">
        <v>0</v>
      </c>
      <c r="T92" s="49" t="s">
        <v>518</v>
      </c>
    </row>
    <row r="93" spans="1:20" x14ac:dyDescent="0.25">
      <c r="A93" s="43">
        <v>23291</v>
      </c>
      <c r="B93" s="43" t="s">
        <v>340</v>
      </c>
      <c r="C93" s="56">
        <f>(I93*'Frost Calculation'!$F$20/'Frost Calculation'!$E$20)+(K93*'Frost Calculation'!$F$17/'Frost Calculation'!$E$17)+(L93*'Frost Calculation'!$F$18/'Frost Calculation'!$E$18)+M93*'Frost Calculation'!$F$19/'Frost Calculation'!$E$19</f>
        <v>9.0104637119939319</v>
      </c>
      <c r="D93" s="43" t="s">
        <v>72</v>
      </c>
      <c r="E93" s="43">
        <v>104</v>
      </c>
      <c r="G93" s="43">
        <v>15</v>
      </c>
      <c r="I93" s="43">
        <v>10</v>
      </c>
      <c r="K93" s="43">
        <v>15</v>
      </c>
      <c r="L93" s="45">
        <v>0</v>
      </c>
      <c r="M93" s="45">
        <v>0.01</v>
      </c>
      <c r="T93" s="49" t="s">
        <v>542</v>
      </c>
    </row>
    <row r="94" spans="1:20" x14ac:dyDescent="0.25">
      <c r="A94" s="43">
        <v>19378</v>
      </c>
      <c r="B94" s="43" t="s">
        <v>208</v>
      </c>
      <c r="C94" s="56">
        <f>(I94*'Frost Calculation'!$F$20/'Frost Calculation'!$E$20)+(K94*'Frost Calculation'!$F$17/'Frost Calculation'!$E$17)+(L94*'Frost Calculation'!$F$18/'Frost Calculation'!$E$18)+M94*'Frost Calculation'!$F$19/'Frost Calculation'!$E$19</f>
        <v>10.628987129566385</v>
      </c>
      <c r="D94" s="43" t="s">
        <v>66</v>
      </c>
      <c r="E94" s="43">
        <v>63</v>
      </c>
      <c r="G94" s="43">
        <v>10</v>
      </c>
      <c r="I94" s="43">
        <v>14</v>
      </c>
      <c r="K94" s="43">
        <v>28</v>
      </c>
      <c r="L94" s="45">
        <v>0</v>
      </c>
      <c r="M94" s="45">
        <v>0</v>
      </c>
      <c r="T94" s="49" t="s">
        <v>520</v>
      </c>
    </row>
    <row r="95" spans="1:20" x14ac:dyDescent="0.25">
      <c r="A95" s="48">
        <v>11782</v>
      </c>
      <c r="B95" s="44" t="s">
        <v>94</v>
      </c>
      <c r="C95" s="56">
        <f>(I95*'Frost Calculation'!$F$20/'Frost Calculation'!$E$20)+(K95*'Frost Calculation'!$F$17/'Frost Calculation'!$E$17)+(L95*'Frost Calculation'!$F$18/'Frost Calculation'!$E$18)+M95*'Frost Calculation'!$F$19/'Frost Calculation'!$E$19</f>
        <v>10.740876469408882</v>
      </c>
      <c r="D95" s="43" t="s">
        <v>65</v>
      </c>
      <c r="E95" s="43">
        <v>61</v>
      </c>
      <c r="G95" s="43">
        <v>5</v>
      </c>
      <c r="I95" s="43">
        <v>8</v>
      </c>
      <c r="K95" s="43">
        <v>29</v>
      </c>
      <c r="L95" s="45">
        <v>0</v>
      </c>
      <c r="M95" s="45">
        <v>0</v>
      </c>
      <c r="T95" s="49" t="s">
        <v>519</v>
      </c>
    </row>
    <row r="96" spans="1:20" x14ac:dyDescent="0.25">
      <c r="A96" s="46">
        <v>21611</v>
      </c>
      <c r="B96" s="43" t="s">
        <v>408</v>
      </c>
      <c r="C96" s="56">
        <f>(I96*'Frost Calculation'!$F$20/'Frost Calculation'!$E$20)+(K96*'Frost Calculation'!$F$17/'Frost Calculation'!$E$17)+(L96*'Frost Calculation'!$F$18/'Frost Calculation'!$E$18)+M96*'Frost Calculation'!$F$19/'Frost Calculation'!$E$19</f>
        <v>10.587799845973107</v>
      </c>
      <c r="D96" s="43" t="s">
        <v>68</v>
      </c>
      <c r="E96" s="43">
        <v>54</v>
      </c>
      <c r="G96" s="43">
        <v>10</v>
      </c>
      <c r="I96" s="43">
        <v>13</v>
      </c>
      <c r="K96" s="43">
        <v>28</v>
      </c>
      <c r="L96" s="45">
        <v>0</v>
      </c>
      <c r="M96" s="45">
        <v>0</v>
      </c>
      <c r="T96" s="49" t="s">
        <v>521</v>
      </c>
    </row>
    <row r="97" spans="1:20" x14ac:dyDescent="0.25">
      <c r="A97" s="47">
        <v>16912</v>
      </c>
      <c r="B97" s="43" t="s">
        <v>200</v>
      </c>
      <c r="C97" s="56">
        <f>(I97*'Frost Calculation'!$F$20/'Frost Calculation'!$E$20)+(K97*'Frost Calculation'!$F$17/'Frost Calculation'!$E$17)+(L97*'Frost Calculation'!$F$18/'Frost Calculation'!$E$18)+M97*'Frost Calculation'!$F$19/'Frost Calculation'!$E$19</f>
        <v>10.352348655350777</v>
      </c>
      <c r="D97" s="43" t="s">
        <v>72</v>
      </c>
      <c r="E97" s="43">
        <v>80</v>
      </c>
      <c r="G97" s="43">
        <v>13</v>
      </c>
      <c r="I97" s="43">
        <v>16</v>
      </c>
      <c r="J97" s="43">
        <v>10</v>
      </c>
      <c r="K97" s="43">
        <v>27</v>
      </c>
      <c r="L97" s="45">
        <v>0</v>
      </c>
      <c r="M97" s="45">
        <v>0</v>
      </c>
      <c r="O97" s="43">
        <v>10</v>
      </c>
      <c r="T97" s="49" t="s">
        <v>527</v>
      </c>
    </row>
    <row r="98" spans="1:20" x14ac:dyDescent="0.25">
      <c r="A98" s="46">
        <v>23017</v>
      </c>
      <c r="B98" s="43" t="s">
        <v>421</v>
      </c>
      <c r="C98" s="56">
        <f>(I98*'Frost Calculation'!$F$20/'Frost Calculation'!$E$20)+(K98*'Frost Calculation'!$F$17/'Frost Calculation'!$E$17)+(L98*'Frost Calculation'!$F$18/'Frost Calculation'!$E$18)+M98*'Frost Calculation'!$F$19/'Frost Calculation'!$E$19</f>
        <v>10.464237995193274</v>
      </c>
      <c r="D98" s="43" t="s">
        <v>66</v>
      </c>
      <c r="E98" s="43">
        <v>63</v>
      </c>
      <c r="G98" s="43">
        <v>10</v>
      </c>
      <c r="I98" s="43">
        <v>10</v>
      </c>
      <c r="K98" s="43">
        <v>28</v>
      </c>
      <c r="L98" s="45">
        <v>0</v>
      </c>
      <c r="M98" s="45">
        <v>0</v>
      </c>
      <c r="T98" s="49" t="s">
        <v>523</v>
      </c>
    </row>
    <row r="99" spans="1:20" x14ac:dyDescent="0.25">
      <c r="A99" s="43">
        <v>22503</v>
      </c>
      <c r="B99" s="43" t="s">
        <v>355</v>
      </c>
      <c r="C99" s="56">
        <f>(I99*'Frost Calculation'!$F$20/'Frost Calculation'!$E$20)+(K99*'Frost Calculation'!$F$17/'Frost Calculation'!$E$17)+(L99*'Frost Calculation'!$F$18/'Frost Calculation'!$E$18)+M99*'Frost Calculation'!$F$19/'Frost Calculation'!$E$19</f>
        <v>10.3111613717575</v>
      </c>
      <c r="D99" s="43" t="s">
        <v>68</v>
      </c>
      <c r="E99" s="43">
        <v>58</v>
      </c>
      <c r="G99" s="43">
        <v>14</v>
      </c>
      <c r="I99" s="43">
        <v>15</v>
      </c>
      <c r="K99" s="43">
        <v>27</v>
      </c>
      <c r="L99" s="45">
        <v>0</v>
      </c>
      <c r="M99" s="45">
        <v>0</v>
      </c>
      <c r="T99" s="49" t="s">
        <v>529</v>
      </c>
    </row>
    <row r="100" spans="1:20" x14ac:dyDescent="0.25">
      <c r="A100" s="43">
        <v>18385</v>
      </c>
      <c r="B100" s="43" t="s">
        <v>256</v>
      </c>
      <c r="C100" s="56">
        <f>(I100*'Frost Calculation'!$F$20/'Frost Calculation'!$E$20)+(K100*'Frost Calculation'!$F$17/'Frost Calculation'!$E$17)+(L100*'Frost Calculation'!$F$18/'Frost Calculation'!$E$18)+M100*'Frost Calculation'!$F$19/'Frost Calculation'!$E$19</f>
        <v>10.228786804570946</v>
      </c>
      <c r="D100" s="43" t="s">
        <v>67</v>
      </c>
      <c r="E100" s="43">
        <v>88</v>
      </c>
      <c r="G100" s="43">
        <v>11</v>
      </c>
      <c r="I100" s="43">
        <v>13</v>
      </c>
      <c r="J100" s="43">
        <v>5</v>
      </c>
      <c r="K100" s="43">
        <v>27</v>
      </c>
      <c r="L100" s="45">
        <v>0</v>
      </c>
      <c r="M100" s="45">
        <v>0</v>
      </c>
      <c r="T100" s="49" t="s">
        <v>530</v>
      </c>
    </row>
    <row r="101" spans="1:20" x14ac:dyDescent="0.25">
      <c r="A101" s="43">
        <v>16440</v>
      </c>
      <c r="B101" s="43" t="s">
        <v>334</v>
      </c>
      <c r="C101" s="56">
        <f>(I101*'Frost Calculation'!$F$20/'Frost Calculation'!$E$20)+(K101*'Frost Calculation'!$F$17/'Frost Calculation'!$E$17)+(L101*'Frost Calculation'!$F$18/'Frost Calculation'!$E$18)+M101*'Frost Calculation'!$F$19/'Frost Calculation'!$E$19</f>
        <v>10.187599520977669</v>
      </c>
      <c r="D101" s="43" t="s">
        <v>69</v>
      </c>
      <c r="E101" s="43">
        <v>108</v>
      </c>
      <c r="G101" s="43">
        <v>22</v>
      </c>
      <c r="I101" s="43">
        <v>12</v>
      </c>
      <c r="J101" s="43">
        <v>5</v>
      </c>
      <c r="K101" s="43">
        <v>27</v>
      </c>
      <c r="L101" s="45">
        <v>0</v>
      </c>
      <c r="M101" s="45">
        <v>0</v>
      </c>
      <c r="T101" s="49" t="s">
        <v>536</v>
      </c>
    </row>
    <row r="102" spans="1:20" x14ac:dyDescent="0.25">
      <c r="A102" s="48">
        <v>12930</v>
      </c>
      <c r="B102" s="44" t="s">
        <v>103</v>
      </c>
      <c r="C102" s="56">
        <f>(I102*'Frost Calculation'!$F$20/'Frost Calculation'!$E$20)+(K102*'Frost Calculation'!$F$17/'Frost Calculation'!$E$17)+(L102*'Frost Calculation'!$F$18/'Frost Calculation'!$E$18)+M102*'Frost Calculation'!$F$19/'Frost Calculation'!$E$19</f>
        <v>10.411378200662663</v>
      </c>
      <c r="D102" s="43" t="s">
        <v>74</v>
      </c>
      <c r="E102" s="43">
        <v>0</v>
      </c>
      <c r="K102" s="43">
        <v>29</v>
      </c>
      <c r="L102" s="45">
        <v>0</v>
      </c>
      <c r="M102" s="45">
        <v>0</v>
      </c>
      <c r="T102" s="49" t="s">
        <v>526</v>
      </c>
    </row>
    <row r="103" spans="1:20" x14ac:dyDescent="0.25">
      <c r="A103" s="43">
        <v>21414</v>
      </c>
      <c r="B103" s="43" t="s">
        <v>369</v>
      </c>
      <c r="C103" s="56">
        <f>(I103*'Frost Calculation'!$F$20/'Frost Calculation'!$E$20)+(K103*'Frost Calculation'!$F$17/'Frost Calculation'!$E$17)+(L103*'Frost Calculation'!$F$18/'Frost Calculation'!$E$18)+M103*'Frost Calculation'!$F$19/'Frost Calculation'!$E$19</f>
        <v>8.9128781190388935</v>
      </c>
      <c r="D103" s="43" t="s">
        <v>73</v>
      </c>
      <c r="E103" s="43">
        <v>0</v>
      </c>
      <c r="G103" s="43">
        <v>9</v>
      </c>
      <c r="K103" s="43">
        <v>18</v>
      </c>
      <c r="L103" s="45">
        <v>0.01</v>
      </c>
      <c r="M103" s="45">
        <v>0</v>
      </c>
      <c r="T103" s="49" t="s">
        <v>553</v>
      </c>
    </row>
    <row r="104" spans="1:20" x14ac:dyDescent="0.25">
      <c r="A104" s="43">
        <v>11662</v>
      </c>
      <c r="B104" s="43" t="s">
        <v>281</v>
      </c>
      <c r="C104" s="56">
        <f>(I104*'Frost Calculation'!$F$20/'Frost Calculation'!$E$20)+(K104*'Frost Calculation'!$F$17/'Frost Calculation'!$E$17)+(L104*'Frost Calculation'!$F$18/'Frost Calculation'!$E$18)+M104*'Frost Calculation'!$F$19/'Frost Calculation'!$E$19</f>
        <v>7.9746118713807252</v>
      </c>
      <c r="D104" s="43" t="s">
        <v>70</v>
      </c>
      <c r="E104" s="43">
        <v>43</v>
      </c>
      <c r="G104" s="43">
        <v>10</v>
      </c>
      <c r="I104" s="43">
        <v>11</v>
      </c>
      <c r="K104" s="43">
        <v>12</v>
      </c>
      <c r="L104" s="45">
        <v>0</v>
      </c>
      <c r="M104" s="45">
        <v>0.01</v>
      </c>
      <c r="T104" s="49" t="s">
        <v>570</v>
      </c>
    </row>
    <row r="105" spans="1:20" x14ac:dyDescent="0.25">
      <c r="A105" s="43">
        <v>16444</v>
      </c>
      <c r="B105" s="43" t="s">
        <v>331</v>
      </c>
      <c r="C105" s="56">
        <f>(I105*'Frost Calculation'!$F$20/'Frost Calculation'!$E$20)+(K105*'Frost Calculation'!$F$17/'Frost Calculation'!$E$17)+(L105*'Frost Calculation'!$F$18/'Frost Calculation'!$E$18)+M105*'Frost Calculation'!$F$19/'Frost Calculation'!$E$19</f>
        <v>9.593135288953178</v>
      </c>
      <c r="D105" s="43" t="s">
        <v>65</v>
      </c>
      <c r="E105" s="43">
        <v>135</v>
      </c>
      <c r="G105" s="43">
        <v>21</v>
      </c>
      <c r="I105" s="43">
        <v>15</v>
      </c>
      <c r="J105" s="43">
        <v>5</v>
      </c>
      <c r="K105" s="43">
        <v>25</v>
      </c>
      <c r="L105" s="45">
        <v>0</v>
      </c>
      <c r="M105" s="45">
        <v>0</v>
      </c>
      <c r="T105" s="49" t="s">
        <v>538</v>
      </c>
    </row>
    <row r="106" spans="1:20" x14ac:dyDescent="0.25">
      <c r="A106" s="46">
        <v>22820</v>
      </c>
      <c r="B106" s="43" t="s">
        <v>425</v>
      </c>
      <c r="C106" s="56">
        <f>(I106*'Frost Calculation'!$F$20/'Frost Calculation'!$E$20)+(K106*'Frost Calculation'!$F$17/'Frost Calculation'!$E$17)+(L106*'Frost Calculation'!$F$18/'Frost Calculation'!$E$18)+M106*'Frost Calculation'!$F$19/'Frost Calculation'!$E$19</f>
        <v>7.8098627370076166</v>
      </c>
      <c r="D106" s="43" t="s">
        <v>77</v>
      </c>
      <c r="G106" s="43">
        <v>7</v>
      </c>
      <c r="I106" s="43">
        <v>7</v>
      </c>
      <c r="K106" s="43">
        <v>12</v>
      </c>
      <c r="L106" s="45">
        <v>0</v>
      </c>
      <c r="M106" s="45">
        <v>0.01</v>
      </c>
      <c r="T106" s="49" t="s">
        <v>571</v>
      </c>
    </row>
    <row r="107" spans="1:20" x14ac:dyDescent="0.25">
      <c r="A107" s="46">
        <v>16798</v>
      </c>
      <c r="B107" s="43" t="s">
        <v>192</v>
      </c>
      <c r="C107" s="56">
        <f>(I107*'Frost Calculation'!$F$20/'Frost Calculation'!$E$20)+(K107*'Frost Calculation'!$F$17/'Frost Calculation'!$E$17)+(L107*'Frost Calculation'!$F$18/'Frost Calculation'!$E$18)+M107*'Frost Calculation'!$F$19/'Frost Calculation'!$E$19</f>
        <v>9.2869820420816307</v>
      </c>
      <c r="D107" s="43" t="s">
        <v>67</v>
      </c>
      <c r="E107" s="43">
        <v>102</v>
      </c>
      <c r="G107" s="43">
        <v>19</v>
      </c>
      <c r="I107" s="43">
        <v>25</v>
      </c>
      <c r="J107" s="43">
        <v>10</v>
      </c>
      <c r="K107" s="43">
        <v>23</v>
      </c>
      <c r="L107" s="45">
        <v>0</v>
      </c>
      <c r="M107" s="45">
        <v>0</v>
      </c>
      <c r="O107" s="43">
        <v>10</v>
      </c>
      <c r="T107" s="49" t="s">
        <v>545</v>
      </c>
    </row>
    <row r="108" spans="1:20" x14ac:dyDescent="0.25">
      <c r="A108" s="43">
        <v>21504</v>
      </c>
      <c r="B108" s="43" t="s">
        <v>374</v>
      </c>
      <c r="C108" s="56">
        <f>(I108*'Frost Calculation'!$F$20/'Frost Calculation'!$E$20)+(K108*'Frost Calculation'!$F$17/'Frost Calculation'!$E$17)+(L108*'Frost Calculation'!$F$18/'Frost Calculation'!$E$18)+M108*'Frost Calculation'!$F$19/'Frost Calculation'!$E$19</f>
        <v>9.469573438173347</v>
      </c>
      <c r="D108" s="43" t="s">
        <v>64</v>
      </c>
      <c r="E108" s="43">
        <v>0</v>
      </c>
      <c r="G108" s="43">
        <v>9</v>
      </c>
      <c r="I108" s="43">
        <v>12</v>
      </c>
      <c r="K108" s="43">
        <v>25</v>
      </c>
      <c r="L108" s="45">
        <v>0</v>
      </c>
      <c r="M108" s="45">
        <v>0</v>
      </c>
      <c r="T108" s="49" t="s">
        <v>543</v>
      </c>
    </row>
    <row r="109" spans="1:20" x14ac:dyDescent="0.25">
      <c r="A109" s="47">
        <v>13253</v>
      </c>
      <c r="B109" s="43" t="s">
        <v>278</v>
      </c>
      <c r="C109" s="56">
        <f>(I109*'Frost Calculation'!$F$20/'Frost Calculation'!$E$20)+(K109*'Frost Calculation'!$F$17/'Frost Calculation'!$E$17)+(L109*'Frost Calculation'!$F$18/'Frost Calculation'!$E$18)+M109*'Frost Calculation'!$F$19/'Frost Calculation'!$E$19</f>
        <v>9.5814627780158439</v>
      </c>
      <c r="D109" s="43" t="s">
        <v>69</v>
      </c>
      <c r="E109" s="43">
        <v>53</v>
      </c>
      <c r="I109" s="43">
        <v>6</v>
      </c>
      <c r="J109" s="43">
        <v>6</v>
      </c>
      <c r="K109" s="43">
        <v>26</v>
      </c>
      <c r="L109" s="45">
        <v>0</v>
      </c>
      <c r="M109" s="45">
        <v>0</v>
      </c>
      <c r="T109" s="49" t="s">
        <v>534</v>
      </c>
    </row>
    <row r="110" spans="1:20" x14ac:dyDescent="0.25">
      <c r="A110" s="43">
        <v>23319</v>
      </c>
      <c r="B110" s="43" t="s">
        <v>337</v>
      </c>
      <c r="C110" s="56">
        <f>(I110*'Frost Calculation'!$F$20/'Frost Calculation'!$E$20)+(K110*'Frost Calculation'!$F$17/'Frost Calculation'!$E$17)+(L110*'Frost Calculation'!$F$18/'Frost Calculation'!$E$18)+M110*'Frost Calculation'!$F$19/'Frost Calculation'!$E$19</f>
        <v>8.2888991143584612</v>
      </c>
      <c r="D110" s="43" t="s">
        <v>65</v>
      </c>
      <c r="E110" s="43">
        <v>135</v>
      </c>
      <c r="G110" s="43">
        <v>14</v>
      </c>
      <c r="I110" s="43">
        <v>11</v>
      </c>
      <c r="J110" s="43">
        <v>4</v>
      </c>
      <c r="K110" s="43">
        <v>15</v>
      </c>
      <c r="L110" s="45">
        <v>0.01</v>
      </c>
      <c r="M110" s="45">
        <v>0</v>
      </c>
      <c r="T110" s="49" t="s">
        <v>555</v>
      </c>
    </row>
    <row r="111" spans="1:20" x14ac:dyDescent="0.25">
      <c r="A111" s="46">
        <v>22937</v>
      </c>
      <c r="B111" s="43" t="s">
        <v>416</v>
      </c>
      <c r="C111" s="56">
        <f>(I111*'Frost Calculation'!$F$20/'Frost Calculation'!$E$20)+(K111*'Frost Calculation'!$F$17/'Frost Calculation'!$E$17)+(L111*'Frost Calculation'!$F$18/'Frost Calculation'!$E$18)+M111*'Frost Calculation'!$F$19/'Frost Calculation'!$E$19</f>
        <v>9.3871988709867917</v>
      </c>
      <c r="D111" s="43" t="s">
        <v>76</v>
      </c>
      <c r="E111" s="43">
        <v>0</v>
      </c>
      <c r="G111" s="43">
        <v>14</v>
      </c>
      <c r="I111" s="43">
        <v>10</v>
      </c>
      <c r="K111" s="43">
        <v>25</v>
      </c>
      <c r="L111" s="45">
        <v>0</v>
      </c>
      <c r="M111" s="45">
        <v>0</v>
      </c>
      <c r="T111" s="49" t="s">
        <v>539</v>
      </c>
    </row>
    <row r="112" spans="1:20" x14ac:dyDescent="0.25">
      <c r="A112" s="47">
        <v>16818</v>
      </c>
      <c r="B112" s="43" t="s">
        <v>198</v>
      </c>
      <c r="C112" s="56">
        <f>(I112*'Frost Calculation'!$F$20/'Frost Calculation'!$E$20)+(K112*'Frost Calculation'!$F$17/'Frost Calculation'!$E$17)+(L112*'Frost Calculation'!$F$18/'Frost Calculation'!$E$18)+M112*'Frost Calculation'!$F$19/'Frost Calculation'!$E$19</f>
        <v>9.0810456241152444</v>
      </c>
      <c r="D112" s="43" t="s">
        <v>70</v>
      </c>
      <c r="E112" s="43">
        <v>65</v>
      </c>
      <c r="G112" s="43">
        <v>13</v>
      </c>
      <c r="I112" s="43">
        <v>20</v>
      </c>
      <c r="J112" s="43">
        <v>13</v>
      </c>
      <c r="K112" s="43">
        <v>23</v>
      </c>
      <c r="L112" s="45">
        <v>0</v>
      </c>
      <c r="M112" s="45">
        <v>0</v>
      </c>
      <c r="R112" s="43">
        <v>10</v>
      </c>
      <c r="T112" s="49" t="s">
        <v>541</v>
      </c>
    </row>
    <row r="113" spans="1:20" x14ac:dyDescent="0.25">
      <c r="A113" s="46">
        <v>22821</v>
      </c>
      <c r="B113" s="43" t="s">
        <v>434</v>
      </c>
      <c r="C113" s="56">
        <f>(I113*'Frost Calculation'!$F$20/'Frost Calculation'!$E$20)+(K113*'Frost Calculation'!$F$17/'Frost Calculation'!$E$17)+(L113*'Frost Calculation'!$F$18/'Frost Calculation'!$E$18)+M113*'Frost Calculation'!$F$19/'Frost Calculation'!$E$19</f>
        <v>8.1948520362345718</v>
      </c>
      <c r="D113" s="43" t="s">
        <v>77</v>
      </c>
      <c r="K113" s="43">
        <v>16</v>
      </c>
      <c r="L113" s="45">
        <v>0.01</v>
      </c>
      <c r="M113" s="45">
        <v>0</v>
      </c>
      <c r="T113" s="49" t="s">
        <v>557</v>
      </c>
    </row>
    <row r="114" spans="1:20" x14ac:dyDescent="0.25">
      <c r="A114" s="46">
        <v>13871</v>
      </c>
      <c r="B114" s="43" t="s">
        <v>181</v>
      </c>
      <c r="C114" s="56">
        <f>(I114*'Frost Calculation'!$F$20/'Frost Calculation'!$E$20)+(K114*'Frost Calculation'!$F$17/'Frost Calculation'!$E$17)+(L114*'Frost Calculation'!$F$18/'Frost Calculation'!$E$18)+M114*'Frost Calculation'!$F$19/'Frost Calculation'!$E$19</f>
        <v>9.33433907645618</v>
      </c>
      <c r="D114" s="43" t="s">
        <v>71</v>
      </c>
      <c r="E114" s="43">
        <v>63</v>
      </c>
      <c r="J114" s="43">
        <v>12</v>
      </c>
      <c r="K114" s="43">
        <v>26</v>
      </c>
      <c r="L114" s="45">
        <v>0</v>
      </c>
      <c r="M114" s="45">
        <v>0</v>
      </c>
      <c r="T114" s="49" t="s">
        <v>544</v>
      </c>
    </row>
    <row r="115" spans="1:20" x14ac:dyDescent="0.25">
      <c r="A115" s="48">
        <v>21707</v>
      </c>
      <c r="B115" s="44" t="s">
        <v>397</v>
      </c>
      <c r="C115" s="56">
        <f>(I115*'Frost Calculation'!$F$20/'Frost Calculation'!$E$20)+(K115*'Frost Calculation'!$F$17/'Frost Calculation'!$E$17)+(L115*'Frost Calculation'!$F$18/'Frost Calculation'!$E$18)+M115*'Frost Calculation'!$F$19/'Frost Calculation'!$E$19</f>
        <v>9.33433907645618</v>
      </c>
      <c r="D115" s="43" t="s">
        <v>73</v>
      </c>
      <c r="E115" s="43">
        <v>0</v>
      </c>
      <c r="K115" s="43">
        <v>26</v>
      </c>
      <c r="L115" s="45">
        <v>0</v>
      </c>
      <c r="M115" s="45">
        <v>0</v>
      </c>
      <c r="T115" s="49" t="s">
        <v>540</v>
      </c>
    </row>
    <row r="116" spans="1:20" x14ac:dyDescent="0.25">
      <c r="A116" s="43">
        <v>20032</v>
      </c>
      <c r="B116" s="43" t="s">
        <v>382</v>
      </c>
      <c r="C116" s="56">
        <f>(I116*'Frost Calculation'!$F$20/'Frost Calculation'!$E$20)+(K116*'Frost Calculation'!$F$17/'Frost Calculation'!$E$17)+(L116*'Frost Calculation'!$F$18/'Frost Calculation'!$E$18)+M116*'Frost Calculation'!$F$19/'Frost Calculation'!$E$19</f>
        <v>8.8455944334929164</v>
      </c>
      <c r="D116" s="43" t="s">
        <v>67</v>
      </c>
      <c r="E116" s="43">
        <v>100</v>
      </c>
      <c r="G116" s="43">
        <v>15</v>
      </c>
      <c r="I116" s="43">
        <v>23</v>
      </c>
      <c r="J116" s="43">
        <v>24</v>
      </c>
      <c r="K116" s="43">
        <v>22</v>
      </c>
      <c r="L116" s="45">
        <v>0</v>
      </c>
      <c r="M116" s="45">
        <v>0</v>
      </c>
      <c r="T116" s="49" t="s">
        <v>547</v>
      </c>
    </row>
    <row r="117" spans="1:20" x14ac:dyDescent="0.25">
      <c r="A117" s="43">
        <v>19903</v>
      </c>
      <c r="B117" s="43" t="s">
        <v>381</v>
      </c>
      <c r="C117" s="56">
        <f>(I117*'Frost Calculation'!$F$20/'Frost Calculation'!$E$20)+(K117*'Frost Calculation'!$F$17/'Frost Calculation'!$E$17)+(L117*'Frost Calculation'!$F$18/'Frost Calculation'!$E$18)+M117*'Frost Calculation'!$F$19/'Frost Calculation'!$E$19</f>
        <v>8.9458112623980774</v>
      </c>
      <c r="D117" s="43" t="s">
        <v>75</v>
      </c>
      <c r="I117" s="43">
        <v>8</v>
      </c>
      <c r="J117" s="43">
        <v>6</v>
      </c>
      <c r="K117" s="43">
        <v>24</v>
      </c>
      <c r="L117" s="45">
        <v>0</v>
      </c>
      <c r="M117" s="45">
        <v>0</v>
      </c>
      <c r="N117" s="43">
        <v>6</v>
      </c>
      <c r="T117" s="49" t="s">
        <v>546</v>
      </c>
    </row>
    <row r="118" spans="1:20" x14ac:dyDescent="0.25">
      <c r="A118" s="43">
        <v>9484</v>
      </c>
      <c r="B118" s="43" t="s">
        <v>313</v>
      </c>
      <c r="C118" s="56">
        <f>(I118*'Frost Calculation'!$F$20/'Frost Calculation'!$E$20)+(K118*'Frost Calculation'!$F$17/'Frost Calculation'!$E$17)+(L118*'Frost Calculation'!$F$18/'Frost Calculation'!$E$18)+M118*'Frost Calculation'!$F$19/'Frost Calculation'!$E$19</f>
        <v>8.6691727881824701</v>
      </c>
      <c r="D118" s="43" t="s">
        <v>71</v>
      </c>
      <c r="E118" s="43">
        <v>63</v>
      </c>
      <c r="G118" s="43">
        <v>9</v>
      </c>
      <c r="I118" s="43">
        <v>10</v>
      </c>
      <c r="K118" s="43">
        <v>23</v>
      </c>
      <c r="L118" s="45">
        <v>0</v>
      </c>
      <c r="M118" s="45">
        <v>0</v>
      </c>
      <c r="T118" s="49" t="s">
        <v>548</v>
      </c>
    </row>
    <row r="119" spans="1:20" x14ac:dyDescent="0.25">
      <c r="A119" s="43">
        <v>22721</v>
      </c>
      <c r="B119" s="43" t="s">
        <v>393</v>
      </c>
      <c r="C119" s="56">
        <f>(I119*'Frost Calculation'!$F$20/'Frost Calculation'!$E$20)+(K119*'Frost Calculation'!$F$17/'Frost Calculation'!$E$17)+(L119*'Frost Calculation'!$F$18/'Frost Calculation'!$E$18)+M119*'Frost Calculation'!$F$19/'Frost Calculation'!$E$19</f>
        <v>8.6279855045891924</v>
      </c>
      <c r="D119" s="43" t="s">
        <v>73</v>
      </c>
      <c r="E119" s="43">
        <v>0</v>
      </c>
      <c r="G119" s="43">
        <v>8</v>
      </c>
      <c r="I119" s="43">
        <v>9</v>
      </c>
      <c r="K119" s="43">
        <v>23</v>
      </c>
      <c r="L119" s="45">
        <v>0</v>
      </c>
      <c r="M119" s="45">
        <v>0</v>
      </c>
      <c r="T119" s="49" t="s">
        <v>549</v>
      </c>
    </row>
    <row r="120" spans="1:20" x14ac:dyDescent="0.25">
      <c r="A120" s="43">
        <v>22711</v>
      </c>
      <c r="B120" s="43" t="s">
        <v>394</v>
      </c>
      <c r="C120" s="56">
        <f>(I120*'Frost Calculation'!$F$20/'Frost Calculation'!$E$20)+(K120*'Frost Calculation'!$F$17/'Frost Calculation'!$E$17)+(L120*'Frost Calculation'!$F$18/'Frost Calculation'!$E$18)+M120*'Frost Calculation'!$F$19/'Frost Calculation'!$E$19</f>
        <v>8.5044236538093614</v>
      </c>
      <c r="D120" s="43" t="s">
        <v>66</v>
      </c>
      <c r="E120" s="43">
        <v>48</v>
      </c>
      <c r="G120" s="43">
        <v>6</v>
      </c>
      <c r="I120" s="43">
        <v>6</v>
      </c>
      <c r="K120" s="43">
        <v>23</v>
      </c>
      <c r="L120" s="45">
        <v>0</v>
      </c>
      <c r="M120" s="45">
        <v>0</v>
      </c>
      <c r="T120" s="49" t="s">
        <v>550</v>
      </c>
    </row>
    <row r="121" spans="1:20" x14ac:dyDescent="0.25">
      <c r="A121" s="43">
        <v>21468</v>
      </c>
      <c r="B121" s="43" t="s">
        <v>364</v>
      </c>
      <c r="C121" s="56">
        <f>(I121*'Frost Calculation'!$F$20/'Frost Calculation'!$E$20)+(K121*'Frost Calculation'!$F$17/'Frost Calculation'!$E$17)+(L121*'Frost Calculation'!$F$18/'Frost Calculation'!$E$18)+M121*'Frost Calculation'!$F$19/'Frost Calculation'!$E$19</f>
        <v>8.1570831233445364</v>
      </c>
      <c r="D121" s="43" t="s">
        <v>65</v>
      </c>
      <c r="E121" s="43">
        <v>78</v>
      </c>
      <c r="G121" s="43">
        <v>11</v>
      </c>
      <c r="I121" s="43">
        <v>15</v>
      </c>
      <c r="J121" s="43">
        <v>7</v>
      </c>
      <c r="K121" s="43">
        <v>21</v>
      </c>
      <c r="L121" s="45">
        <v>0</v>
      </c>
      <c r="M121" s="45">
        <v>0</v>
      </c>
      <c r="T121" s="49" t="s">
        <v>554</v>
      </c>
    </row>
    <row r="122" spans="1:20" x14ac:dyDescent="0.25">
      <c r="A122" s="43">
        <v>11822</v>
      </c>
      <c r="B122" s="43" t="s">
        <v>286</v>
      </c>
      <c r="C122" s="56">
        <f>(I122*'Frost Calculation'!$F$20/'Frost Calculation'!$E$20)+(K122*'Frost Calculation'!$F$17/'Frost Calculation'!$E$17)+(L122*'Frost Calculation'!$F$18/'Frost Calculation'!$E$18)+M122*'Frost Calculation'!$F$19/'Frost Calculation'!$E$19</f>
        <v>8.2689724631870334</v>
      </c>
      <c r="D122" s="43" t="s">
        <v>72</v>
      </c>
      <c r="E122" s="43">
        <v>58</v>
      </c>
      <c r="G122" s="43">
        <v>6</v>
      </c>
      <c r="I122" s="43">
        <v>9</v>
      </c>
      <c r="K122" s="43">
        <v>22</v>
      </c>
      <c r="L122" s="45">
        <v>0</v>
      </c>
      <c r="M122" s="45">
        <v>0</v>
      </c>
      <c r="T122" s="49" t="s">
        <v>551</v>
      </c>
    </row>
    <row r="123" spans="1:20" x14ac:dyDescent="0.25">
      <c r="A123" s="48">
        <v>16800</v>
      </c>
      <c r="B123" s="44" t="s">
        <v>92</v>
      </c>
      <c r="C123" s="56">
        <f>(I123*'Frost Calculation'!$F$20/'Frost Calculation'!$E$20)+(K123*'Frost Calculation'!$F$17/'Frost Calculation'!$E$17)+(L123*'Frost Calculation'!$F$18/'Frost Calculation'!$E$18)+M123*'Frost Calculation'!$F$19/'Frost Calculation'!$E$19</f>
        <v>6.9764087995296507</v>
      </c>
      <c r="D123" s="43" t="s">
        <v>72</v>
      </c>
      <c r="E123" s="43">
        <v>70</v>
      </c>
      <c r="G123" s="43">
        <v>13</v>
      </c>
      <c r="I123" s="43">
        <v>14</v>
      </c>
      <c r="J123" s="43">
        <v>11</v>
      </c>
      <c r="K123" s="43">
        <v>11</v>
      </c>
      <c r="L123" s="45">
        <v>0.01</v>
      </c>
      <c r="M123" s="45">
        <v>0</v>
      </c>
      <c r="R123" s="43">
        <v>10</v>
      </c>
      <c r="T123" s="49" t="s">
        <v>578</v>
      </c>
    </row>
    <row r="124" spans="1:20" x14ac:dyDescent="0.25">
      <c r="A124" s="43">
        <v>19595</v>
      </c>
      <c r="B124" s="43" t="s">
        <v>347</v>
      </c>
      <c r="C124" s="56">
        <f>(I124*'Frost Calculation'!$F$20/'Frost Calculation'!$E$20)+(K124*'Frost Calculation'!$F$17/'Frost Calculation'!$E$17)+(L124*'Frost Calculation'!$F$18/'Frost Calculation'!$E$18)+M124*'Frost Calculation'!$F$19/'Frost Calculation'!$E$19</f>
        <v>8.2277851795937558</v>
      </c>
      <c r="D124" s="43" t="s">
        <v>68</v>
      </c>
      <c r="E124" s="43">
        <v>44</v>
      </c>
      <c r="G124" s="43">
        <v>8</v>
      </c>
      <c r="I124" s="43">
        <v>8</v>
      </c>
      <c r="J124" s="43">
        <v>7</v>
      </c>
      <c r="K124" s="43">
        <v>22</v>
      </c>
      <c r="L124" s="45">
        <v>0</v>
      </c>
      <c r="M124" s="45">
        <v>0</v>
      </c>
      <c r="T124" s="49" t="s">
        <v>552</v>
      </c>
    </row>
    <row r="125" spans="1:20" x14ac:dyDescent="0.25">
      <c r="A125" s="43">
        <v>16917</v>
      </c>
      <c r="B125" s="43" t="s">
        <v>169</v>
      </c>
      <c r="C125" s="56">
        <f>(I125*'Frost Calculation'!$F$20/'Frost Calculation'!$E$20)+(K125*'Frost Calculation'!$F$17/'Frost Calculation'!$E$17)+(L125*'Frost Calculation'!$F$18/'Frost Calculation'!$E$18)+M125*'Frost Calculation'!$F$19/'Frost Calculation'!$E$19</f>
        <v>8.0747085561579812</v>
      </c>
      <c r="D125" s="43" t="s">
        <v>65</v>
      </c>
      <c r="E125" s="43">
        <v>87</v>
      </c>
      <c r="G125" s="43">
        <v>16</v>
      </c>
      <c r="I125" s="43">
        <v>13</v>
      </c>
      <c r="J125" s="43">
        <v>12</v>
      </c>
      <c r="K125" s="43">
        <v>21</v>
      </c>
      <c r="L125" s="45">
        <v>0</v>
      </c>
      <c r="M125" s="45">
        <v>0</v>
      </c>
      <c r="N125" s="43">
        <v>4</v>
      </c>
      <c r="O125" s="43">
        <v>10</v>
      </c>
      <c r="T125" s="49" t="s">
        <v>556</v>
      </c>
    </row>
    <row r="126" spans="1:20" x14ac:dyDescent="0.25">
      <c r="A126" s="43">
        <v>21464</v>
      </c>
      <c r="B126" s="43" t="s">
        <v>371</v>
      </c>
      <c r="C126" s="56">
        <f>(I126*'Frost Calculation'!$F$20/'Frost Calculation'!$E$20)+(K126*'Frost Calculation'!$F$17/'Frost Calculation'!$E$17)+(L126*'Frost Calculation'!$F$18/'Frost Calculation'!$E$18)+M126*'Frost Calculation'!$F$19/'Frost Calculation'!$E$19</f>
        <v>8.0335212725647036</v>
      </c>
      <c r="D126" s="43" t="s">
        <v>68</v>
      </c>
      <c r="E126" s="43">
        <v>48</v>
      </c>
      <c r="G126" s="43">
        <v>9</v>
      </c>
      <c r="I126" s="43">
        <v>12</v>
      </c>
      <c r="K126" s="43">
        <v>21</v>
      </c>
      <c r="L126" s="45">
        <v>0</v>
      </c>
      <c r="M126" s="45">
        <v>0</v>
      </c>
      <c r="T126" s="49" t="s">
        <v>568</v>
      </c>
    </row>
    <row r="127" spans="1:20" x14ac:dyDescent="0.25">
      <c r="A127" s="47">
        <v>18878</v>
      </c>
      <c r="B127" s="43" t="s">
        <v>189</v>
      </c>
      <c r="C127" s="56">
        <f>(I127*'Frost Calculation'!$F$20/'Frost Calculation'!$E$20)+(K127*'Frost Calculation'!$F$17/'Frost Calculation'!$E$17)+(L127*'Frost Calculation'!$F$18/'Frost Calculation'!$E$18)+M127*'Frost Calculation'!$F$19/'Frost Calculation'!$E$19</f>
        <v>7.8804446491289299</v>
      </c>
      <c r="D127" s="43" t="s">
        <v>75</v>
      </c>
      <c r="G127" s="43">
        <v>8</v>
      </c>
      <c r="I127" s="43">
        <v>17</v>
      </c>
      <c r="K127" s="43">
        <v>20</v>
      </c>
      <c r="L127" s="45">
        <v>0</v>
      </c>
      <c r="M127" s="45">
        <v>0</v>
      </c>
      <c r="T127" s="49" t="s">
        <v>569</v>
      </c>
    </row>
    <row r="128" spans="1:20" x14ac:dyDescent="0.25">
      <c r="A128" s="47">
        <v>18681</v>
      </c>
      <c r="B128" s="43" t="s">
        <v>235</v>
      </c>
      <c r="C128" s="56">
        <f>(I128*'Frost Calculation'!$F$20/'Frost Calculation'!$E$20)+(K128*'Frost Calculation'!$F$17/'Frost Calculation'!$E$17)+(L128*'Frost Calculation'!$F$18/'Frost Calculation'!$E$18)+M128*'Frost Calculation'!$F$19/'Frost Calculation'!$E$19</f>
        <v>7.8392573655356532</v>
      </c>
      <c r="D128" s="43" t="s">
        <v>65</v>
      </c>
      <c r="E128" s="43">
        <v>65</v>
      </c>
      <c r="I128" s="43">
        <v>16</v>
      </c>
      <c r="K128" s="43">
        <v>20</v>
      </c>
      <c r="L128" s="45">
        <v>0</v>
      </c>
      <c r="M128" s="45">
        <v>0</v>
      </c>
      <c r="T128" s="49" t="s">
        <v>561</v>
      </c>
    </row>
    <row r="129" spans="1:20" x14ac:dyDescent="0.25">
      <c r="A129" s="43">
        <v>10041</v>
      </c>
      <c r="B129" s="43" t="s">
        <v>179</v>
      </c>
      <c r="C129" s="56">
        <f>(I129*'Frost Calculation'!$F$20/'Frost Calculation'!$E$20)+(K129*'Frost Calculation'!$F$17/'Frost Calculation'!$E$17)+(L129*'Frost Calculation'!$F$18/'Frost Calculation'!$E$18)+M129*'Frost Calculation'!$F$19/'Frost Calculation'!$E$19</f>
        <v>7.9511467053781502</v>
      </c>
      <c r="D129" s="43" t="s">
        <v>63</v>
      </c>
      <c r="E129" s="43">
        <v>58</v>
      </c>
      <c r="I129" s="43">
        <v>10</v>
      </c>
      <c r="J129" s="43">
        <v>12</v>
      </c>
      <c r="K129" s="43">
        <v>21</v>
      </c>
      <c r="L129" s="45">
        <v>0</v>
      </c>
      <c r="M129" s="45">
        <v>0</v>
      </c>
      <c r="T129" s="49" t="s">
        <v>558</v>
      </c>
    </row>
    <row r="130" spans="1:20" x14ac:dyDescent="0.25">
      <c r="A130" s="43">
        <v>18082</v>
      </c>
      <c r="B130" s="43" t="s">
        <v>312</v>
      </c>
      <c r="C130" s="56">
        <f>(I130*'Frost Calculation'!$F$20/'Frost Calculation'!$E$20)+(K130*'Frost Calculation'!$F$17/'Frost Calculation'!$E$17)+(L130*'Frost Calculation'!$F$18/'Frost Calculation'!$E$18)+M130*'Frost Calculation'!$F$19/'Frost Calculation'!$E$19</f>
        <v>7.9511467053781502</v>
      </c>
      <c r="D130" s="43" t="s">
        <v>111</v>
      </c>
      <c r="G130" s="43">
        <v>10</v>
      </c>
      <c r="I130" s="43">
        <v>10</v>
      </c>
      <c r="K130" s="43">
        <v>21</v>
      </c>
      <c r="L130" s="45">
        <v>0</v>
      </c>
      <c r="M130" s="45">
        <v>0</v>
      </c>
      <c r="T130" s="49" t="s">
        <v>559</v>
      </c>
    </row>
    <row r="131" spans="1:20" x14ac:dyDescent="0.25">
      <c r="A131" s="46">
        <v>21648</v>
      </c>
      <c r="B131" s="43" t="s">
        <v>403</v>
      </c>
      <c r="C131" s="56">
        <f>(I131*'Frost Calculation'!$F$20/'Frost Calculation'!$E$20)+(K131*'Frost Calculation'!$F$17/'Frost Calculation'!$E$17)+(L131*'Frost Calculation'!$F$18/'Frost Calculation'!$E$18)+M131*'Frost Calculation'!$F$19/'Frost Calculation'!$E$19</f>
        <v>7.7156955147558204</v>
      </c>
      <c r="D131" s="43" t="s">
        <v>72</v>
      </c>
      <c r="E131" s="43">
        <v>80</v>
      </c>
      <c r="G131" s="43">
        <v>21</v>
      </c>
      <c r="I131" s="43">
        <v>13</v>
      </c>
      <c r="K131" s="43">
        <v>20</v>
      </c>
      <c r="L131" s="45">
        <v>0</v>
      </c>
      <c r="M131" s="45">
        <v>0</v>
      </c>
      <c r="Q131" s="43">
        <v>20</v>
      </c>
      <c r="T131" s="49" t="s">
        <v>563</v>
      </c>
    </row>
    <row r="132" spans="1:20" x14ac:dyDescent="0.25">
      <c r="A132" s="48">
        <v>13870</v>
      </c>
      <c r="B132" s="44" t="s">
        <v>98</v>
      </c>
      <c r="C132" s="56">
        <f>(I132*'Frost Calculation'!$F$20/'Frost Calculation'!$E$20)+(K132*'Frost Calculation'!$F$17/'Frost Calculation'!$E$17)+(L132*'Frost Calculation'!$F$18/'Frost Calculation'!$E$18)+M132*'Frost Calculation'!$F$19/'Frost Calculation'!$E$19</f>
        <v>7.7863975710050406</v>
      </c>
      <c r="D132" s="43" t="s">
        <v>69</v>
      </c>
      <c r="E132" s="43">
        <v>43</v>
      </c>
      <c r="I132" s="43">
        <v>6</v>
      </c>
      <c r="K132" s="43">
        <v>21</v>
      </c>
      <c r="L132" s="45">
        <v>0</v>
      </c>
      <c r="M132" s="45">
        <v>0</v>
      </c>
      <c r="T132" s="49" t="s">
        <v>562</v>
      </c>
    </row>
    <row r="133" spans="1:20" x14ac:dyDescent="0.25">
      <c r="A133" s="43">
        <v>19923</v>
      </c>
      <c r="B133" s="43" t="s">
        <v>380</v>
      </c>
      <c r="C133" s="56">
        <f>(I133*'Frost Calculation'!$F$20/'Frost Calculation'!$E$20)+(K133*'Frost Calculation'!$F$17/'Frost Calculation'!$E$17)+(L133*'Frost Calculation'!$F$18/'Frost Calculation'!$E$18)+M133*'Frost Calculation'!$F$19/'Frost Calculation'!$E$19</f>
        <v>7.8982869108475375</v>
      </c>
      <c r="D133" s="43" t="s">
        <v>64</v>
      </c>
      <c r="E133" s="43">
        <v>0</v>
      </c>
      <c r="K133" s="43">
        <v>22</v>
      </c>
      <c r="L133" s="45">
        <v>0</v>
      </c>
      <c r="M133" s="45">
        <v>0</v>
      </c>
      <c r="N133" s="43">
        <v>3</v>
      </c>
      <c r="T133" s="49" t="s">
        <v>560</v>
      </c>
    </row>
    <row r="134" spans="1:20" x14ac:dyDescent="0.25">
      <c r="A134" s="43">
        <v>16918</v>
      </c>
      <c r="B134" s="43" t="s">
        <v>174</v>
      </c>
      <c r="C134" s="56">
        <f>(I134*'Frost Calculation'!$F$20/'Frost Calculation'!$E$20)+(K134*'Frost Calculation'!$F$17/'Frost Calculation'!$E$17)+(L134*'Frost Calculation'!$F$18/'Frost Calculation'!$E$18)+M134*'Frost Calculation'!$F$19/'Frost Calculation'!$E$19</f>
        <v>7.4390570405402148</v>
      </c>
      <c r="D134" s="43" t="s">
        <v>68</v>
      </c>
      <c r="E134" s="43">
        <v>51</v>
      </c>
      <c r="G134" s="43">
        <v>9</v>
      </c>
      <c r="I134" s="43">
        <v>15</v>
      </c>
      <c r="J134" s="43">
        <v>8</v>
      </c>
      <c r="K134" s="43">
        <v>19</v>
      </c>
      <c r="L134" s="45">
        <v>0</v>
      </c>
      <c r="M134" s="45">
        <v>0</v>
      </c>
      <c r="N134" s="43">
        <v>4</v>
      </c>
      <c r="T134" s="49" t="s">
        <v>564</v>
      </c>
    </row>
    <row r="135" spans="1:20" x14ac:dyDescent="0.25">
      <c r="A135" s="43">
        <v>18102</v>
      </c>
      <c r="B135" s="43" t="s">
        <v>263</v>
      </c>
      <c r="C135" s="56">
        <f>(I135*'Frost Calculation'!$F$20/'Frost Calculation'!$E$20)+(K135*'Frost Calculation'!$F$17/'Frost Calculation'!$E$17)+(L135*'Frost Calculation'!$F$18/'Frost Calculation'!$E$18)+M135*'Frost Calculation'!$F$19/'Frost Calculation'!$E$19</f>
        <v>7.1212312827313315</v>
      </c>
      <c r="D135" s="43" t="s">
        <v>72</v>
      </c>
      <c r="E135" s="43">
        <v>61</v>
      </c>
      <c r="G135" s="43">
        <v>5</v>
      </c>
      <c r="I135" s="43">
        <v>16</v>
      </c>
      <c r="K135" s="43">
        <v>18</v>
      </c>
      <c r="L135" s="45">
        <v>0</v>
      </c>
      <c r="M135" s="45">
        <v>0</v>
      </c>
      <c r="O135" s="43">
        <v>10</v>
      </c>
      <c r="T135" s="49" t="s">
        <v>572</v>
      </c>
    </row>
    <row r="136" spans="1:20" x14ac:dyDescent="0.25">
      <c r="A136" s="43">
        <v>21483</v>
      </c>
      <c r="B136" s="43" t="s">
        <v>370</v>
      </c>
      <c r="C136" s="56">
        <f>(I136*'Frost Calculation'!$F$20/'Frost Calculation'!$E$20)+(K136*'Frost Calculation'!$F$17/'Frost Calculation'!$E$17)+(L136*'Frost Calculation'!$F$18/'Frost Calculation'!$E$18)+M136*'Frost Calculation'!$F$19/'Frost Calculation'!$E$19</f>
        <v>6.0524462987589427</v>
      </c>
      <c r="D136" s="43" t="s">
        <v>73</v>
      </c>
      <c r="E136" s="43">
        <v>0</v>
      </c>
      <c r="I136" s="43">
        <v>9</v>
      </c>
      <c r="K136" s="43">
        <v>9</v>
      </c>
      <c r="L136" s="45">
        <v>0.01</v>
      </c>
      <c r="M136" s="45">
        <v>0</v>
      </c>
      <c r="N136" s="43">
        <v>3</v>
      </c>
      <c r="T136" s="49" t="s">
        <v>586</v>
      </c>
    </row>
    <row r="137" spans="1:20" x14ac:dyDescent="0.25">
      <c r="A137" s="43">
        <v>22225</v>
      </c>
      <c r="B137" s="43" t="s">
        <v>262</v>
      </c>
      <c r="C137" s="56">
        <f>(I137*'Frost Calculation'!$F$20/'Frost Calculation'!$E$20)+(K137*'Frost Calculation'!$F$17/'Frost Calculation'!$E$17)+(L137*'Frost Calculation'!$F$18/'Frost Calculation'!$E$18)+M137*'Frost Calculation'!$F$19/'Frost Calculation'!$E$19</f>
        <v>7.0800439991380539</v>
      </c>
      <c r="D137" s="43" t="s">
        <v>63</v>
      </c>
      <c r="E137" s="43">
        <v>69</v>
      </c>
      <c r="G137" s="43">
        <v>12</v>
      </c>
      <c r="I137" s="43">
        <v>15</v>
      </c>
      <c r="K137" s="43">
        <v>18</v>
      </c>
      <c r="L137" s="45">
        <v>0</v>
      </c>
      <c r="M137" s="45">
        <v>0</v>
      </c>
      <c r="T137" s="49" t="s">
        <v>565</v>
      </c>
    </row>
    <row r="138" spans="1:20" x14ac:dyDescent="0.25">
      <c r="A138" s="48">
        <v>13968</v>
      </c>
      <c r="B138" s="44" t="s">
        <v>102</v>
      </c>
      <c r="C138" s="56">
        <f>(I138*'Frost Calculation'!$F$20/'Frost Calculation'!$E$20)+(K138*'Frost Calculation'!$F$17/'Frost Calculation'!$E$17)+(L138*'Frost Calculation'!$F$18/'Frost Calculation'!$E$18)+M138*'Frost Calculation'!$F$19/'Frost Calculation'!$E$19</f>
        <v>4.9012867475999995</v>
      </c>
      <c r="D138" s="43" t="s">
        <v>74</v>
      </c>
      <c r="E138" s="43">
        <v>0</v>
      </c>
      <c r="K138" s="43">
        <v>0</v>
      </c>
      <c r="L138" s="45">
        <v>0.02</v>
      </c>
      <c r="M138" s="45">
        <v>0</v>
      </c>
      <c r="T138" s="49" t="s">
        <v>604</v>
      </c>
    </row>
    <row r="139" spans="1:20" x14ac:dyDescent="0.25">
      <c r="A139" s="46">
        <v>23001</v>
      </c>
      <c r="B139" s="43" t="s">
        <v>429</v>
      </c>
      <c r="C139" s="56">
        <f>(I139*'Frost Calculation'!$F$20/'Frost Calculation'!$E$20)+(K139*'Frost Calculation'!$F$17/'Frost Calculation'!$E$17)+(L139*'Frost Calculation'!$F$18/'Frost Calculation'!$E$18)+M139*'Frost Calculation'!$F$19/'Frost Calculation'!$E$19</f>
        <v>4.9012867475999995</v>
      </c>
      <c r="D139" s="43" t="s">
        <v>74</v>
      </c>
      <c r="E139" s="43">
        <v>0</v>
      </c>
      <c r="K139" s="43">
        <v>0</v>
      </c>
      <c r="L139" s="45">
        <v>0.02</v>
      </c>
      <c r="M139" s="45">
        <v>0</v>
      </c>
      <c r="T139" s="49" t="s">
        <v>605</v>
      </c>
    </row>
    <row r="140" spans="1:20" x14ac:dyDescent="0.25">
      <c r="A140" s="43">
        <v>11924</v>
      </c>
      <c r="B140" s="43" t="s">
        <v>290</v>
      </c>
      <c r="C140" s="56">
        <f>(I140*'Frost Calculation'!$F$20/'Frost Calculation'!$E$20)+(K140*'Frost Calculation'!$F$17/'Frost Calculation'!$E$17)+(L140*'Frost Calculation'!$F$18/'Frost Calculation'!$E$18)+M140*'Frost Calculation'!$F$19/'Frost Calculation'!$E$19</f>
        <v>6.956482148358222</v>
      </c>
      <c r="D140" s="43" t="s">
        <v>67</v>
      </c>
      <c r="E140" s="43">
        <v>85</v>
      </c>
      <c r="G140" s="43">
        <v>19</v>
      </c>
      <c r="I140" s="43">
        <v>12</v>
      </c>
      <c r="J140" s="43">
        <v>10</v>
      </c>
      <c r="K140" s="43">
        <v>18</v>
      </c>
      <c r="L140" s="45">
        <v>0</v>
      </c>
      <c r="M140" s="45">
        <v>0</v>
      </c>
      <c r="T140" s="49" t="s">
        <v>573</v>
      </c>
    </row>
    <row r="141" spans="1:20" x14ac:dyDescent="0.25">
      <c r="A141" s="47">
        <v>17109</v>
      </c>
      <c r="B141" s="43" t="s">
        <v>184</v>
      </c>
      <c r="C141" s="56">
        <f>(I141*'Frost Calculation'!$F$20/'Frost Calculation'!$E$20)+(K141*'Frost Calculation'!$F$17/'Frost Calculation'!$E$17)+(L141*'Frost Calculation'!$F$18/'Frost Calculation'!$E$18)+M141*'Frost Calculation'!$F$19/'Frost Calculation'!$E$19</f>
        <v>6.8741075811716676</v>
      </c>
      <c r="D141" s="43" t="s">
        <v>64</v>
      </c>
      <c r="E141" s="43">
        <v>0</v>
      </c>
      <c r="G141" s="43">
        <v>9</v>
      </c>
      <c r="I141" s="43">
        <v>10</v>
      </c>
      <c r="J141" s="43">
        <v>10</v>
      </c>
      <c r="K141" s="43">
        <v>18</v>
      </c>
      <c r="L141" s="45">
        <v>0</v>
      </c>
      <c r="M141" s="45">
        <v>0</v>
      </c>
      <c r="T141" s="49" t="s">
        <v>566</v>
      </c>
    </row>
    <row r="142" spans="1:20" x14ac:dyDescent="0.25">
      <c r="A142" s="43">
        <v>19094</v>
      </c>
      <c r="B142" s="43" t="s">
        <v>346</v>
      </c>
      <c r="C142" s="56">
        <f>(I142*'Frost Calculation'!$F$20/'Frost Calculation'!$E$20)+(K142*'Frost Calculation'!$F$17/'Frost Calculation'!$E$17)+(L142*'Frost Calculation'!$F$18/'Frost Calculation'!$E$18)+M142*'Frost Calculation'!$F$19/'Frost Calculation'!$E$19</f>
        <v>6.8741075811716676</v>
      </c>
      <c r="D142" s="43" t="s">
        <v>70</v>
      </c>
      <c r="E142" s="43">
        <v>48</v>
      </c>
      <c r="G142" s="43">
        <v>11</v>
      </c>
      <c r="I142" s="43">
        <v>10</v>
      </c>
      <c r="K142" s="43">
        <v>18</v>
      </c>
      <c r="L142" s="45">
        <v>0</v>
      </c>
      <c r="M142" s="45">
        <v>0</v>
      </c>
      <c r="P142" s="43">
        <v>5</v>
      </c>
      <c r="T142" s="49" t="s">
        <v>574</v>
      </c>
    </row>
    <row r="143" spans="1:20" x14ac:dyDescent="0.25">
      <c r="A143" s="43">
        <v>21415</v>
      </c>
      <c r="B143" s="43" t="s">
        <v>368</v>
      </c>
      <c r="C143" s="56">
        <f>(I143*'Frost Calculation'!$F$20/'Frost Calculation'!$E$20)+(K143*'Frost Calculation'!$F$17/'Frost Calculation'!$E$17)+(L143*'Frost Calculation'!$F$18/'Frost Calculation'!$E$18)+M143*'Frost Calculation'!$F$19/'Frost Calculation'!$E$19</f>
        <v>6.83292029757839</v>
      </c>
      <c r="D143" s="43" t="s">
        <v>66</v>
      </c>
      <c r="E143" s="43">
        <v>52</v>
      </c>
      <c r="G143" s="43">
        <v>14</v>
      </c>
      <c r="I143" s="43">
        <v>9</v>
      </c>
      <c r="J143" s="43">
        <v>6</v>
      </c>
      <c r="K143" s="43">
        <v>18</v>
      </c>
      <c r="L143" s="45">
        <v>0</v>
      </c>
      <c r="M143" s="45">
        <v>0</v>
      </c>
      <c r="T143" s="49" t="s">
        <v>576</v>
      </c>
    </row>
    <row r="144" spans="1:20" x14ac:dyDescent="0.25">
      <c r="A144" s="47">
        <v>19397</v>
      </c>
      <c r="B144" s="43" t="s">
        <v>204</v>
      </c>
      <c r="C144" s="56">
        <f>(I144*'Frost Calculation'!$F$20/'Frost Calculation'!$E$20)+(K144*'Frost Calculation'!$F$17/'Frost Calculation'!$E$17)+(L144*'Frost Calculation'!$F$18/'Frost Calculation'!$E$18)+M144*'Frost Calculation'!$F$19/'Frost Calculation'!$E$19</f>
        <v>6.821247786641055</v>
      </c>
      <c r="D144" s="43" t="s">
        <v>73</v>
      </c>
      <c r="E144" s="43">
        <v>0</v>
      </c>
      <c r="K144" s="43">
        <v>19</v>
      </c>
      <c r="L144" s="45">
        <v>0</v>
      </c>
      <c r="M144" s="45">
        <v>0</v>
      </c>
      <c r="N144" s="43">
        <v>9</v>
      </c>
      <c r="T144" s="49" t="s">
        <v>567</v>
      </c>
    </row>
    <row r="145" spans="1:20" x14ac:dyDescent="0.25">
      <c r="A145" s="46">
        <v>21603</v>
      </c>
      <c r="B145" s="43" t="s">
        <v>400</v>
      </c>
      <c r="C145" s="56">
        <f>(I145*'Frost Calculation'!$F$20/'Frost Calculation'!$E$20)+(K145*'Frost Calculation'!$F$17/'Frost Calculation'!$E$17)+(L145*'Frost Calculation'!$F$18/'Frost Calculation'!$E$18)+M145*'Frost Calculation'!$F$19/'Frost Calculation'!$E$19</f>
        <v>6.821247786641055</v>
      </c>
      <c r="D145" s="43" t="s">
        <v>77</v>
      </c>
      <c r="G145" s="43">
        <v>5</v>
      </c>
      <c r="K145" s="43">
        <v>19</v>
      </c>
      <c r="L145" s="45">
        <v>0</v>
      </c>
      <c r="M145" s="45">
        <v>0</v>
      </c>
      <c r="T145" s="49" t="s">
        <v>575</v>
      </c>
    </row>
    <row r="146" spans="1:20" x14ac:dyDescent="0.25">
      <c r="A146" s="43">
        <v>21489</v>
      </c>
      <c r="B146" s="43" t="s">
        <v>366</v>
      </c>
      <c r="C146" s="56">
        <f>(I146*'Frost Calculation'!$F$20/'Frost Calculation'!$E$20)+(K146*'Frost Calculation'!$F$17/'Frost Calculation'!$E$17)+(L146*'Frost Calculation'!$F$18/'Frost Calculation'!$E$18)+M146*'Frost Calculation'!$F$19/'Frost Calculation'!$E$19</f>
        <v>6.3208306327404546</v>
      </c>
      <c r="D146" s="43" t="s">
        <v>72</v>
      </c>
      <c r="E146" s="43">
        <v>70</v>
      </c>
      <c r="G146" s="43">
        <v>14</v>
      </c>
      <c r="I146" s="43">
        <v>14</v>
      </c>
      <c r="J146" s="43">
        <v>11</v>
      </c>
      <c r="K146" s="43">
        <v>16</v>
      </c>
      <c r="L146" s="45">
        <v>0</v>
      </c>
      <c r="M146" s="45">
        <v>0</v>
      </c>
      <c r="T146" s="49" t="s">
        <v>582</v>
      </c>
    </row>
    <row r="147" spans="1:20" x14ac:dyDescent="0.25">
      <c r="A147" s="47">
        <v>13161</v>
      </c>
      <c r="B147" s="43" t="s">
        <v>280</v>
      </c>
      <c r="C147" s="56">
        <f>(I147*'Frost Calculation'!$F$20/'Frost Calculation'!$E$20)+(K147*'Frost Calculation'!$F$17/'Frost Calculation'!$E$17)+(L147*'Frost Calculation'!$F$18/'Frost Calculation'!$E$18)+M147*'Frost Calculation'!$F$19/'Frost Calculation'!$E$19</f>
        <v>6.0558646694621832</v>
      </c>
      <c r="D147" s="43" t="s">
        <v>111</v>
      </c>
      <c r="G147" s="43">
        <v>12</v>
      </c>
      <c r="I147" s="43">
        <v>25</v>
      </c>
      <c r="K147" s="43">
        <v>14</v>
      </c>
      <c r="L147" s="45">
        <v>0</v>
      </c>
      <c r="M147" s="45">
        <v>0</v>
      </c>
      <c r="T147" s="49" t="s">
        <v>585</v>
      </c>
    </row>
    <row r="148" spans="1:20" x14ac:dyDescent="0.25">
      <c r="A148" s="47">
        <v>18350</v>
      </c>
      <c r="B148" s="43" t="s">
        <v>254</v>
      </c>
      <c r="C148" s="56">
        <f>(I148*'Frost Calculation'!$F$20/'Frost Calculation'!$E$20)+(K148*'Frost Calculation'!$F$17/'Frost Calculation'!$E$17)+(L148*'Frost Calculation'!$F$18/'Frost Calculation'!$E$18)+M148*'Frost Calculation'!$F$19/'Frost Calculation'!$E$19</f>
        <v>6.4622347452388942</v>
      </c>
      <c r="D148" s="43" t="s">
        <v>66</v>
      </c>
      <c r="E148" s="43">
        <v>39</v>
      </c>
      <c r="K148" s="43">
        <v>18</v>
      </c>
      <c r="L148" s="45">
        <v>0</v>
      </c>
      <c r="M148" s="45">
        <v>0</v>
      </c>
      <c r="T148" s="49" t="s">
        <v>579</v>
      </c>
    </row>
    <row r="149" spans="1:20" x14ac:dyDescent="0.25">
      <c r="A149" s="43">
        <v>10844</v>
      </c>
      <c r="B149" s="43" t="s">
        <v>296</v>
      </c>
      <c r="C149" s="56">
        <f>(I149*'Frost Calculation'!$F$20/'Frost Calculation'!$E$20)+(K149*'Frost Calculation'!$F$17/'Frost Calculation'!$E$17)+(L149*'Frost Calculation'!$F$18/'Frost Calculation'!$E$18)+M149*'Frost Calculation'!$F$19/'Frost Calculation'!$E$19</f>
        <v>6.4622347452388942</v>
      </c>
      <c r="D149" s="43" t="s">
        <v>111</v>
      </c>
      <c r="G149" s="43">
        <v>16</v>
      </c>
      <c r="J149" s="43">
        <v>16</v>
      </c>
      <c r="K149" s="43">
        <v>18</v>
      </c>
      <c r="L149" s="45">
        <v>0</v>
      </c>
      <c r="M149" s="45">
        <v>0</v>
      </c>
      <c r="T149" s="49" t="s">
        <v>580</v>
      </c>
    </row>
    <row r="150" spans="1:20" x14ac:dyDescent="0.25">
      <c r="A150" s="43">
        <v>19861</v>
      </c>
      <c r="B150" s="43" t="s">
        <v>390</v>
      </c>
      <c r="C150" s="56">
        <f>(I150*'Frost Calculation'!$F$20/'Frost Calculation'!$E$20)+(K150*'Frost Calculation'!$F$17/'Frost Calculation'!$E$17)+(L150*'Frost Calculation'!$F$18/'Frost Calculation'!$E$18)+M150*'Frost Calculation'!$F$19/'Frost Calculation'!$E$19</f>
        <v>6.4622347452388942</v>
      </c>
      <c r="D150" s="43" t="s">
        <v>77</v>
      </c>
      <c r="K150" s="43">
        <v>18</v>
      </c>
      <c r="L150" s="45">
        <v>0</v>
      </c>
      <c r="M150" s="45">
        <v>0</v>
      </c>
      <c r="T150" s="49" t="s">
        <v>581</v>
      </c>
    </row>
    <row r="151" spans="1:20" x14ac:dyDescent="0.25">
      <c r="A151" s="43">
        <v>22256</v>
      </c>
      <c r="B151" s="43" t="s">
        <v>284</v>
      </c>
      <c r="C151" s="56">
        <f>(I151*'Frost Calculation'!$F$20/'Frost Calculation'!$E$20)+(K151*'Frost Calculation'!$F$17/'Frost Calculation'!$E$17)+(L151*'Frost Calculation'!$F$18/'Frost Calculation'!$E$18)+M151*'Frost Calculation'!$F$19/'Frost Calculation'!$E$19</f>
        <v>6.1972687819606227</v>
      </c>
      <c r="D151" s="43" t="s">
        <v>69</v>
      </c>
      <c r="E151" s="43">
        <v>51</v>
      </c>
      <c r="G151" s="43">
        <v>9</v>
      </c>
      <c r="I151" s="43">
        <v>11</v>
      </c>
      <c r="J151" s="43">
        <v>7</v>
      </c>
      <c r="K151" s="43">
        <v>16</v>
      </c>
      <c r="L151" s="45">
        <v>0</v>
      </c>
      <c r="M151" s="45">
        <v>0</v>
      </c>
      <c r="T151" s="49" t="s">
        <v>583</v>
      </c>
    </row>
    <row r="152" spans="1:20" x14ac:dyDescent="0.25">
      <c r="A152" s="43">
        <v>19102</v>
      </c>
      <c r="B152" s="43" t="s">
        <v>344</v>
      </c>
      <c r="C152" s="56">
        <f>(I152*'Frost Calculation'!$F$20/'Frost Calculation'!$E$20)+(K152*'Frost Calculation'!$F$17/'Frost Calculation'!$E$17)+(L152*'Frost Calculation'!$F$18/'Frost Calculation'!$E$18)+M152*'Frost Calculation'!$F$19/'Frost Calculation'!$E$19</f>
        <v>6.044192158524849</v>
      </c>
      <c r="D152" s="43" t="s">
        <v>111</v>
      </c>
      <c r="G152" s="43">
        <v>25</v>
      </c>
      <c r="I152" s="43">
        <v>16</v>
      </c>
      <c r="K152" s="43">
        <v>15</v>
      </c>
      <c r="L152" s="45">
        <v>0</v>
      </c>
      <c r="M152" s="45">
        <v>0</v>
      </c>
      <c r="T152" s="49" t="s">
        <v>584</v>
      </c>
    </row>
    <row r="153" spans="1:20" x14ac:dyDescent="0.25">
      <c r="A153" s="43">
        <v>16802</v>
      </c>
      <c r="B153" s="43" t="s">
        <v>195</v>
      </c>
      <c r="C153" s="56">
        <f>(I153*'Frost Calculation'!$F$20/'Frost Calculation'!$E$20)+(K153*'Frost Calculation'!$F$17/'Frost Calculation'!$E$17)+(L153*'Frost Calculation'!$F$18/'Frost Calculation'!$E$18)+M153*'Frost Calculation'!$F$19/'Frost Calculation'!$E$19</f>
        <v>5.8499282514957969</v>
      </c>
      <c r="D153" s="43" t="s">
        <v>70</v>
      </c>
      <c r="E153" s="43">
        <v>57</v>
      </c>
      <c r="G153" s="43">
        <v>11</v>
      </c>
      <c r="I153" s="43">
        <v>20</v>
      </c>
      <c r="J153" s="43">
        <v>10</v>
      </c>
      <c r="K153" s="43">
        <v>14</v>
      </c>
      <c r="L153" s="45">
        <v>0</v>
      </c>
      <c r="M153" s="45">
        <v>0</v>
      </c>
      <c r="O153" s="43">
        <v>10</v>
      </c>
      <c r="T153" s="49" t="s">
        <v>587</v>
      </c>
    </row>
    <row r="154" spans="1:20" x14ac:dyDescent="0.25">
      <c r="A154" s="47">
        <v>13956</v>
      </c>
      <c r="B154" s="43" t="s">
        <v>229</v>
      </c>
      <c r="C154" s="56">
        <f>(I154*'Frost Calculation'!$F$20/'Frost Calculation'!$E$20)+(K154*'Frost Calculation'!$F$17/'Frost Calculation'!$E$17)+(L154*'Frost Calculation'!$F$18/'Frost Calculation'!$E$18)+M154*'Frost Calculation'!$F$19/'Frost Calculation'!$E$19</f>
        <v>3.9959536433010148</v>
      </c>
      <c r="D154" s="43" t="s">
        <v>70</v>
      </c>
      <c r="E154" s="43">
        <v>49</v>
      </c>
      <c r="G154" s="43">
        <v>9</v>
      </c>
      <c r="I154" s="43">
        <v>19</v>
      </c>
      <c r="K154" s="43">
        <v>0</v>
      </c>
      <c r="L154" s="45">
        <v>0</v>
      </c>
      <c r="M154" s="45">
        <v>0.01</v>
      </c>
      <c r="T154" s="49" t="s">
        <v>613</v>
      </c>
    </row>
    <row r="155" spans="1:20" x14ac:dyDescent="0.25">
      <c r="A155" s="47">
        <v>18745</v>
      </c>
      <c r="B155" s="43" t="s">
        <v>228</v>
      </c>
      <c r="C155" s="56">
        <f>(I155*'Frost Calculation'!$F$20/'Frost Calculation'!$E$20)+(K155*'Frost Calculation'!$F$17/'Frost Calculation'!$E$17)+(L155*'Frost Calculation'!$F$18/'Frost Calculation'!$E$18)+M155*'Frost Calculation'!$F$19/'Frost Calculation'!$E$19</f>
        <v>5.8087409679025193</v>
      </c>
      <c r="D155" s="43" t="s">
        <v>71</v>
      </c>
      <c r="E155" s="43">
        <v>71</v>
      </c>
      <c r="G155" s="43">
        <v>12</v>
      </c>
      <c r="I155" s="43">
        <v>19</v>
      </c>
      <c r="J155" s="43">
        <v>12</v>
      </c>
      <c r="K155" s="43">
        <v>14</v>
      </c>
      <c r="L155" s="45">
        <v>0</v>
      </c>
      <c r="M155" s="45">
        <v>0</v>
      </c>
      <c r="T155" s="49" t="s">
        <v>591</v>
      </c>
    </row>
    <row r="156" spans="1:20" x14ac:dyDescent="0.25">
      <c r="A156" s="47">
        <v>22231</v>
      </c>
      <c r="B156" s="43" t="s">
        <v>276</v>
      </c>
      <c r="C156" s="56">
        <f>(I156*'Frost Calculation'!$F$20/'Frost Calculation'!$E$20)+(K156*'Frost Calculation'!$F$17/'Frost Calculation'!$E$17)+(L156*'Frost Calculation'!$F$18/'Frost Calculation'!$E$18)+M156*'Frost Calculation'!$F$19/'Frost Calculation'!$E$19</f>
        <v>3.9547663597077376</v>
      </c>
      <c r="D156" s="43" t="s">
        <v>72</v>
      </c>
      <c r="E156" s="43">
        <v>60</v>
      </c>
      <c r="G156" s="43">
        <v>11</v>
      </c>
      <c r="I156" s="43">
        <v>18</v>
      </c>
      <c r="K156" s="43">
        <v>0</v>
      </c>
      <c r="L156" s="45">
        <v>0</v>
      </c>
      <c r="M156" s="45">
        <v>0.01</v>
      </c>
      <c r="T156" s="49" t="s">
        <v>614</v>
      </c>
    </row>
    <row r="157" spans="1:20" x14ac:dyDescent="0.25">
      <c r="A157" s="46">
        <v>17078</v>
      </c>
      <c r="B157" s="43" t="s">
        <v>196</v>
      </c>
      <c r="C157" s="56">
        <f>(I157*'Frost Calculation'!$F$20/'Frost Calculation'!$E$20)+(K157*'Frost Calculation'!$F$17/'Frost Calculation'!$E$17)+(L157*'Frost Calculation'!$F$18/'Frost Calculation'!$E$18)+M157*'Frost Calculation'!$F$19/'Frost Calculation'!$E$19</f>
        <v>5.7263664007159649</v>
      </c>
      <c r="D157" s="43" t="s">
        <v>66</v>
      </c>
      <c r="E157" s="43">
        <v>55</v>
      </c>
      <c r="G157" s="43">
        <v>10</v>
      </c>
      <c r="I157" s="43">
        <v>17</v>
      </c>
      <c r="K157" s="43">
        <v>14</v>
      </c>
      <c r="L157" s="45">
        <v>0</v>
      </c>
      <c r="M157" s="45">
        <v>0</v>
      </c>
      <c r="P157" s="43">
        <v>6</v>
      </c>
      <c r="S157" s="43">
        <v>6</v>
      </c>
      <c r="T157" s="49" t="s">
        <v>592</v>
      </c>
    </row>
    <row r="158" spans="1:20" x14ac:dyDescent="0.25">
      <c r="A158" s="43">
        <v>19876</v>
      </c>
      <c r="B158" s="43" t="s">
        <v>389</v>
      </c>
      <c r="C158" s="56">
        <f>(I158*'Frost Calculation'!$F$20/'Frost Calculation'!$E$20)+(K158*'Frost Calculation'!$F$17/'Frost Calculation'!$E$17)+(L158*'Frost Calculation'!$F$18/'Frost Calculation'!$E$18)+M158*'Frost Calculation'!$F$19/'Frost Calculation'!$E$19</f>
        <v>3.8723917925211828</v>
      </c>
      <c r="D158" s="43" t="s">
        <v>64</v>
      </c>
      <c r="E158" s="43">
        <v>0</v>
      </c>
      <c r="G158" s="43">
        <v>10</v>
      </c>
      <c r="I158" s="43">
        <v>16</v>
      </c>
      <c r="J158" s="43">
        <v>8</v>
      </c>
      <c r="K158" s="43">
        <v>0</v>
      </c>
      <c r="L158" s="45">
        <v>0</v>
      </c>
      <c r="M158" s="45">
        <v>0.01</v>
      </c>
      <c r="T158" s="49" t="s">
        <v>615</v>
      </c>
    </row>
    <row r="159" spans="1:20" x14ac:dyDescent="0.25">
      <c r="A159" s="43">
        <v>16801</v>
      </c>
      <c r="B159" s="43" t="s">
        <v>190</v>
      </c>
      <c r="C159" s="56">
        <f>(I159*'Frost Calculation'!$F$20/'Frost Calculation'!$E$20)+(K159*'Frost Calculation'!$F$17/'Frost Calculation'!$E$17)+(L159*'Frost Calculation'!$F$18/'Frost Calculation'!$E$18)+M159*'Frost Calculation'!$F$19/'Frost Calculation'!$E$19</f>
        <v>5.6439918335294106</v>
      </c>
      <c r="D159" s="43" t="s">
        <v>69</v>
      </c>
      <c r="E159" s="43">
        <v>63</v>
      </c>
      <c r="G159" s="43">
        <v>14</v>
      </c>
      <c r="I159" s="43">
        <v>15</v>
      </c>
      <c r="J159" s="43">
        <v>10</v>
      </c>
      <c r="K159" s="43">
        <v>14</v>
      </c>
      <c r="L159" s="45">
        <v>0</v>
      </c>
      <c r="M159" s="45">
        <v>0</v>
      </c>
      <c r="N159" s="43">
        <v>4</v>
      </c>
      <c r="O159" s="43">
        <v>7</v>
      </c>
      <c r="T159" s="49" t="s">
        <v>593</v>
      </c>
    </row>
    <row r="160" spans="1:20" x14ac:dyDescent="0.25">
      <c r="A160" s="48">
        <v>11624</v>
      </c>
      <c r="B160" s="43" t="s">
        <v>108</v>
      </c>
      <c r="C160" s="56">
        <f>(I160*'Frost Calculation'!$F$20/'Frost Calculation'!$E$20)+(K160*'Frost Calculation'!$F$17/'Frost Calculation'!$E$17)+(L160*'Frost Calculation'!$F$18/'Frost Calculation'!$E$18)+M160*'Frost Calculation'!$F$19/'Frost Calculation'!$E$19</f>
        <v>5.5616172663428554</v>
      </c>
      <c r="D160" s="43" t="s">
        <v>65</v>
      </c>
      <c r="E160" s="43">
        <v>56</v>
      </c>
      <c r="G160" s="43">
        <v>5</v>
      </c>
      <c r="I160" s="43">
        <v>13</v>
      </c>
      <c r="J160" s="43">
        <v>6</v>
      </c>
      <c r="K160" s="43">
        <v>14</v>
      </c>
      <c r="L160" s="45">
        <v>0</v>
      </c>
      <c r="M160" s="45">
        <v>0</v>
      </c>
      <c r="T160" s="49" t="s">
        <v>594</v>
      </c>
    </row>
    <row r="161" spans="1:20" x14ac:dyDescent="0.25">
      <c r="A161" s="47">
        <v>18475</v>
      </c>
      <c r="B161" s="43" t="s">
        <v>252</v>
      </c>
      <c r="C161" s="56">
        <f>(I161*'Frost Calculation'!$F$20/'Frost Calculation'!$E$20)+(K161*'Frost Calculation'!$F$17/'Frost Calculation'!$E$17)+(L161*'Frost Calculation'!$F$18/'Frost Calculation'!$E$18)+M161*'Frost Calculation'!$F$19/'Frost Calculation'!$E$19</f>
        <v>5.7442086624345725</v>
      </c>
      <c r="D161" s="43" t="s">
        <v>70</v>
      </c>
      <c r="E161" s="43">
        <v>44</v>
      </c>
      <c r="G161" s="43">
        <v>13</v>
      </c>
      <c r="K161" s="43">
        <v>16</v>
      </c>
      <c r="L161" s="45">
        <v>0</v>
      </c>
      <c r="M161" s="45">
        <v>0</v>
      </c>
      <c r="T161" s="49" t="s">
        <v>588</v>
      </c>
    </row>
    <row r="162" spans="1:20" x14ac:dyDescent="0.25">
      <c r="A162" s="48">
        <v>19108</v>
      </c>
      <c r="B162" s="44" t="s">
        <v>106</v>
      </c>
      <c r="C162" s="56">
        <f>(I162*'Frost Calculation'!$F$20/'Frost Calculation'!$E$20)+(K162*'Frost Calculation'!$F$17/'Frost Calculation'!$E$17)+(L162*'Frost Calculation'!$F$18/'Frost Calculation'!$E$18)+M162*'Frost Calculation'!$F$19/'Frost Calculation'!$E$19</f>
        <v>5.7442086624345725</v>
      </c>
      <c r="D162" s="43" t="s">
        <v>77</v>
      </c>
      <c r="K162" s="43">
        <v>16</v>
      </c>
      <c r="L162" s="45">
        <v>0</v>
      </c>
      <c r="M162" s="45">
        <v>0</v>
      </c>
      <c r="T162" s="49" t="s">
        <v>589</v>
      </c>
    </row>
    <row r="163" spans="1:20" x14ac:dyDescent="0.25">
      <c r="A163" s="46">
        <v>22968</v>
      </c>
      <c r="B163" s="43" t="s">
        <v>426</v>
      </c>
      <c r="C163" s="56">
        <f>(I163*'Frost Calculation'!$F$20/'Frost Calculation'!$E$20)+(K163*'Frost Calculation'!$F$17/'Frost Calculation'!$E$17)+(L163*'Frost Calculation'!$F$18/'Frost Calculation'!$E$18)+M163*'Frost Calculation'!$F$19/'Frost Calculation'!$E$19</f>
        <v>5.7442086624345725</v>
      </c>
      <c r="D163" s="43" t="s">
        <v>65</v>
      </c>
      <c r="E163" s="43">
        <v>94</v>
      </c>
      <c r="G163" s="43">
        <v>18</v>
      </c>
      <c r="K163" s="43">
        <v>16</v>
      </c>
      <c r="L163" s="45">
        <v>0</v>
      </c>
      <c r="M163" s="45">
        <v>0</v>
      </c>
      <c r="P163" s="43">
        <v>33</v>
      </c>
      <c r="T163" s="49" t="s">
        <v>590</v>
      </c>
    </row>
    <row r="164" spans="1:20" x14ac:dyDescent="0.25">
      <c r="A164" s="43">
        <v>19846</v>
      </c>
      <c r="B164" s="43" t="s">
        <v>379</v>
      </c>
      <c r="C164" s="56">
        <f>(I164*'Frost Calculation'!$F$20/'Frost Calculation'!$E$20)+(K164*'Frost Calculation'!$F$17/'Frost Calculation'!$E$17)+(L164*'Frost Calculation'!$F$18/'Frost Calculation'!$E$18)+M164*'Frost Calculation'!$F$19/'Frost Calculation'!$E$19</f>
        <v>5.479242699156301</v>
      </c>
      <c r="D164" s="43" t="s">
        <v>68</v>
      </c>
      <c r="E164" s="43">
        <v>41</v>
      </c>
      <c r="G164" s="43">
        <v>11</v>
      </c>
      <c r="I164" s="43">
        <v>11</v>
      </c>
      <c r="J164" s="43">
        <v>9</v>
      </c>
      <c r="K164" s="43">
        <v>14</v>
      </c>
      <c r="L164" s="45">
        <v>0</v>
      </c>
      <c r="M164" s="45">
        <v>0</v>
      </c>
      <c r="T164" s="49" t="s">
        <v>595</v>
      </c>
    </row>
    <row r="165" spans="1:20" x14ac:dyDescent="0.25">
      <c r="A165" s="43">
        <v>12103</v>
      </c>
      <c r="B165" s="43" t="s">
        <v>213</v>
      </c>
      <c r="C165" s="56">
        <f>(I165*'Frost Calculation'!$F$20/'Frost Calculation'!$E$20)+(K165*'Frost Calculation'!$F$17/'Frost Calculation'!$E$17)+(L165*'Frost Calculation'!$F$18/'Frost Calculation'!$E$18)+M165*'Frost Calculation'!$F$19/'Frost Calculation'!$E$19</f>
        <v>3.5840808073682418</v>
      </c>
      <c r="D165" s="43" t="s">
        <v>64</v>
      </c>
      <c r="E165" s="43">
        <v>0</v>
      </c>
      <c r="G165" s="43">
        <v>9</v>
      </c>
      <c r="I165" s="43">
        <v>9</v>
      </c>
      <c r="J165" s="43">
        <v>8</v>
      </c>
      <c r="K165" s="43">
        <v>0</v>
      </c>
      <c r="L165" s="45">
        <v>0</v>
      </c>
      <c r="M165" s="45">
        <v>0.01</v>
      </c>
      <c r="T165" s="49" t="s">
        <v>623</v>
      </c>
    </row>
    <row r="166" spans="1:20" x14ac:dyDescent="0.25">
      <c r="A166" s="43">
        <v>19845</v>
      </c>
      <c r="B166" s="43" t="s">
        <v>377</v>
      </c>
      <c r="C166" s="56">
        <f>(I166*'Frost Calculation'!$F$20/'Frost Calculation'!$E$20)+(K166*'Frost Calculation'!$F$17/'Frost Calculation'!$E$17)+(L166*'Frost Calculation'!$F$18/'Frost Calculation'!$E$18)+M166*'Frost Calculation'!$F$19/'Frost Calculation'!$E$19</f>
        <v>5.1730894522847528</v>
      </c>
      <c r="D166" s="43" t="s">
        <v>65</v>
      </c>
      <c r="E166" s="43">
        <v>71</v>
      </c>
      <c r="G166" s="43">
        <v>13</v>
      </c>
      <c r="I166" s="43">
        <v>21</v>
      </c>
      <c r="J166" s="43">
        <v>10</v>
      </c>
      <c r="K166" s="43">
        <v>12</v>
      </c>
      <c r="L166" s="45">
        <v>0</v>
      </c>
      <c r="M166" s="45">
        <v>0</v>
      </c>
      <c r="T166" s="49" t="s">
        <v>597</v>
      </c>
    </row>
    <row r="167" spans="1:20" x14ac:dyDescent="0.25">
      <c r="A167" s="43">
        <v>21472</v>
      </c>
      <c r="B167" s="43" t="s">
        <v>362</v>
      </c>
      <c r="C167" s="56">
        <f>(I167*'Frost Calculation'!$F$20/'Frost Calculation'!$E$20)+(K167*'Frost Calculation'!$F$17/'Frost Calculation'!$E$17)+(L167*'Frost Calculation'!$F$18/'Frost Calculation'!$E$18)+M167*'Frost Calculation'!$F$19/'Frost Calculation'!$E$19</f>
        <v>3.6450745980050416</v>
      </c>
      <c r="D167" s="43" t="s">
        <v>63</v>
      </c>
      <c r="E167" s="43">
        <v>86</v>
      </c>
      <c r="G167" s="43">
        <v>18</v>
      </c>
      <c r="I167" s="43">
        <v>29</v>
      </c>
      <c r="J167" s="43">
        <v>15</v>
      </c>
      <c r="K167" s="43">
        <v>0</v>
      </c>
      <c r="L167" s="45">
        <v>0.01</v>
      </c>
      <c r="M167" s="45">
        <v>0</v>
      </c>
      <c r="T167" s="49" t="s">
        <v>624</v>
      </c>
    </row>
    <row r="168" spans="1:20" x14ac:dyDescent="0.25">
      <c r="A168" s="43">
        <v>20061</v>
      </c>
      <c r="B168" s="43" t="s">
        <v>349</v>
      </c>
      <c r="C168" s="56">
        <f>(I168*'Frost Calculation'!$F$20/'Frost Calculation'!$E$20)+(K168*'Frost Calculation'!$F$17/'Frost Calculation'!$E$17)+(L168*'Frost Calculation'!$F$18/'Frost Calculation'!$E$18)+M168*'Frost Calculation'!$F$19/'Frost Calculation'!$E$19</f>
        <v>5.0083403179116432</v>
      </c>
      <c r="D168" s="43" t="s">
        <v>65</v>
      </c>
      <c r="E168" s="43">
        <v>185</v>
      </c>
      <c r="G168" s="43">
        <v>18</v>
      </c>
      <c r="I168" s="43">
        <v>17</v>
      </c>
      <c r="K168" s="43">
        <v>12</v>
      </c>
      <c r="L168" s="45">
        <v>0</v>
      </c>
      <c r="M168" s="45">
        <v>0</v>
      </c>
      <c r="N168" s="43">
        <v>4</v>
      </c>
      <c r="T168" s="49" t="s">
        <v>599</v>
      </c>
    </row>
    <row r="169" spans="1:20" x14ac:dyDescent="0.25">
      <c r="A169" s="48">
        <v>11623</v>
      </c>
      <c r="B169" s="44" t="s">
        <v>95</v>
      </c>
      <c r="C169" s="56">
        <f>(I169*'Frost Calculation'!$F$20/'Frost Calculation'!$E$20)+(K169*'Frost Calculation'!$F$17/'Frost Calculation'!$E$17)+(L169*'Frost Calculation'!$F$18/'Frost Calculation'!$E$18)+M169*'Frost Calculation'!$F$19/'Frost Calculation'!$E$19</f>
        <v>5.1909317140033604</v>
      </c>
      <c r="D169" s="43" t="s">
        <v>66</v>
      </c>
      <c r="E169" s="43">
        <v>37</v>
      </c>
      <c r="G169" s="43">
        <v>4</v>
      </c>
      <c r="I169" s="43">
        <v>4</v>
      </c>
      <c r="J169" s="43">
        <v>5</v>
      </c>
      <c r="K169" s="43">
        <v>14</v>
      </c>
      <c r="L169" s="45">
        <v>0</v>
      </c>
      <c r="M169" s="45">
        <v>0</v>
      </c>
      <c r="T169" s="49" t="s">
        <v>596</v>
      </c>
    </row>
    <row r="170" spans="1:20" x14ac:dyDescent="0.25">
      <c r="A170" s="48">
        <v>16799</v>
      </c>
      <c r="B170" s="44" t="s">
        <v>97</v>
      </c>
      <c r="C170" s="56">
        <f>(I170*'Frost Calculation'!$F$20/'Frost Calculation'!$E$20)+(K170*'Frost Calculation'!$F$17/'Frost Calculation'!$E$17)+(L170*'Frost Calculation'!$F$18/'Frost Calculation'!$E$18)+M170*'Frost Calculation'!$F$19/'Frost Calculation'!$E$19</f>
        <v>4.9259657507250889</v>
      </c>
      <c r="D170" s="43" t="s">
        <v>68</v>
      </c>
      <c r="E170" s="43">
        <v>44</v>
      </c>
      <c r="G170" s="43">
        <v>8</v>
      </c>
      <c r="I170" s="43">
        <v>15</v>
      </c>
      <c r="J170" s="43">
        <v>6</v>
      </c>
      <c r="K170" s="43">
        <v>12</v>
      </c>
      <c r="L170" s="45">
        <v>0</v>
      </c>
      <c r="M170" s="45">
        <v>0</v>
      </c>
      <c r="N170" s="43">
        <v>3</v>
      </c>
      <c r="T170" s="49" t="s">
        <v>600</v>
      </c>
    </row>
    <row r="171" spans="1:20" x14ac:dyDescent="0.25">
      <c r="A171" s="46">
        <v>18405</v>
      </c>
      <c r="B171" s="43" t="s">
        <v>183</v>
      </c>
      <c r="C171" s="56">
        <f>(I171*'Frost Calculation'!$F$20/'Frost Calculation'!$E$20)+(K171*'Frost Calculation'!$F$17/'Frost Calculation'!$E$17)+(L171*'Frost Calculation'!$F$18/'Frost Calculation'!$E$18)+M171*'Frost Calculation'!$F$19/'Frost Calculation'!$E$19</f>
        <v>3.4803254636319325</v>
      </c>
      <c r="D171" s="43" t="s">
        <v>70</v>
      </c>
      <c r="E171" s="43">
        <v>54</v>
      </c>
      <c r="G171" s="43">
        <v>10</v>
      </c>
      <c r="I171" s="43">
        <v>25</v>
      </c>
      <c r="K171" s="43">
        <v>0</v>
      </c>
      <c r="L171" s="45">
        <v>0.01</v>
      </c>
      <c r="M171" s="45">
        <v>0</v>
      </c>
      <c r="T171" s="49" t="s">
        <v>627</v>
      </c>
    </row>
    <row r="172" spans="1:20" x14ac:dyDescent="0.25">
      <c r="A172" s="43">
        <v>19086</v>
      </c>
      <c r="B172" s="43" t="s">
        <v>345</v>
      </c>
      <c r="C172" s="56">
        <f>(I172*'Frost Calculation'!$F$20/'Frost Calculation'!$E$20)+(K172*'Frost Calculation'!$F$17/'Frost Calculation'!$E$17)+(L172*'Frost Calculation'!$F$18/'Frost Calculation'!$E$18)+M172*'Frost Calculation'!$F$19/'Frost Calculation'!$E$19</f>
        <v>5.0261825796302508</v>
      </c>
      <c r="D172" s="43" t="s">
        <v>66</v>
      </c>
      <c r="E172" s="43">
        <v>43</v>
      </c>
      <c r="G172" s="43">
        <v>11</v>
      </c>
      <c r="K172" s="43">
        <v>14</v>
      </c>
      <c r="L172" s="45">
        <v>0</v>
      </c>
      <c r="M172" s="45">
        <v>0</v>
      </c>
      <c r="P172" s="43">
        <v>5</v>
      </c>
      <c r="T172" s="49" t="s">
        <v>598</v>
      </c>
    </row>
    <row r="173" spans="1:20" x14ac:dyDescent="0.25">
      <c r="A173" s="47">
        <v>18497</v>
      </c>
      <c r="B173" s="43" t="s">
        <v>249</v>
      </c>
      <c r="C173" s="56">
        <f>(I173*'Frost Calculation'!$F$20/'Frost Calculation'!$E$20)+(K173*'Frost Calculation'!$F$17/'Frost Calculation'!$E$17)+(L173*'Frost Calculation'!$F$18/'Frost Calculation'!$E$18)+M173*'Frost Calculation'!$F$19/'Frost Calculation'!$E$19</f>
        <v>4.7200293327587026</v>
      </c>
      <c r="D173" s="43" t="s">
        <v>68</v>
      </c>
      <c r="E173" s="43">
        <v>37</v>
      </c>
      <c r="G173" s="43">
        <v>6</v>
      </c>
      <c r="I173" s="43">
        <v>10</v>
      </c>
      <c r="J173" s="43">
        <v>6</v>
      </c>
      <c r="K173" s="43">
        <v>12</v>
      </c>
      <c r="L173" s="45">
        <v>0</v>
      </c>
      <c r="M173" s="45">
        <v>0</v>
      </c>
      <c r="T173" s="49" t="s">
        <v>601</v>
      </c>
    </row>
    <row r="174" spans="1:20" x14ac:dyDescent="0.25">
      <c r="A174" s="47">
        <v>18396</v>
      </c>
      <c r="B174" s="43" t="s">
        <v>257</v>
      </c>
      <c r="C174" s="56">
        <f>(I174*'Frost Calculation'!$F$20/'Frost Calculation'!$E$20)+(K174*'Frost Calculation'!$F$17/'Frost Calculation'!$E$17)+(L174*'Frost Calculation'!$F$18/'Frost Calculation'!$E$18)+M174*'Frost Calculation'!$F$19/'Frost Calculation'!$E$19</f>
        <v>4.6376547655721474</v>
      </c>
      <c r="D174" s="43" t="s">
        <v>75</v>
      </c>
      <c r="I174" s="43">
        <v>8</v>
      </c>
      <c r="K174" s="43">
        <v>12</v>
      </c>
      <c r="L174" s="45">
        <v>0</v>
      </c>
      <c r="M174" s="45">
        <v>0</v>
      </c>
      <c r="T174" s="49" t="s">
        <v>603</v>
      </c>
    </row>
    <row r="175" spans="1:20" x14ac:dyDescent="0.25">
      <c r="A175" s="43">
        <v>18526</v>
      </c>
      <c r="B175" s="43" t="s">
        <v>250</v>
      </c>
      <c r="C175" s="56">
        <f>(I175*'Frost Calculation'!$F$20/'Frost Calculation'!$E$20)+(K175*'Frost Calculation'!$F$17/'Frost Calculation'!$E$17)+(L175*'Frost Calculation'!$F$18/'Frost Calculation'!$E$18)+M175*'Frost Calculation'!$F$19/'Frost Calculation'!$E$19</f>
        <v>3.192014478478991</v>
      </c>
      <c r="D175" s="43" t="s">
        <v>63</v>
      </c>
      <c r="E175" s="43">
        <v>73</v>
      </c>
      <c r="G175" s="43">
        <v>16</v>
      </c>
      <c r="I175" s="43">
        <v>18</v>
      </c>
      <c r="J175" s="43">
        <v>11</v>
      </c>
      <c r="K175" s="43">
        <v>0</v>
      </c>
      <c r="L175" s="45">
        <v>0.01</v>
      </c>
      <c r="M175" s="45">
        <v>0</v>
      </c>
      <c r="T175" s="49" t="s">
        <v>628</v>
      </c>
    </row>
    <row r="176" spans="1:20" x14ac:dyDescent="0.25">
      <c r="A176" s="47">
        <v>18740</v>
      </c>
      <c r="B176" s="43" t="s">
        <v>218</v>
      </c>
      <c r="C176" s="56">
        <f>(I176*'Frost Calculation'!$F$20/'Frost Calculation'!$E$20)+(K176*'Frost Calculation'!$F$17/'Frost Calculation'!$E$17)+(L176*'Frost Calculation'!$F$18/'Frost Calculation'!$E$18)+M176*'Frost Calculation'!$F$19/'Frost Calculation'!$E$19</f>
        <v>4.4433908585430961</v>
      </c>
      <c r="D176" s="43" t="s">
        <v>70</v>
      </c>
      <c r="E176" s="43">
        <v>49</v>
      </c>
      <c r="G176" s="43">
        <v>11</v>
      </c>
      <c r="I176" s="43">
        <v>12</v>
      </c>
      <c r="J176" s="43">
        <v>11</v>
      </c>
      <c r="K176" s="43">
        <v>11</v>
      </c>
      <c r="L176" s="45">
        <v>0</v>
      </c>
      <c r="M176" s="45">
        <v>0</v>
      </c>
      <c r="T176" s="49" t="s">
        <v>606</v>
      </c>
    </row>
    <row r="177" spans="1:20" x14ac:dyDescent="0.25">
      <c r="A177" s="46">
        <v>7060</v>
      </c>
      <c r="B177" s="43" t="s">
        <v>182</v>
      </c>
      <c r="C177" s="56">
        <f>(I177*'Frost Calculation'!$F$20/'Frost Calculation'!$E$20)+(K177*'Frost Calculation'!$F$17/'Frost Calculation'!$E$17)+(L177*'Frost Calculation'!$F$18/'Frost Calculation'!$E$18)+M177*'Frost Calculation'!$F$19/'Frost Calculation'!$E$19</f>
        <v>4.66716953822809</v>
      </c>
      <c r="D177" s="43" t="s">
        <v>65</v>
      </c>
      <c r="E177" s="43">
        <v>38</v>
      </c>
      <c r="G177" s="43">
        <v>5</v>
      </c>
      <c r="K177" s="43">
        <v>13</v>
      </c>
      <c r="L177" s="45">
        <v>0</v>
      </c>
      <c r="M177" s="45">
        <v>0</v>
      </c>
      <c r="T177" s="49" t="s">
        <v>602</v>
      </c>
    </row>
    <row r="178" spans="1:20" x14ac:dyDescent="0.25">
      <c r="A178" s="47">
        <v>14631</v>
      </c>
      <c r="B178" s="43" t="s">
        <v>240</v>
      </c>
      <c r="C178" s="56">
        <f>(I178*'Frost Calculation'!$F$20/'Frost Calculation'!$E$20)+(K178*'Frost Calculation'!$F$17/'Frost Calculation'!$E$17)+(L178*'Frost Calculation'!$F$18/'Frost Calculation'!$E$18)+M178*'Frost Calculation'!$F$19/'Frost Calculation'!$E$19</f>
        <v>4.3610162913565418</v>
      </c>
      <c r="D178" s="43" t="s">
        <v>72</v>
      </c>
      <c r="E178" s="43">
        <v>60</v>
      </c>
      <c r="G178" s="43">
        <v>15</v>
      </c>
      <c r="I178" s="43">
        <v>10</v>
      </c>
      <c r="J178" s="43">
        <v>9</v>
      </c>
      <c r="K178" s="43">
        <v>11</v>
      </c>
      <c r="L178" s="45">
        <v>0</v>
      </c>
      <c r="M178" s="45">
        <v>0</v>
      </c>
      <c r="T178" s="49" t="s">
        <v>607</v>
      </c>
    </row>
    <row r="179" spans="1:20" x14ac:dyDescent="0.25">
      <c r="A179" s="47">
        <v>18387</v>
      </c>
      <c r="B179" s="43" t="s">
        <v>255</v>
      </c>
      <c r="C179" s="56">
        <f>(I179*'Frost Calculation'!$F$20/'Frost Calculation'!$E$20)+(K179*'Frost Calculation'!$F$17/'Frost Calculation'!$E$17)+(L179*'Frost Calculation'!$F$18/'Frost Calculation'!$E$18)+M179*'Frost Calculation'!$F$19/'Frost Calculation'!$E$19</f>
        <v>3.0684526276991595</v>
      </c>
      <c r="D179" s="43" t="s">
        <v>69</v>
      </c>
      <c r="E179" s="43">
        <v>53</v>
      </c>
      <c r="G179" s="43">
        <v>9</v>
      </c>
      <c r="I179" s="43">
        <v>15</v>
      </c>
      <c r="K179" s="43">
        <v>0</v>
      </c>
      <c r="L179" s="45">
        <v>0.01</v>
      </c>
      <c r="M179" s="45">
        <v>0</v>
      </c>
      <c r="T179" s="49" t="s">
        <v>629</v>
      </c>
    </row>
    <row r="180" spans="1:20" x14ac:dyDescent="0.25">
      <c r="A180" s="46">
        <v>18808</v>
      </c>
      <c r="B180" s="43" t="s">
        <v>194</v>
      </c>
      <c r="C180" s="56">
        <f>(I180*'Frost Calculation'!$F$20/'Frost Calculation'!$E$20)+(K180*'Frost Calculation'!$F$17/'Frost Calculation'!$E$17)+(L180*'Frost Calculation'!$F$18/'Frost Calculation'!$E$18)+M180*'Frost Calculation'!$F$19/'Frost Calculation'!$E$19</f>
        <v>4.013675760891716</v>
      </c>
      <c r="D180" s="43" t="s">
        <v>69</v>
      </c>
      <c r="E180" s="43">
        <v>67</v>
      </c>
      <c r="G180" s="43">
        <v>18</v>
      </c>
      <c r="I180" s="43">
        <v>19</v>
      </c>
      <c r="J180" s="43">
        <v>8</v>
      </c>
      <c r="K180" s="43">
        <v>9</v>
      </c>
      <c r="L180" s="45">
        <v>0</v>
      </c>
      <c r="M180" s="45">
        <v>0</v>
      </c>
      <c r="T180" s="49" t="s">
        <v>611</v>
      </c>
    </row>
    <row r="181" spans="1:20" x14ac:dyDescent="0.25">
      <c r="A181" s="43">
        <v>11750</v>
      </c>
      <c r="B181" s="43" t="s">
        <v>283</v>
      </c>
      <c r="C181" s="56">
        <f>(I181*'Frost Calculation'!$F$20/'Frost Calculation'!$E$20)+(K181*'Frost Calculation'!$F$17/'Frost Calculation'!$E$17)+(L181*'Frost Calculation'!$F$18/'Frost Calculation'!$E$18)+M181*'Frost Calculation'!$F$19/'Frost Calculation'!$E$19</f>
        <v>2.9448907769193275</v>
      </c>
      <c r="D181" s="43" t="s">
        <v>111</v>
      </c>
      <c r="G181" s="43">
        <v>10</v>
      </c>
      <c r="I181" s="43">
        <v>12</v>
      </c>
      <c r="J181" s="43">
        <v>13</v>
      </c>
      <c r="K181" s="43">
        <v>0</v>
      </c>
      <c r="L181" s="45">
        <v>0.01</v>
      </c>
      <c r="M181" s="45">
        <v>0</v>
      </c>
      <c r="O181" s="43">
        <v>10</v>
      </c>
      <c r="T181" s="49" t="s">
        <v>630</v>
      </c>
    </row>
    <row r="182" spans="1:20" x14ac:dyDescent="0.25">
      <c r="A182" s="47">
        <v>12589</v>
      </c>
      <c r="B182" s="43" t="s">
        <v>260</v>
      </c>
      <c r="C182" s="56">
        <f>(I182*'Frost Calculation'!$F$20/'Frost Calculation'!$E$20)+(K182*'Frost Calculation'!$F$17/'Frost Calculation'!$E$17)+(L182*'Frost Calculation'!$F$18/'Frost Calculation'!$E$18)+M182*'Frost Calculation'!$F$19/'Frost Calculation'!$E$19</f>
        <v>3.9724884772984383</v>
      </c>
      <c r="D182" s="43" t="s">
        <v>70</v>
      </c>
      <c r="E182" s="43">
        <v>49</v>
      </c>
      <c r="G182" s="43">
        <v>10</v>
      </c>
      <c r="I182" s="43">
        <v>18</v>
      </c>
      <c r="K182" s="43">
        <v>9</v>
      </c>
      <c r="L182" s="45">
        <v>0</v>
      </c>
      <c r="M182" s="45">
        <v>0</v>
      </c>
      <c r="T182" s="49" t="s">
        <v>612</v>
      </c>
    </row>
    <row r="183" spans="1:20" x14ac:dyDescent="0.25">
      <c r="A183" s="43">
        <v>11832</v>
      </c>
      <c r="B183" s="43" t="s">
        <v>287</v>
      </c>
      <c r="C183" s="56">
        <f>(I183*'Frost Calculation'!$F$20/'Frost Calculation'!$E$20)+(K183*'Frost Calculation'!$F$17/'Frost Calculation'!$E$17)+(L183*'Frost Calculation'!$F$18/'Frost Calculation'!$E$18)+M183*'Frost Calculation'!$F$19/'Frost Calculation'!$E$19</f>
        <v>4.3081564968259292</v>
      </c>
      <c r="D183" s="43" t="s">
        <v>74</v>
      </c>
      <c r="E183" s="43">
        <v>0</v>
      </c>
      <c r="K183" s="43">
        <v>12</v>
      </c>
      <c r="L183" s="45">
        <v>0</v>
      </c>
      <c r="M183" s="45">
        <v>0</v>
      </c>
      <c r="T183" s="49" t="s">
        <v>608</v>
      </c>
    </row>
    <row r="184" spans="1:20" x14ac:dyDescent="0.25">
      <c r="A184" s="43">
        <v>7685</v>
      </c>
      <c r="B184" s="43" t="s">
        <v>329</v>
      </c>
      <c r="C184" s="56">
        <f>(I184*'Frost Calculation'!$F$20/'Frost Calculation'!$E$20)+(K184*'Frost Calculation'!$F$17/'Frost Calculation'!$E$17)+(L184*'Frost Calculation'!$F$18/'Frost Calculation'!$E$18)+M184*'Frost Calculation'!$F$19/'Frost Calculation'!$E$19</f>
        <v>4.3081564968259292</v>
      </c>
      <c r="D184" s="43" t="s">
        <v>76</v>
      </c>
      <c r="E184" s="43">
        <v>0</v>
      </c>
      <c r="K184" s="43">
        <v>12</v>
      </c>
      <c r="L184" s="45">
        <v>0</v>
      </c>
      <c r="M184" s="45">
        <v>0</v>
      </c>
      <c r="T184" s="49" t="s">
        <v>609</v>
      </c>
    </row>
    <row r="185" spans="1:20" x14ac:dyDescent="0.25">
      <c r="A185" s="47">
        <v>18496</v>
      </c>
      <c r="B185" s="43" t="s">
        <v>248</v>
      </c>
      <c r="C185" s="56">
        <f>(I185*'Frost Calculation'!$F$20/'Frost Calculation'!$E$20)+(K185*'Frost Calculation'!$F$17/'Frost Calculation'!$E$17)+(L185*'Frost Calculation'!$F$18/'Frost Calculation'!$E$18)+M185*'Frost Calculation'!$F$19/'Frost Calculation'!$E$19</f>
        <v>2.8625162097327728</v>
      </c>
      <c r="D185" s="43" t="s">
        <v>66</v>
      </c>
      <c r="E185" s="43">
        <v>43</v>
      </c>
      <c r="I185" s="43">
        <v>10</v>
      </c>
      <c r="K185" s="43">
        <v>0</v>
      </c>
      <c r="L185" s="45">
        <v>0.01</v>
      </c>
      <c r="M185" s="45">
        <v>0</v>
      </c>
      <c r="T185" s="49" t="s">
        <v>631</v>
      </c>
    </row>
    <row r="186" spans="1:20" x14ac:dyDescent="0.25">
      <c r="A186" s="47">
        <v>13938</v>
      </c>
      <c r="B186" s="43" t="s">
        <v>246</v>
      </c>
      <c r="C186" s="56">
        <f>(I186*'Frost Calculation'!$F$20/'Frost Calculation'!$E$20)+(K186*'Frost Calculation'!$F$17/'Frost Calculation'!$E$17)+(L186*'Frost Calculation'!$F$18/'Frost Calculation'!$E$18)+M186*'Frost Calculation'!$F$19/'Frost Calculation'!$E$19</f>
        <v>4.1138925897968779</v>
      </c>
      <c r="D186" s="43" t="s">
        <v>77</v>
      </c>
      <c r="I186" s="43">
        <v>4</v>
      </c>
      <c r="K186" s="43">
        <v>11</v>
      </c>
      <c r="L186" s="45">
        <v>0</v>
      </c>
      <c r="M186" s="45">
        <v>0</v>
      </c>
      <c r="T186" s="49" t="s">
        <v>610</v>
      </c>
    </row>
    <row r="187" spans="1:20" x14ac:dyDescent="0.25">
      <c r="A187" s="47">
        <v>18317</v>
      </c>
      <c r="B187" s="43" t="s">
        <v>259</v>
      </c>
      <c r="C187" s="56">
        <f>(I187*'Frost Calculation'!$F$20/'Frost Calculation'!$E$20)+(K187*'Frost Calculation'!$F$17/'Frost Calculation'!$E$17)+(L187*'Frost Calculation'!$F$18/'Frost Calculation'!$E$18)+M187*'Frost Calculation'!$F$19/'Frost Calculation'!$E$19</f>
        <v>2.7389543589529408</v>
      </c>
      <c r="D187" s="43" t="s">
        <v>64</v>
      </c>
      <c r="E187" s="43">
        <v>0</v>
      </c>
      <c r="I187" s="43">
        <v>7</v>
      </c>
      <c r="J187" s="43">
        <v>6</v>
      </c>
      <c r="K187" s="43">
        <v>0</v>
      </c>
      <c r="L187" s="45">
        <v>0.01</v>
      </c>
      <c r="M187" s="45">
        <v>0</v>
      </c>
      <c r="T187" s="49" t="s">
        <v>632</v>
      </c>
    </row>
    <row r="188" spans="1:20" x14ac:dyDescent="0.25">
      <c r="A188" s="47">
        <v>13185</v>
      </c>
      <c r="B188" s="43" t="s">
        <v>277</v>
      </c>
      <c r="C188" s="56">
        <f>(I188*'Frost Calculation'!$F$20/'Frost Calculation'!$E$20)+(K188*'Frost Calculation'!$F$17/'Frost Calculation'!$E$17)+(L188*'Frost Calculation'!$F$18/'Frost Calculation'!$E$18)+M188*'Frost Calculation'!$F$19/'Frost Calculation'!$E$19</f>
        <v>3.5722881523030003</v>
      </c>
      <c r="D188" s="43" t="s">
        <v>65</v>
      </c>
      <c r="E188" s="43">
        <v>65</v>
      </c>
      <c r="G188" s="43">
        <v>4</v>
      </c>
      <c r="I188" s="43">
        <v>17</v>
      </c>
      <c r="J188" s="43">
        <v>11</v>
      </c>
      <c r="K188" s="43">
        <v>8</v>
      </c>
      <c r="L188" s="45">
        <v>0</v>
      </c>
      <c r="M188" s="45">
        <v>0</v>
      </c>
      <c r="T188" s="49" t="s">
        <v>620</v>
      </c>
    </row>
    <row r="189" spans="1:20" x14ac:dyDescent="0.25">
      <c r="A189" s="43">
        <v>23178</v>
      </c>
      <c r="B189" s="43" t="s">
        <v>317</v>
      </c>
      <c r="C189" s="56">
        <f>(I189*'Frost Calculation'!$F$20/'Frost Calculation'!$E$20)+(K189*'Frost Calculation'!$F$17/'Frost Calculation'!$E$17)+(L189*'Frost Calculation'!$F$18/'Frost Calculation'!$E$18)+M189*'Frost Calculation'!$F$19/'Frost Calculation'!$E$19</f>
        <v>3.6018029249589429</v>
      </c>
      <c r="D189" s="43" t="s">
        <v>66</v>
      </c>
      <c r="E189" s="43">
        <v>30</v>
      </c>
      <c r="I189" s="43">
        <v>9</v>
      </c>
      <c r="K189" s="43">
        <v>9</v>
      </c>
      <c r="L189" s="45">
        <v>0</v>
      </c>
      <c r="M189" s="45">
        <v>0</v>
      </c>
      <c r="T189" s="49" t="s">
        <v>617</v>
      </c>
    </row>
    <row r="190" spans="1:20" x14ac:dyDescent="0.25">
      <c r="A190" s="43">
        <v>19507</v>
      </c>
      <c r="B190" s="43" t="s">
        <v>324</v>
      </c>
      <c r="C190" s="56">
        <f>(I190*'Frost Calculation'!$F$20/'Frost Calculation'!$E$20)+(K190*'Frost Calculation'!$F$17/'Frost Calculation'!$E$17)+(L190*'Frost Calculation'!$F$18/'Frost Calculation'!$E$18)+M190*'Frost Calculation'!$F$19/'Frost Calculation'!$E$19</f>
        <v>3.5606156413656658</v>
      </c>
      <c r="D190" s="43" t="s">
        <v>65</v>
      </c>
      <c r="E190" s="43">
        <v>40</v>
      </c>
      <c r="I190" s="43">
        <v>8</v>
      </c>
      <c r="K190" s="43">
        <v>9</v>
      </c>
      <c r="L190" s="45">
        <v>0</v>
      </c>
      <c r="M190" s="45">
        <v>0</v>
      </c>
      <c r="T190" s="49" t="s">
        <v>618</v>
      </c>
    </row>
    <row r="191" spans="1:20" x14ac:dyDescent="0.25">
      <c r="A191" s="43">
        <v>7714</v>
      </c>
      <c r="B191" s="43" t="s">
        <v>327</v>
      </c>
      <c r="C191" s="56">
        <f>(I191*'Frost Calculation'!$F$20/'Frost Calculation'!$E$20)+(K191*'Frost Calculation'!$F$17/'Frost Calculation'!$E$17)+(L191*'Frost Calculation'!$F$18/'Frost Calculation'!$E$18)+M191*'Frost Calculation'!$F$19/'Frost Calculation'!$E$19</f>
        <v>3.5606156413656658</v>
      </c>
      <c r="D191" s="43" t="s">
        <v>75</v>
      </c>
      <c r="I191" s="43">
        <v>8</v>
      </c>
      <c r="J191" s="43">
        <v>3</v>
      </c>
      <c r="K191" s="43">
        <v>9</v>
      </c>
      <c r="L191" s="45">
        <v>0</v>
      </c>
      <c r="M191" s="45">
        <v>0</v>
      </c>
      <c r="T191" s="49" t="s">
        <v>619</v>
      </c>
    </row>
    <row r="192" spans="1:20" x14ac:dyDescent="0.25">
      <c r="A192" s="46">
        <v>21678</v>
      </c>
      <c r="B192" s="43" t="s">
        <v>401</v>
      </c>
      <c r="C192" s="56">
        <f>(I192*'Frost Calculation'!$F$20/'Frost Calculation'!$E$20)+(K192*'Frost Calculation'!$F$17/'Frost Calculation'!$E$17)+(L192*'Frost Calculation'!$F$18/'Frost Calculation'!$E$18)+M192*'Frost Calculation'!$F$19/'Frost Calculation'!$E$19</f>
        <v>3.4075390179298912</v>
      </c>
      <c r="D192" s="43" t="s">
        <v>64</v>
      </c>
      <c r="E192" s="43">
        <v>0</v>
      </c>
      <c r="G192" s="43">
        <v>9</v>
      </c>
      <c r="I192" s="43">
        <v>13</v>
      </c>
      <c r="K192" s="43">
        <v>8</v>
      </c>
      <c r="L192" s="45">
        <v>0</v>
      </c>
      <c r="M192" s="45">
        <v>0</v>
      </c>
      <c r="Q192" s="43">
        <v>20</v>
      </c>
      <c r="T192" s="49" t="s">
        <v>622</v>
      </c>
    </row>
    <row r="193" spans="1:20" x14ac:dyDescent="0.25">
      <c r="A193" s="43">
        <v>11824</v>
      </c>
      <c r="B193" s="43" t="s">
        <v>282</v>
      </c>
      <c r="C193" s="56">
        <f>(I193*'Frost Calculation'!$F$20/'Frost Calculation'!$E$20)+(K193*'Frost Calculation'!$F$17/'Frost Calculation'!$E$17)+(L193*'Frost Calculation'!$F$18/'Frost Calculation'!$E$18)+M193*'Frost Calculation'!$F$19/'Frost Calculation'!$E$19</f>
        <v>3.5194283577723882</v>
      </c>
      <c r="D193" s="43" t="s">
        <v>73</v>
      </c>
      <c r="E193" s="43">
        <v>0</v>
      </c>
      <c r="G193" s="43">
        <v>8</v>
      </c>
      <c r="I193" s="43">
        <v>7</v>
      </c>
      <c r="J193" s="43">
        <v>4</v>
      </c>
      <c r="K193" s="43">
        <v>9</v>
      </c>
      <c r="L193" s="45">
        <v>0</v>
      </c>
      <c r="M193" s="45">
        <v>0</v>
      </c>
      <c r="T193" s="49" t="s">
        <v>621</v>
      </c>
    </row>
    <row r="194" spans="1:20" x14ac:dyDescent="0.25">
      <c r="A194" s="43">
        <v>17719</v>
      </c>
      <c r="B194" s="43" t="s">
        <v>306</v>
      </c>
      <c r="C194" s="56">
        <f>(I194*'Frost Calculation'!$F$20/'Frost Calculation'!$E$20)+(K194*'Frost Calculation'!$F$17/'Frost Calculation'!$E$17)+(L194*'Frost Calculation'!$F$18/'Frost Calculation'!$E$18)+M194*'Frost Calculation'!$F$19/'Frost Calculation'!$E$19</f>
        <v>2.4506433737999997</v>
      </c>
      <c r="D194" s="43" t="s">
        <v>75</v>
      </c>
      <c r="K194" s="43">
        <v>0</v>
      </c>
      <c r="L194" s="45">
        <v>0.01</v>
      </c>
      <c r="M194" s="45">
        <v>0</v>
      </c>
      <c r="T194" s="49" t="s">
        <v>633</v>
      </c>
    </row>
    <row r="195" spans="1:20" x14ac:dyDescent="0.25">
      <c r="A195" s="43">
        <v>21563</v>
      </c>
      <c r="B195" s="43" t="s">
        <v>343</v>
      </c>
      <c r="C195" s="56">
        <f>(I195*'Frost Calculation'!$F$20/'Frost Calculation'!$E$20)+(K195*'Frost Calculation'!$F$17/'Frost Calculation'!$E$17)+(L195*'Frost Calculation'!$F$18/'Frost Calculation'!$E$18)+M195*'Frost Calculation'!$F$19/'Frost Calculation'!$E$19</f>
        <v>2.4506433737999997</v>
      </c>
      <c r="D195" s="43" t="s">
        <v>73</v>
      </c>
      <c r="E195" s="43">
        <v>0</v>
      </c>
      <c r="G195" s="43">
        <v>7</v>
      </c>
      <c r="K195" s="43">
        <v>0</v>
      </c>
      <c r="L195" s="45">
        <v>0.01</v>
      </c>
      <c r="M195" s="45">
        <v>0</v>
      </c>
      <c r="T195" s="49" t="s">
        <v>640</v>
      </c>
    </row>
    <row r="196" spans="1:20" x14ac:dyDescent="0.25">
      <c r="A196" s="47">
        <v>14626</v>
      </c>
      <c r="B196" s="43" t="s">
        <v>238</v>
      </c>
      <c r="C196" s="56">
        <f>(I196*'Frost Calculation'!$F$20/'Frost Calculation'!$E$20)+(K196*'Frost Calculation'!$F$17/'Frost Calculation'!$E$17)+(L196*'Frost Calculation'!$F$18/'Frost Calculation'!$E$18)+M196*'Frost Calculation'!$F$19/'Frost Calculation'!$E$19</f>
        <v>3.3663517343366141</v>
      </c>
      <c r="D196" s="43" t="s">
        <v>67</v>
      </c>
      <c r="E196" s="43">
        <v>87</v>
      </c>
      <c r="G196" s="43">
        <v>22</v>
      </c>
      <c r="I196" s="43">
        <v>12</v>
      </c>
      <c r="J196" s="43">
        <v>12</v>
      </c>
      <c r="K196" s="43">
        <v>8</v>
      </c>
      <c r="L196" s="45">
        <v>0</v>
      </c>
      <c r="M196" s="45">
        <v>0</v>
      </c>
      <c r="T196" s="49" t="s">
        <v>625</v>
      </c>
    </row>
    <row r="197" spans="1:20" x14ac:dyDescent="0.25">
      <c r="A197" s="43">
        <v>10572</v>
      </c>
      <c r="B197" s="43" t="s">
        <v>323</v>
      </c>
      <c r="C197" s="56">
        <f>(I197*'Frost Calculation'!$F$20/'Frost Calculation'!$E$20)+(K197*'Frost Calculation'!$F$17/'Frost Calculation'!$E$17)+(L197*'Frost Calculation'!$F$18/'Frost Calculation'!$E$18)+M197*'Frost Calculation'!$F$19/'Frost Calculation'!$E$19</f>
        <v>3.5901304140216079</v>
      </c>
      <c r="D197" s="43" t="s">
        <v>77</v>
      </c>
      <c r="K197" s="43">
        <v>10</v>
      </c>
      <c r="L197" s="45">
        <v>0</v>
      </c>
      <c r="M197" s="45">
        <v>0</v>
      </c>
      <c r="T197" s="49" t="s">
        <v>616</v>
      </c>
    </row>
    <row r="198" spans="1:20" x14ac:dyDescent="0.25">
      <c r="A198" s="43">
        <v>10787</v>
      </c>
      <c r="B198" s="43" t="s">
        <v>293</v>
      </c>
      <c r="C198" s="56">
        <f>(I198*'Frost Calculation'!$F$20/'Frost Calculation'!$E$20)+(K198*'Frost Calculation'!$F$17/'Frost Calculation'!$E$17)+(L198*'Frost Calculation'!$F$18/'Frost Calculation'!$E$18)+M198*'Frost Calculation'!$F$19/'Frost Calculation'!$E$19</f>
        <v>3.2311173726194471</v>
      </c>
      <c r="D198" s="43" t="s">
        <v>69</v>
      </c>
      <c r="E198" s="43">
        <v>47</v>
      </c>
      <c r="K198" s="43">
        <v>9</v>
      </c>
      <c r="L198" s="45">
        <v>0</v>
      </c>
      <c r="M198" s="45">
        <v>0</v>
      </c>
      <c r="T198" s="49" t="s">
        <v>626</v>
      </c>
    </row>
    <row r="199" spans="1:20" x14ac:dyDescent="0.25">
      <c r="A199" s="43">
        <v>16688</v>
      </c>
      <c r="B199" s="43" t="s">
        <v>266</v>
      </c>
      <c r="C199" s="56">
        <f>(I199*'Frost Calculation'!$F$20/'Frost Calculation'!$E$20)+(K199*'Frost Calculation'!$F$17/'Frost Calculation'!$E$17)+(L199*'Frost Calculation'!$F$18/'Frost Calculation'!$E$18)+M199*'Frost Calculation'!$F$19/'Frost Calculation'!$E$19</f>
        <v>1.2768057913915964</v>
      </c>
      <c r="D199" s="43" t="s">
        <v>67</v>
      </c>
      <c r="E199" s="43">
        <v>89</v>
      </c>
      <c r="G199" s="43">
        <v>9</v>
      </c>
      <c r="I199" s="43">
        <v>31</v>
      </c>
      <c r="J199" s="43">
        <v>8</v>
      </c>
      <c r="K199" s="43">
        <v>0</v>
      </c>
      <c r="L199" s="45">
        <v>0</v>
      </c>
      <c r="M199" s="45">
        <v>0</v>
      </c>
      <c r="T199" s="49" t="s">
        <v>634</v>
      </c>
    </row>
    <row r="200" spans="1:20" x14ac:dyDescent="0.25">
      <c r="A200" s="47">
        <v>16686</v>
      </c>
      <c r="B200" s="43" t="s">
        <v>244</v>
      </c>
      <c r="C200" s="56">
        <f>(I200*'Frost Calculation'!$F$20/'Frost Calculation'!$E$20)+(K200*'Frost Calculation'!$F$17/'Frost Calculation'!$E$17)+(L200*'Frost Calculation'!$F$18/'Frost Calculation'!$E$18)+M200*'Frost Calculation'!$F$19/'Frost Calculation'!$E$19</f>
        <v>1.2356185077983193</v>
      </c>
      <c r="D200" s="43" t="s">
        <v>63</v>
      </c>
      <c r="E200" s="43">
        <v>71</v>
      </c>
      <c r="G200" s="43">
        <v>11</v>
      </c>
      <c r="I200" s="43">
        <v>30</v>
      </c>
      <c r="J200" s="43">
        <v>5</v>
      </c>
      <c r="K200" s="43">
        <v>0</v>
      </c>
      <c r="L200" s="45">
        <v>0</v>
      </c>
      <c r="M200" s="45">
        <v>0</v>
      </c>
      <c r="T200" s="49" t="s">
        <v>635</v>
      </c>
    </row>
    <row r="201" spans="1:20" x14ac:dyDescent="0.25">
      <c r="A201" s="43">
        <v>12604</v>
      </c>
      <c r="B201" s="43" t="s">
        <v>261</v>
      </c>
      <c r="C201" s="56">
        <f>(I201*'Frost Calculation'!$F$20/'Frost Calculation'!$E$20)+(K201*'Frost Calculation'!$F$17/'Frost Calculation'!$E$17)+(L201*'Frost Calculation'!$F$18/'Frost Calculation'!$E$18)+M201*'Frost Calculation'!$F$19/'Frost Calculation'!$E$19</f>
        <v>1.1532439406117647</v>
      </c>
      <c r="D201" s="43" t="s">
        <v>63</v>
      </c>
      <c r="E201" s="43">
        <v>69</v>
      </c>
      <c r="I201" s="43">
        <v>28</v>
      </c>
      <c r="J201" s="43">
        <v>10</v>
      </c>
      <c r="K201" s="43">
        <v>0</v>
      </c>
      <c r="L201" s="45">
        <v>0</v>
      </c>
      <c r="M201" s="45">
        <v>0</v>
      </c>
      <c r="O201" s="43">
        <v>10</v>
      </c>
      <c r="T201" s="49" t="s">
        <v>636</v>
      </c>
    </row>
    <row r="202" spans="1:20" x14ac:dyDescent="0.25">
      <c r="A202" s="43">
        <v>11839</v>
      </c>
      <c r="B202" s="43" t="s">
        <v>285</v>
      </c>
      <c r="C202" s="56">
        <f>(I202*'Frost Calculation'!$F$20/'Frost Calculation'!$E$20)+(K202*'Frost Calculation'!$F$17/'Frost Calculation'!$E$17)+(L202*'Frost Calculation'!$F$18/'Frost Calculation'!$E$18)+M202*'Frost Calculation'!$F$19/'Frost Calculation'!$E$19</f>
        <v>1.1120566570184873</v>
      </c>
      <c r="D202" s="43" t="s">
        <v>63</v>
      </c>
      <c r="E202" s="43">
        <v>64</v>
      </c>
      <c r="G202" s="43">
        <v>10</v>
      </c>
      <c r="I202" s="43">
        <v>27</v>
      </c>
      <c r="J202" s="43">
        <v>3</v>
      </c>
      <c r="K202" s="43">
        <v>0</v>
      </c>
      <c r="L202" s="45">
        <v>0</v>
      </c>
      <c r="M202" s="45">
        <v>0</v>
      </c>
      <c r="T202" s="49" t="s">
        <v>637</v>
      </c>
    </row>
    <row r="203" spans="1:20" x14ac:dyDescent="0.25">
      <c r="A203" s="47">
        <v>16693</v>
      </c>
      <c r="B203" s="43" t="s">
        <v>243</v>
      </c>
      <c r="C203" s="56">
        <f>(I203*'Frost Calculation'!$F$20/'Frost Calculation'!$E$20)+(K203*'Frost Calculation'!$F$17/'Frost Calculation'!$E$17)+(L203*'Frost Calculation'!$F$18/'Frost Calculation'!$E$18)+M203*'Frost Calculation'!$F$19/'Frost Calculation'!$E$19</f>
        <v>0.98849480623865538</v>
      </c>
      <c r="D203" s="43" t="s">
        <v>63</v>
      </c>
      <c r="E203" s="43">
        <v>71</v>
      </c>
      <c r="G203" s="43">
        <v>13</v>
      </c>
      <c r="I203" s="43">
        <v>24</v>
      </c>
      <c r="J203" s="43">
        <v>15</v>
      </c>
      <c r="K203" s="43">
        <v>0</v>
      </c>
      <c r="L203" s="45">
        <v>0</v>
      </c>
      <c r="M203" s="45">
        <v>0</v>
      </c>
      <c r="T203" s="49" t="s">
        <v>638</v>
      </c>
    </row>
    <row r="204" spans="1:20" x14ac:dyDescent="0.25">
      <c r="A204" s="43">
        <v>16690</v>
      </c>
      <c r="B204" s="43" t="s">
        <v>265</v>
      </c>
      <c r="C204" s="56">
        <f>(I204*'Frost Calculation'!$F$20/'Frost Calculation'!$E$20)+(K204*'Frost Calculation'!$F$17/'Frost Calculation'!$E$17)+(L204*'Frost Calculation'!$F$18/'Frost Calculation'!$E$18)+M204*'Frost Calculation'!$F$19/'Frost Calculation'!$E$19</f>
        <v>0.98849480623865538</v>
      </c>
      <c r="D204" s="43" t="s">
        <v>67</v>
      </c>
      <c r="E204" s="43">
        <v>89</v>
      </c>
      <c r="G204" s="43">
        <v>13</v>
      </c>
      <c r="I204" s="43">
        <v>24</v>
      </c>
      <c r="J204" s="43">
        <v>15</v>
      </c>
      <c r="K204" s="43">
        <v>0</v>
      </c>
      <c r="L204" s="45">
        <v>0</v>
      </c>
      <c r="M204" s="45">
        <v>0</v>
      </c>
      <c r="T204" s="49" t="s">
        <v>639</v>
      </c>
    </row>
    <row r="205" spans="1:20" x14ac:dyDescent="0.25">
      <c r="A205" s="47">
        <v>16698</v>
      </c>
      <c r="B205" s="43" t="s">
        <v>245</v>
      </c>
      <c r="C205" s="56">
        <f>(I205*'Frost Calculation'!$F$20/'Frost Calculation'!$E$20)+(K205*'Frost Calculation'!$F$17/'Frost Calculation'!$E$17)+(L205*'Frost Calculation'!$F$18/'Frost Calculation'!$E$18)+M205*'Frost Calculation'!$F$19/'Frost Calculation'!$E$19</f>
        <v>0.9473075226453781</v>
      </c>
      <c r="D205" s="43" t="s">
        <v>63</v>
      </c>
      <c r="E205" s="43">
        <v>71</v>
      </c>
      <c r="G205" s="43">
        <v>15</v>
      </c>
      <c r="I205" s="43">
        <v>23</v>
      </c>
      <c r="J205" s="43">
        <v>12</v>
      </c>
      <c r="K205" s="43">
        <v>0</v>
      </c>
      <c r="L205" s="45">
        <v>0</v>
      </c>
      <c r="M205" s="45">
        <v>0</v>
      </c>
      <c r="T205" s="49" t="s">
        <v>641</v>
      </c>
    </row>
    <row r="206" spans="1:20" x14ac:dyDescent="0.25">
      <c r="A206" s="47">
        <v>13374</v>
      </c>
      <c r="B206" s="43" t="s">
        <v>219</v>
      </c>
      <c r="C206" s="56">
        <f>(I206*'Frost Calculation'!$F$20/'Frost Calculation'!$E$20)+(K206*'Frost Calculation'!$F$17/'Frost Calculation'!$E$17)+(L206*'Frost Calculation'!$F$18/'Frost Calculation'!$E$18)+M206*'Frost Calculation'!$F$19/'Frost Calculation'!$E$19</f>
        <v>0.90612023905210082</v>
      </c>
      <c r="D206" s="43" t="s">
        <v>65</v>
      </c>
      <c r="E206" s="43">
        <v>64</v>
      </c>
      <c r="I206" s="43">
        <v>22</v>
      </c>
      <c r="J206" s="43">
        <v>9</v>
      </c>
      <c r="K206" s="43">
        <v>0</v>
      </c>
      <c r="L206" s="45">
        <v>0</v>
      </c>
      <c r="M206" s="45">
        <v>0</v>
      </c>
      <c r="T206" s="49" t="s">
        <v>642</v>
      </c>
    </row>
    <row r="207" spans="1:20" x14ac:dyDescent="0.25">
      <c r="A207" s="47">
        <v>16689</v>
      </c>
      <c r="B207" s="43" t="s">
        <v>233</v>
      </c>
      <c r="C207" s="56">
        <f>(I207*'Frost Calculation'!$F$20/'Frost Calculation'!$E$20)+(K207*'Frost Calculation'!$F$17/'Frost Calculation'!$E$17)+(L207*'Frost Calculation'!$F$18/'Frost Calculation'!$E$18)+M207*'Frost Calculation'!$F$19/'Frost Calculation'!$E$19</f>
        <v>0.90612023905210082</v>
      </c>
      <c r="D207" s="43" t="s">
        <v>65</v>
      </c>
      <c r="E207" s="43">
        <v>64</v>
      </c>
      <c r="G207" s="43">
        <v>6</v>
      </c>
      <c r="I207" s="43">
        <v>22</v>
      </c>
      <c r="J207" s="43">
        <v>6</v>
      </c>
      <c r="K207" s="43">
        <v>0</v>
      </c>
      <c r="L207" s="45">
        <v>0</v>
      </c>
      <c r="M207" s="45">
        <v>0</v>
      </c>
      <c r="T207" s="49" t="s">
        <v>643</v>
      </c>
    </row>
    <row r="208" spans="1:20" x14ac:dyDescent="0.25">
      <c r="A208" s="47">
        <v>16685</v>
      </c>
      <c r="B208" s="43" t="s">
        <v>226</v>
      </c>
      <c r="C208" s="56">
        <f>(I208*'Frost Calculation'!$F$20/'Frost Calculation'!$E$20)+(K208*'Frost Calculation'!$F$17/'Frost Calculation'!$E$17)+(L208*'Frost Calculation'!$F$18/'Frost Calculation'!$E$18)+M208*'Frost Calculation'!$F$19/'Frost Calculation'!$E$19</f>
        <v>0.86493295545882343</v>
      </c>
      <c r="D208" s="43" t="s">
        <v>70</v>
      </c>
      <c r="E208" s="43">
        <v>46</v>
      </c>
      <c r="G208" s="43">
        <v>6</v>
      </c>
      <c r="I208" s="43">
        <v>21</v>
      </c>
      <c r="J208" s="43">
        <v>6</v>
      </c>
      <c r="K208" s="43">
        <v>0</v>
      </c>
      <c r="L208" s="45">
        <v>0</v>
      </c>
      <c r="M208" s="45">
        <v>0</v>
      </c>
      <c r="T208" s="49" t="s">
        <v>644</v>
      </c>
    </row>
    <row r="209" spans="1:20" x14ac:dyDescent="0.25">
      <c r="A209" s="43">
        <v>16700</v>
      </c>
      <c r="B209" s="43" t="s">
        <v>267</v>
      </c>
      <c r="C209" s="56">
        <f>(I209*'Frost Calculation'!$F$20/'Frost Calculation'!$E$20)+(K209*'Frost Calculation'!$F$17/'Frost Calculation'!$E$17)+(L209*'Frost Calculation'!$F$18/'Frost Calculation'!$E$18)+M209*'Frost Calculation'!$F$19/'Frost Calculation'!$E$19</f>
        <v>0.86493295545882343</v>
      </c>
      <c r="D209" s="43" t="s">
        <v>67</v>
      </c>
      <c r="E209" s="43">
        <v>89</v>
      </c>
      <c r="G209" s="43">
        <v>20</v>
      </c>
      <c r="I209" s="43">
        <v>21</v>
      </c>
      <c r="J209" s="43">
        <v>13</v>
      </c>
      <c r="K209" s="43">
        <v>0</v>
      </c>
      <c r="L209" s="45">
        <v>0</v>
      </c>
      <c r="M209" s="45">
        <v>0</v>
      </c>
      <c r="T209" s="49" t="s">
        <v>645</v>
      </c>
    </row>
    <row r="210" spans="1:20" x14ac:dyDescent="0.25">
      <c r="A210" s="43">
        <v>16696</v>
      </c>
      <c r="B210" s="43" t="s">
        <v>268</v>
      </c>
      <c r="C210" s="56">
        <f>(I210*'Frost Calculation'!$F$20/'Frost Calculation'!$E$20)+(K210*'Frost Calculation'!$F$17/'Frost Calculation'!$E$17)+(L210*'Frost Calculation'!$F$18/'Frost Calculation'!$E$18)+M210*'Frost Calculation'!$F$19/'Frost Calculation'!$E$19</f>
        <v>0.82374567186554615</v>
      </c>
      <c r="D210" s="43" t="s">
        <v>70</v>
      </c>
      <c r="E210" s="43">
        <v>46</v>
      </c>
      <c r="G210" s="43">
        <v>4</v>
      </c>
      <c r="I210" s="43">
        <v>20</v>
      </c>
      <c r="J210" s="43">
        <v>9</v>
      </c>
      <c r="K210" s="43">
        <v>0</v>
      </c>
      <c r="L210" s="45">
        <v>0</v>
      </c>
      <c r="M210" s="45">
        <v>0</v>
      </c>
      <c r="T210" s="49" t="s">
        <v>646</v>
      </c>
    </row>
    <row r="211" spans="1:20" x14ac:dyDescent="0.25">
      <c r="A211" s="43">
        <v>17715</v>
      </c>
      <c r="B211" s="43" t="s">
        <v>308</v>
      </c>
      <c r="C211" s="56">
        <f>(I211*'Frost Calculation'!$F$20/'Frost Calculation'!$E$20)+(K211*'Frost Calculation'!$F$17/'Frost Calculation'!$E$17)+(L211*'Frost Calculation'!$F$18/'Frost Calculation'!$E$18)+M211*'Frost Calculation'!$F$19/'Frost Calculation'!$E$19</f>
        <v>0.82374567186554615</v>
      </c>
      <c r="D211" s="43" t="s">
        <v>63</v>
      </c>
      <c r="E211" s="43">
        <v>63</v>
      </c>
      <c r="G211" s="43">
        <v>13</v>
      </c>
      <c r="I211" s="43">
        <v>20</v>
      </c>
      <c r="J211" s="43">
        <v>11</v>
      </c>
      <c r="K211" s="43">
        <v>0</v>
      </c>
      <c r="L211" s="45">
        <v>0</v>
      </c>
      <c r="M211" s="45">
        <v>0</v>
      </c>
      <c r="T211" s="49" t="s">
        <v>647</v>
      </c>
    </row>
    <row r="212" spans="1:20" x14ac:dyDescent="0.25">
      <c r="A212" s="43">
        <v>12466</v>
      </c>
      <c r="B212" s="43" t="s">
        <v>301</v>
      </c>
      <c r="C212" s="56">
        <f>(I212*'Frost Calculation'!$F$20/'Frost Calculation'!$E$20)+(K212*'Frost Calculation'!$F$17/'Frost Calculation'!$E$17)+(L212*'Frost Calculation'!$F$18/'Frost Calculation'!$E$18)+M212*'Frost Calculation'!$F$19/'Frost Calculation'!$E$19</f>
        <v>0.78255838827226887</v>
      </c>
      <c r="D212" s="43" t="s">
        <v>70</v>
      </c>
      <c r="E212" s="43">
        <v>43</v>
      </c>
      <c r="I212" s="43">
        <v>19</v>
      </c>
      <c r="J212" s="43">
        <v>8</v>
      </c>
      <c r="K212" s="43">
        <v>0</v>
      </c>
      <c r="L212" s="45">
        <v>0</v>
      </c>
      <c r="M212" s="45">
        <v>0</v>
      </c>
      <c r="T212" s="49" t="s">
        <v>648</v>
      </c>
    </row>
    <row r="213" spans="1:20" x14ac:dyDescent="0.25">
      <c r="A213" s="43">
        <v>10574</v>
      </c>
      <c r="B213" s="43" t="s">
        <v>321</v>
      </c>
      <c r="C213" s="56">
        <f>(I213*'Frost Calculation'!$F$20/'Frost Calculation'!$E$20)+(K213*'Frost Calculation'!$F$17/'Frost Calculation'!$E$17)+(L213*'Frost Calculation'!$F$18/'Frost Calculation'!$E$18)+M213*'Frost Calculation'!$F$19/'Frost Calculation'!$E$19</f>
        <v>0.78255838827226887</v>
      </c>
      <c r="D213" s="43" t="s">
        <v>63</v>
      </c>
      <c r="E213" s="43">
        <v>47</v>
      </c>
      <c r="I213" s="43">
        <v>19</v>
      </c>
      <c r="J213" s="43">
        <v>6</v>
      </c>
      <c r="K213" s="43">
        <v>0</v>
      </c>
      <c r="L213" s="45">
        <v>0</v>
      </c>
      <c r="M213" s="45">
        <v>0</v>
      </c>
      <c r="T213" s="49" t="s">
        <v>649</v>
      </c>
    </row>
    <row r="214" spans="1:20" x14ac:dyDescent="0.25">
      <c r="A214" s="47">
        <v>14632</v>
      </c>
      <c r="B214" s="43" t="s">
        <v>239</v>
      </c>
      <c r="C214" s="56">
        <f>(I214*'Frost Calculation'!$F$20/'Frost Calculation'!$E$20)+(K214*'Frost Calculation'!$F$17/'Frost Calculation'!$E$17)+(L214*'Frost Calculation'!$F$18/'Frost Calculation'!$E$18)+M214*'Frost Calculation'!$F$19/'Frost Calculation'!$E$19</f>
        <v>0.74137110467899148</v>
      </c>
      <c r="D214" s="43" t="s">
        <v>71</v>
      </c>
      <c r="E214" s="43">
        <v>76</v>
      </c>
      <c r="G214" s="43">
        <v>21</v>
      </c>
      <c r="I214" s="43">
        <v>18</v>
      </c>
      <c r="J214" s="43">
        <v>12</v>
      </c>
      <c r="K214" s="43">
        <v>0</v>
      </c>
      <c r="L214" s="45">
        <v>0</v>
      </c>
      <c r="M214" s="45">
        <v>0</v>
      </c>
      <c r="T214" s="49" t="s">
        <v>650</v>
      </c>
    </row>
    <row r="215" spans="1:20" x14ac:dyDescent="0.25">
      <c r="A215" s="43">
        <v>10807</v>
      </c>
      <c r="B215" s="43" t="s">
        <v>299</v>
      </c>
      <c r="C215" s="56">
        <f>(I215*'Frost Calculation'!$F$20/'Frost Calculation'!$E$20)+(K215*'Frost Calculation'!$F$17/'Frost Calculation'!$E$17)+(L215*'Frost Calculation'!$F$18/'Frost Calculation'!$E$18)+M215*'Frost Calculation'!$F$19/'Frost Calculation'!$E$19</f>
        <v>0.74137110467899148</v>
      </c>
      <c r="D215" s="43" t="s">
        <v>71</v>
      </c>
      <c r="E215" s="43">
        <v>69</v>
      </c>
      <c r="G215" s="43">
        <v>9</v>
      </c>
      <c r="I215" s="43">
        <v>18</v>
      </c>
      <c r="J215" s="43">
        <v>18</v>
      </c>
      <c r="K215" s="43">
        <v>0</v>
      </c>
      <c r="L215" s="45">
        <v>0</v>
      </c>
      <c r="M215" s="45">
        <v>0</v>
      </c>
      <c r="T215" s="49" t="s">
        <v>659</v>
      </c>
    </row>
    <row r="216" spans="1:20" x14ac:dyDescent="0.25">
      <c r="A216" s="47">
        <v>13345</v>
      </c>
      <c r="B216" s="43" t="s">
        <v>220</v>
      </c>
      <c r="C216" s="56">
        <f>(I216*'Frost Calculation'!$F$20/'Frost Calculation'!$E$20)+(K216*'Frost Calculation'!$F$17/'Frost Calculation'!$E$17)+(L216*'Frost Calculation'!$F$18/'Frost Calculation'!$E$18)+M216*'Frost Calculation'!$F$19/'Frost Calculation'!$E$19</f>
        <v>0.7001838210857142</v>
      </c>
      <c r="D216" s="43" t="s">
        <v>73</v>
      </c>
      <c r="E216" s="43">
        <v>0</v>
      </c>
      <c r="I216" s="43">
        <v>17</v>
      </c>
      <c r="J216" s="43">
        <v>7</v>
      </c>
      <c r="K216" s="43">
        <v>0</v>
      </c>
      <c r="L216" s="45">
        <v>0</v>
      </c>
      <c r="M216" s="45">
        <v>0</v>
      </c>
      <c r="T216" s="49" t="s">
        <v>651</v>
      </c>
    </row>
    <row r="217" spans="1:20" x14ac:dyDescent="0.25">
      <c r="A217" s="46">
        <v>13403</v>
      </c>
      <c r="B217" s="43" t="s">
        <v>212</v>
      </c>
      <c r="C217" s="56">
        <f>(I217*'Frost Calculation'!$F$20/'Frost Calculation'!$E$20)+(K217*'Frost Calculation'!$F$17/'Frost Calculation'!$E$17)+(L217*'Frost Calculation'!$F$18/'Frost Calculation'!$E$18)+M217*'Frost Calculation'!$F$19/'Frost Calculation'!$E$19</f>
        <v>0.7001838210857142</v>
      </c>
      <c r="D217" s="43" t="s">
        <v>70</v>
      </c>
      <c r="E217" s="43">
        <v>47</v>
      </c>
      <c r="G217" s="43">
        <v>9</v>
      </c>
      <c r="I217" s="43">
        <v>17</v>
      </c>
      <c r="J217" s="43">
        <v>10</v>
      </c>
      <c r="K217" s="43">
        <v>0</v>
      </c>
      <c r="L217" s="45">
        <v>0</v>
      </c>
      <c r="M217" s="45">
        <v>0</v>
      </c>
      <c r="T217" s="49" t="s">
        <v>652</v>
      </c>
    </row>
    <row r="218" spans="1:20" x14ac:dyDescent="0.25">
      <c r="A218" s="47">
        <v>16702</v>
      </c>
      <c r="B218" s="43" t="s">
        <v>227</v>
      </c>
      <c r="C218" s="56">
        <f>(I218*'Frost Calculation'!$F$20/'Frost Calculation'!$E$20)+(K218*'Frost Calculation'!$F$17/'Frost Calculation'!$E$17)+(L218*'Frost Calculation'!$F$18/'Frost Calculation'!$E$18)+M218*'Frost Calculation'!$F$19/'Frost Calculation'!$E$19</f>
        <v>0.7001838210857142</v>
      </c>
      <c r="D218" s="43" t="s">
        <v>70</v>
      </c>
      <c r="E218" s="43">
        <v>46</v>
      </c>
      <c r="G218" s="43">
        <v>10</v>
      </c>
      <c r="I218" s="43">
        <v>17</v>
      </c>
      <c r="J218" s="43">
        <v>9</v>
      </c>
      <c r="K218" s="43">
        <v>0</v>
      </c>
      <c r="L218" s="45">
        <v>0</v>
      </c>
      <c r="M218" s="45">
        <v>0</v>
      </c>
      <c r="T218" s="49" t="s">
        <v>653</v>
      </c>
    </row>
    <row r="219" spans="1:20" x14ac:dyDescent="0.25">
      <c r="A219" s="43">
        <v>12462</v>
      </c>
      <c r="B219" s="43" t="s">
        <v>294</v>
      </c>
      <c r="C219" s="56">
        <f>(I219*'Frost Calculation'!$F$20/'Frost Calculation'!$E$20)+(K219*'Frost Calculation'!$F$17/'Frost Calculation'!$E$17)+(L219*'Frost Calculation'!$F$18/'Frost Calculation'!$E$18)+M219*'Frost Calculation'!$F$19/'Frost Calculation'!$E$19</f>
        <v>0.7001838210857142</v>
      </c>
      <c r="D219" s="43" t="s">
        <v>67</v>
      </c>
      <c r="E219" s="43">
        <v>86</v>
      </c>
      <c r="G219" s="43">
        <v>9</v>
      </c>
      <c r="I219" s="43">
        <v>17</v>
      </c>
      <c r="J219" s="43">
        <v>30</v>
      </c>
      <c r="K219" s="43">
        <v>0</v>
      </c>
      <c r="L219" s="45">
        <v>0</v>
      </c>
      <c r="M219" s="45">
        <v>0</v>
      </c>
      <c r="Q219" s="43">
        <v>12</v>
      </c>
      <c r="T219" s="49" t="s">
        <v>654</v>
      </c>
    </row>
    <row r="220" spans="1:20" x14ac:dyDescent="0.25">
      <c r="A220" s="43">
        <v>17732</v>
      </c>
      <c r="B220" s="43" t="s">
        <v>307</v>
      </c>
      <c r="C220" s="56">
        <f>(I220*'Frost Calculation'!$F$20/'Frost Calculation'!$E$20)+(K220*'Frost Calculation'!$F$17/'Frost Calculation'!$E$17)+(L220*'Frost Calculation'!$F$18/'Frost Calculation'!$E$18)+M220*'Frost Calculation'!$F$19/'Frost Calculation'!$E$19</f>
        <v>0.7001838210857142</v>
      </c>
      <c r="D220" s="43" t="s">
        <v>65</v>
      </c>
      <c r="E220" s="43">
        <v>57</v>
      </c>
      <c r="I220" s="43">
        <v>17</v>
      </c>
      <c r="J220" s="43">
        <v>11</v>
      </c>
      <c r="K220" s="43">
        <v>0</v>
      </c>
      <c r="L220" s="45">
        <v>0</v>
      </c>
      <c r="M220" s="45">
        <v>0</v>
      </c>
      <c r="T220" s="49" t="s">
        <v>655</v>
      </c>
    </row>
    <row r="221" spans="1:20" x14ac:dyDescent="0.25">
      <c r="A221" s="43">
        <v>9429</v>
      </c>
      <c r="B221" s="43" t="s">
        <v>316</v>
      </c>
      <c r="C221" s="56">
        <f>(I221*'Frost Calculation'!$F$20/'Frost Calculation'!$E$20)+(K221*'Frost Calculation'!$F$17/'Frost Calculation'!$E$17)+(L221*'Frost Calculation'!$F$18/'Frost Calculation'!$E$18)+M221*'Frost Calculation'!$F$19/'Frost Calculation'!$E$19</f>
        <v>0.7001838210857142</v>
      </c>
      <c r="D221" s="43" t="s">
        <v>63</v>
      </c>
      <c r="E221" s="43">
        <v>52</v>
      </c>
      <c r="G221" s="43">
        <v>7</v>
      </c>
      <c r="I221" s="43">
        <v>17</v>
      </c>
      <c r="J221" s="43">
        <v>10</v>
      </c>
      <c r="K221" s="43">
        <v>0</v>
      </c>
      <c r="L221" s="45">
        <v>0</v>
      </c>
      <c r="M221" s="45">
        <v>0</v>
      </c>
      <c r="T221" s="49" t="s">
        <v>656</v>
      </c>
    </row>
    <row r="222" spans="1:20" x14ac:dyDescent="0.25">
      <c r="A222" s="46">
        <v>21888</v>
      </c>
      <c r="B222" s="43" t="s">
        <v>414</v>
      </c>
      <c r="C222" s="56">
        <f>(I222*'Frost Calculation'!$F$20/'Frost Calculation'!$E$20)+(K222*'Frost Calculation'!$F$17/'Frost Calculation'!$E$17)+(L222*'Frost Calculation'!$F$18/'Frost Calculation'!$E$18)+M222*'Frost Calculation'!$F$19/'Frost Calculation'!$E$19</f>
        <v>0.65899653749243692</v>
      </c>
      <c r="D222" s="43" t="s">
        <v>69</v>
      </c>
      <c r="E222" s="43">
        <v>188</v>
      </c>
      <c r="G222" s="43">
        <v>28</v>
      </c>
      <c r="I222" s="43">
        <v>16</v>
      </c>
      <c r="K222" s="43">
        <v>0</v>
      </c>
      <c r="L222" s="45">
        <v>0</v>
      </c>
      <c r="M222" s="45">
        <v>0</v>
      </c>
      <c r="T222" s="49" t="s">
        <v>657</v>
      </c>
    </row>
    <row r="223" spans="1:20" x14ac:dyDescent="0.25">
      <c r="A223" s="47">
        <v>16694</v>
      </c>
      <c r="B223" s="43" t="s">
        <v>222</v>
      </c>
      <c r="C223" s="56">
        <f>(I223*'Frost Calculation'!$F$20/'Frost Calculation'!$E$20)+(K223*'Frost Calculation'!$F$17/'Frost Calculation'!$E$17)+(L223*'Frost Calculation'!$F$18/'Frost Calculation'!$E$18)+M223*'Frost Calculation'!$F$19/'Frost Calculation'!$E$19</f>
        <v>0.61780925389915964</v>
      </c>
      <c r="D223" s="43" t="s">
        <v>71</v>
      </c>
      <c r="E223" s="43">
        <v>76</v>
      </c>
      <c r="G223" s="43">
        <v>12</v>
      </c>
      <c r="I223" s="43">
        <v>15</v>
      </c>
      <c r="J223" s="43">
        <v>23</v>
      </c>
      <c r="K223" s="43">
        <v>0</v>
      </c>
      <c r="L223" s="45">
        <v>0</v>
      </c>
      <c r="M223" s="45">
        <v>0</v>
      </c>
      <c r="T223" s="49" t="s">
        <v>658</v>
      </c>
    </row>
    <row r="224" spans="1:20" x14ac:dyDescent="0.25">
      <c r="A224" s="47">
        <v>16701</v>
      </c>
      <c r="B224" s="43" t="s">
        <v>231</v>
      </c>
      <c r="C224" s="56">
        <f>(I224*'Frost Calculation'!$F$20/'Frost Calculation'!$E$20)+(K224*'Frost Calculation'!$F$17/'Frost Calculation'!$E$17)+(L224*'Frost Calculation'!$F$18/'Frost Calculation'!$E$18)+M224*'Frost Calculation'!$F$19/'Frost Calculation'!$E$19</f>
        <v>0.61780925389915964</v>
      </c>
      <c r="D224" s="43" t="s">
        <v>65</v>
      </c>
      <c r="E224" s="43">
        <v>64</v>
      </c>
      <c r="G224" s="43">
        <v>14</v>
      </c>
      <c r="I224" s="43">
        <v>15</v>
      </c>
      <c r="J224" s="43">
        <v>9</v>
      </c>
      <c r="K224" s="43">
        <v>0</v>
      </c>
      <c r="L224" s="45">
        <v>0</v>
      </c>
      <c r="M224" s="45">
        <v>0</v>
      </c>
      <c r="T224" s="49" t="s">
        <v>660</v>
      </c>
    </row>
    <row r="225" spans="1:20" x14ac:dyDescent="0.25">
      <c r="A225" s="47">
        <v>18730</v>
      </c>
      <c r="B225" s="43" t="s">
        <v>216</v>
      </c>
      <c r="C225" s="56">
        <f>(I225*'Frost Calculation'!$F$20/'Frost Calculation'!$E$20)+(K225*'Frost Calculation'!$F$17/'Frost Calculation'!$E$17)+(L225*'Frost Calculation'!$F$18/'Frost Calculation'!$E$18)+M225*'Frost Calculation'!$F$19/'Frost Calculation'!$E$19</f>
        <v>0.61780925389915964</v>
      </c>
      <c r="D225" s="43" t="s">
        <v>69</v>
      </c>
      <c r="E225" s="43">
        <v>53</v>
      </c>
      <c r="I225" s="43">
        <v>15</v>
      </c>
      <c r="K225" s="43">
        <v>0</v>
      </c>
      <c r="L225" s="45">
        <v>0</v>
      </c>
      <c r="M225" s="45">
        <v>0</v>
      </c>
      <c r="N225" s="43">
        <v>5</v>
      </c>
      <c r="R225" s="43">
        <v>12</v>
      </c>
      <c r="T225" s="49" t="s">
        <v>661</v>
      </c>
    </row>
    <row r="226" spans="1:20" x14ac:dyDescent="0.25">
      <c r="A226" s="43">
        <v>16683</v>
      </c>
      <c r="B226" s="43" t="s">
        <v>269</v>
      </c>
      <c r="C226" s="56">
        <f>(I226*'Frost Calculation'!$F$20/'Frost Calculation'!$E$20)+(K226*'Frost Calculation'!$F$17/'Frost Calculation'!$E$17)+(L226*'Frost Calculation'!$F$18/'Frost Calculation'!$E$18)+M226*'Frost Calculation'!$F$19/'Frost Calculation'!$E$19</f>
        <v>0.61780925389915964</v>
      </c>
      <c r="D226" s="43" t="s">
        <v>68</v>
      </c>
      <c r="E226" s="43">
        <v>35</v>
      </c>
      <c r="G226" s="43">
        <v>4</v>
      </c>
      <c r="I226" s="43">
        <v>15</v>
      </c>
      <c r="J226" s="43">
        <v>5</v>
      </c>
      <c r="K226" s="43">
        <v>0</v>
      </c>
      <c r="L226" s="45">
        <v>0</v>
      </c>
      <c r="M226" s="45">
        <v>0</v>
      </c>
      <c r="T226" s="49" t="s">
        <v>662</v>
      </c>
    </row>
    <row r="227" spans="1:20" x14ac:dyDescent="0.25">
      <c r="A227" s="43">
        <v>12546</v>
      </c>
      <c r="B227" s="43" t="s">
        <v>292</v>
      </c>
      <c r="C227" s="56">
        <f>(I227*'Frost Calculation'!$F$20/'Frost Calculation'!$E$20)+(K227*'Frost Calculation'!$F$17/'Frost Calculation'!$E$17)+(L227*'Frost Calculation'!$F$18/'Frost Calculation'!$E$18)+M227*'Frost Calculation'!$F$19/'Frost Calculation'!$E$19</f>
        <v>0.61780925389915964</v>
      </c>
      <c r="D227" s="43" t="s">
        <v>68</v>
      </c>
      <c r="E227" s="43">
        <v>34</v>
      </c>
      <c r="I227" s="43">
        <v>15</v>
      </c>
      <c r="J227" s="43">
        <v>6</v>
      </c>
      <c r="K227" s="43">
        <v>0</v>
      </c>
      <c r="L227" s="45">
        <v>0</v>
      </c>
      <c r="M227" s="45">
        <v>0</v>
      </c>
      <c r="T227" s="49" t="s">
        <v>663</v>
      </c>
    </row>
    <row r="228" spans="1:20" x14ac:dyDescent="0.25">
      <c r="A228" s="43">
        <v>17755</v>
      </c>
      <c r="B228" s="43" t="s">
        <v>304</v>
      </c>
      <c r="C228" s="56">
        <f>(I228*'Frost Calculation'!$F$20/'Frost Calculation'!$E$20)+(K228*'Frost Calculation'!$F$17/'Frost Calculation'!$E$17)+(L228*'Frost Calculation'!$F$18/'Frost Calculation'!$E$18)+M228*'Frost Calculation'!$F$19/'Frost Calculation'!$E$19</f>
        <v>0.61780925389915964</v>
      </c>
      <c r="D228" s="43" t="s">
        <v>70</v>
      </c>
      <c r="E228" s="43">
        <v>40</v>
      </c>
      <c r="G228" s="43">
        <v>10</v>
      </c>
      <c r="I228" s="43">
        <v>15</v>
      </c>
      <c r="K228" s="43">
        <v>0</v>
      </c>
      <c r="L228" s="45">
        <v>0</v>
      </c>
      <c r="M228" s="45">
        <v>0</v>
      </c>
      <c r="R228" s="43">
        <v>10</v>
      </c>
      <c r="T228" s="49" t="s">
        <v>664</v>
      </c>
    </row>
    <row r="229" spans="1:20" x14ac:dyDescent="0.25">
      <c r="A229" s="43">
        <v>10771</v>
      </c>
      <c r="B229" s="43" t="s">
        <v>319</v>
      </c>
      <c r="C229" s="56">
        <f>(I229*'Frost Calculation'!$F$20/'Frost Calculation'!$E$20)+(K229*'Frost Calculation'!$F$17/'Frost Calculation'!$E$17)+(L229*'Frost Calculation'!$F$18/'Frost Calculation'!$E$18)+M229*'Frost Calculation'!$F$19/'Frost Calculation'!$E$19</f>
        <v>0.61780925389915964</v>
      </c>
      <c r="D229" s="43" t="s">
        <v>70</v>
      </c>
      <c r="E229" s="43">
        <v>33</v>
      </c>
      <c r="G229" s="43">
        <v>6</v>
      </c>
      <c r="I229" s="43">
        <v>15</v>
      </c>
      <c r="K229" s="43">
        <v>0</v>
      </c>
      <c r="L229" s="45">
        <v>0</v>
      </c>
      <c r="M229" s="45">
        <v>0</v>
      </c>
      <c r="T229" s="49" t="s">
        <v>665</v>
      </c>
    </row>
    <row r="230" spans="1:20" x14ac:dyDescent="0.25">
      <c r="A230" s="43">
        <v>7713</v>
      </c>
      <c r="B230" s="43" t="s">
        <v>328</v>
      </c>
      <c r="C230" s="56">
        <f>(I230*'Frost Calculation'!$F$20/'Frost Calculation'!$E$20)+(K230*'Frost Calculation'!$F$17/'Frost Calculation'!$E$17)+(L230*'Frost Calculation'!$F$18/'Frost Calculation'!$E$18)+M230*'Frost Calculation'!$F$19/'Frost Calculation'!$E$19</f>
        <v>0.61780925389915964</v>
      </c>
      <c r="D230" s="43" t="s">
        <v>111</v>
      </c>
      <c r="G230" s="43">
        <v>7</v>
      </c>
      <c r="I230" s="43">
        <v>15</v>
      </c>
      <c r="J230" s="43">
        <v>10</v>
      </c>
      <c r="K230" s="43">
        <v>0</v>
      </c>
      <c r="L230" s="45">
        <v>0</v>
      </c>
      <c r="M230" s="45">
        <v>0</v>
      </c>
      <c r="T230" s="49" t="s">
        <v>666</v>
      </c>
    </row>
    <row r="231" spans="1:20" x14ac:dyDescent="0.25">
      <c r="A231" s="48">
        <v>11625</v>
      </c>
      <c r="B231" s="43" t="s">
        <v>109</v>
      </c>
      <c r="C231" s="56">
        <f>(I231*'Frost Calculation'!$F$20/'Frost Calculation'!$E$20)+(K231*'Frost Calculation'!$F$17/'Frost Calculation'!$E$17)+(L231*'Frost Calculation'!$F$18/'Frost Calculation'!$E$18)+M231*'Frost Calculation'!$F$19/'Frost Calculation'!$E$19</f>
        <v>0.57662197030588236</v>
      </c>
      <c r="D231" s="43" t="s">
        <v>76</v>
      </c>
      <c r="E231" s="43">
        <v>0</v>
      </c>
      <c r="G231" s="43">
        <v>3</v>
      </c>
      <c r="I231" s="43">
        <v>14</v>
      </c>
      <c r="J231" s="43">
        <v>5</v>
      </c>
      <c r="K231" s="43">
        <v>0</v>
      </c>
      <c r="L231" s="45">
        <v>0</v>
      </c>
      <c r="M231" s="45">
        <v>0</v>
      </c>
      <c r="T231" s="49" t="s">
        <v>667</v>
      </c>
    </row>
    <row r="232" spans="1:20" x14ac:dyDescent="0.25">
      <c r="A232" s="47">
        <v>16682</v>
      </c>
      <c r="B232" s="43" t="s">
        <v>224</v>
      </c>
      <c r="C232" s="56">
        <f>(I232*'Frost Calculation'!$F$20/'Frost Calculation'!$E$20)+(K232*'Frost Calculation'!$F$17/'Frost Calculation'!$E$17)+(L232*'Frost Calculation'!$F$18/'Frost Calculation'!$E$18)+M232*'Frost Calculation'!$F$19/'Frost Calculation'!$E$19</f>
        <v>0.57662197030588236</v>
      </c>
      <c r="D232" s="43" t="s">
        <v>72</v>
      </c>
      <c r="E232" s="43">
        <v>58</v>
      </c>
      <c r="G232" s="43">
        <v>9</v>
      </c>
      <c r="I232" s="43">
        <v>14</v>
      </c>
      <c r="J232" s="43">
        <v>14</v>
      </c>
      <c r="K232" s="43">
        <v>0</v>
      </c>
      <c r="L232" s="45">
        <v>0</v>
      </c>
      <c r="M232" s="45">
        <v>0</v>
      </c>
      <c r="T232" s="49" t="s">
        <v>668</v>
      </c>
    </row>
    <row r="233" spans="1:20" x14ac:dyDescent="0.25">
      <c r="A233" s="47">
        <v>16684</v>
      </c>
      <c r="B233" s="43" t="s">
        <v>241</v>
      </c>
      <c r="C233" s="56">
        <f>(I233*'Frost Calculation'!$F$20/'Frost Calculation'!$E$20)+(K233*'Frost Calculation'!$F$17/'Frost Calculation'!$E$17)+(L233*'Frost Calculation'!$F$18/'Frost Calculation'!$E$18)+M233*'Frost Calculation'!$F$19/'Frost Calculation'!$E$19</f>
        <v>0.57662197030588236</v>
      </c>
      <c r="D233" s="43" t="s">
        <v>69</v>
      </c>
      <c r="E233" s="43">
        <v>52</v>
      </c>
      <c r="G233" s="43">
        <v>9</v>
      </c>
      <c r="I233" s="43">
        <v>14</v>
      </c>
      <c r="J233" s="43">
        <v>14</v>
      </c>
      <c r="K233" s="43">
        <v>0</v>
      </c>
      <c r="L233" s="45">
        <v>0</v>
      </c>
      <c r="M233" s="45">
        <v>0</v>
      </c>
      <c r="T233" s="49" t="s">
        <v>669</v>
      </c>
    </row>
    <row r="234" spans="1:20" x14ac:dyDescent="0.25">
      <c r="A234" s="47">
        <v>16699</v>
      </c>
      <c r="B234" s="43" t="s">
        <v>223</v>
      </c>
      <c r="C234" s="56">
        <f>(I234*'Frost Calculation'!$F$20/'Frost Calculation'!$E$20)+(K234*'Frost Calculation'!$F$17/'Frost Calculation'!$E$17)+(L234*'Frost Calculation'!$F$18/'Frost Calculation'!$E$18)+M234*'Frost Calculation'!$F$19/'Frost Calculation'!$E$19</f>
        <v>0.57662197030588236</v>
      </c>
      <c r="D234" s="43" t="s">
        <v>71</v>
      </c>
      <c r="E234" s="43">
        <v>76</v>
      </c>
      <c r="G234" s="43">
        <v>15</v>
      </c>
      <c r="I234" s="43">
        <v>14</v>
      </c>
      <c r="J234" s="43">
        <v>21</v>
      </c>
      <c r="K234" s="43">
        <v>0</v>
      </c>
      <c r="L234" s="45">
        <v>0</v>
      </c>
      <c r="M234" s="45">
        <v>0</v>
      </c>
      <c r="T234" s="49" t="s">
        <v>670</v>
      </c>
    </row>
    <row r="235" spans="1:20" x14ac:dyDescent="0.25">
      <c r="A235" s="47">
        <v>18697</v>
      </c>
      <c r="B235" s="43" t="s">
        <v>247</v>
      </c>
      <c r="C235" s="56">
        <f>(I235*'Frost Calculation'!$F$20/'Frost Calculation'!$E$20)+(K235*'Frost Calculation'!$F$17/'Frost Calculation'!$E$17)+(L235*'Frost Calculation'!$F$18/'Frost Calculation'!$E$18)+M235*'Frost Calculation'!$F$19/'Frost Calculation'!$E$19</f>
        <v>0.57662197030588236</v>
      </c>
      <c r="D235" s="43" t="s">
        <v>72</v>
      </c>
      <c r="E235" s="43">
        <v>54</v>
      </c>
      <c r="G235" s="43">
        <v>9</v>
      </c>
      <c r="I235" s="43">
        <v>14</v>
      </c>
      <c r="K235" s="43">
        <v>0</v>
      </c>
      <c r="L235" s="45">
        <v>0</v>
      </c>
      <c r="M235" s="45">
        <v>0</v>
      </c>
      <c r="N235" s="43">
        <v>4</v>
      </c>
      <c r="T235" s="49" t="s">
        <v>671</v>
      </c>
    </row>
    <row r="236" spans="1:20" x14ac:dyDescent="0.25">
      <c r="A236" s="47">
        <v>18872</v>
      </c>
      <c r="B236" s="43" t="s">
        <v>188</v>
      </c>
      <c r="C236" s="56">
        <f>(I236*'Frost Calculation'!$F$20/'Frost Calculation'!$E$20)+(K236*'Frost Calculation'!$F$17/'Frost Calculation'!$E$17)+(L236*'Frost Calculation'!$F$18/'Frost Calculation'!$E$18)+M236*'Frost Calculation'!$F$19/'Frost Calculation'!$E$19</f>
        <v>0.57662197030588236</v>
      </c>
      <c r="D236" s="43" t="s">
        <v>71</v>
      </c>
      <c r="E236" s="43">
        <v>85</v>
      </c>
      <c r="G236" s="43">
        <v>19</v>
      </c>
      <c r="I236" s="43">
        <v>14</v>
      </c>
      <c r="K236" s="43">
        <v>0</v>
      </c>
      <c r="L236" s="45">
        <v>0</v>
      </c>
      <c r="M236" s="45">
        <v>0</v>
      </c>
      <c r="N236" s="43">
        <v>14</v>
      </c>
      <c r="T236" s="49" t="s">
        <v>672</v>
      </c>
    </row>
    <row r="237" spans="1:20" x14ac:dyDescent="0.25">
      <c r="A237" s="43">
        <v>13141</v>
      </c>
      <c r="B237" s="43" t="s">
        <v>264</v>
      </c>
      <c r="C237" s="56">
        <f>(I237*'Frost Calculation'!$F$20/'Frost Calculation'!$E$20)+(K237*'Frost Calculation'!$F$17/'Frost Calculation'!$E$17)+(L237*'Frost Calculation'!$F$18/'Frost Calculation'!$E$18)+M237*'Frost Calculation'!$F$19/'Frost Calculation'!$E$19</f>
        <v>0.57662197030588236</v>
      </c>
      <c r="D237" s="43" t="s">
        <v>64</v>
      </c>
      <c r="E237" s="43">
        <v>0</v>
      </c>
      <c r="G237" s="43">
        <v>8</v>
      </c>
      <c r="I237" s="43">
        <v>14</v>
      </c>
      <c r="K237" s="43">
        <v>0</v>
      </c>
      <c r="L237" s="45">
        <v>0</v>
      </c>
      <c r="M237" s="45">
        <v>0</v>
      </c>
      <c r="N237" s="43">
        <v>3</v>
      </c>
      <c r="T237" s="49" t="s">
        <v>673</v>
      </c>
    </row>
    <row r="238" spans="1:20" x14ac:dyDescent="0.25">
      <c r="A238" s="47">
        <v>12626</v>
      </c>
      <c r="B238" s="43" t="s">
        <v>275</v>
      </c>
      <c r="C238" s="56">
        <f>(I238*'Frost Calculation'!$F$20/'Frost Calculation'!$E$20)+(K238*'Frost Calculation'!$F$17/'Frost Calculation'!$E$17)+(L238*'Frost Calculation'!$F$18/'Frost Calculation'!$E$18)+M238*'Frost Calculation'!$F$19/'Frost Calculation'!$E$19</f>
        <v>0.57662197030588236</v>
      </c>
      <c r="D238" s="43" t="s">
        <v>68</v>
      </c>
      <c r="E238" s="43">
        <v>37</v>
      </c>
      <c r="I238" s="43">
        <v>14</v>
      </c>
      <c r="J238" s="43">
        <v>5</v>
      </c>
      <c r="K238" s="43">
        <v>0</v>
      </c>
      <c r="L238" s="45">
        <v>0</v>
      </c>
      <c r="M238" s="45">
        <v>0</v>
      </c>
      <c r="R238" s="43">
        <v>10</v>
      </c>
      <c r="T238" s="49" t="s">
        <v>674</v>
      </c>
    </row>
    <row r="239" spans="1:20" x14ac:dyDescent="0.25">
      <c r="A239" s="43">
        <v>7720</v>
      </c>
      <c r="B239" s="43" t="s">
        <v>325</v>
      </c>
      <c r="C239" s="56">
        <f>(I239*'Frost Calculation'!$F$20/'Frost Calculation'!$E$20)+(K239*'Frost Calculation'!$F$17/'Frost Calculation'!$E$17)+(L239*'Frost Calculation'!$F$18/'Frost Calculation'!$E$18)+M239*'Frost Calculation'!$F$19/'Frost Calculation'!$E$19</f>
        <v>0.57662197030588236</v>
      </c>
      <c r="D239" s="43" t="s">
        <v>63</v>
      </c>
      <c r="E239" s="43">
        <v>52</v>
      </c>
      <c r="G239" s="43">
        <v>9</v>
      </c>
      <c r="I239" s="43">
        <v>14</v>
      </c>
      <c r="J239" s="43">
        <v>14</v>
      </c>
      <c r="K239" s="43">
        <v>0</v>
      </c>
      <c r="L239" s="45">
        <v>0</v>
      </c>
      <c r="M239" s="45">
        <v>0</v>
      </c>
      <c r="T239" s="49" t="s">
        <v>675</v>
      </c>
    </row>
    <row r="240" spans="1:20" x14ac:dyDescent="0.25">
      <c r="A240" s="43">
        <v>21523</v>
      </c>
      <c r="B240" s="43" t="s">
        <v>376</v>
      </c>
      <c r="C240" s="56">
        <f>(I240*'Frost Calculation'!$F$20/'Frost Calculation'!$E$20)+(K240*'Frost Calculation'!$F$17/'Frost Calculation'!$E$17)+(L240*'Frost Calculation'!$F$18/'Frost Calculation'!$E$18)+M240*'Frost Calculation'!$F$19/'Frost Calculation'!$E$19</f>
        <v>0.57662197030588236</v>
      </c>
      <c r="D240" s="43" t="s">
        <v>75</v>
      </c>
      <c r="G240" s="43">
        <v>9</v>
      </c>
      <c r="I240" s="43">
        <v>14</v>
      </c>
      <c r="J240" s="43">
        <v>13</v>
      </c>
      <c r="K240" s="43">
        <v>0</v>
      </c>
      <c r="L240" s="45">
        <v>0</v>
      </c>
      <c r="M240" s="45">
        <v>0</v>
      </c>
      <c r="T240" s="49" t="s">
        <v>676</v>
      </c>
    </row>
    <row r="241" spans="1:20" x14ac:dyDescent="0.25">
      <c r="A241" s="47">
        <v>13282</v>
      </c>
      <c r="B241" s="43" t="s">
        <v>274</v>
      </c>
      <c r="C241" s="56">
        <f>(I241*'Frost Calculation'!$F$20/'Frost Calculation'!$E$20)+(K241*'Frost Calculation'!$F$17/'Frost Calculation'!$E$17)+(L241*'Frost Calculation'!$F$18/'Frost Calculation'!$E$18)+M241*'Frost Calculation'!$F$19/'Frost Calculation'!$E$19</f>
        <v>0.53543468671260497</v>
      </c>
      <c r="D241" s="43" t="s">
        <v>72</v>
      </c>
      <c r="E241" s="43">
        <v>58</v>
      </c>
      <c r="G241" s="43">
        <v>13</v>
      </c>
      <c r="I241" s="43">
        <v>13</v>
      </c>
      <c r="J241" s="43">
        <v>13</v>
      </c>
      <c r="K241" s="43">
        <v>0</v>
      </c>
      <c r="L241" s="45">
        <v>0</v>
      </c>
      <c r="M241" s="45">
        <v>0</v>
      </c>
      <c r="T241" s="49" t="s">
        <v>677</v>
      </c>
    </row>
    <row r="242" spans="1:20" x14ac:dyDescent="0.25">
      <c r="A242" s="43">
        <v>12542</v>
      </c>
      <c r="B242" s="43" t="s">
        <v>291</v>
      </c>
      <c r="C242" s="56">
        <f>(I242*'Frost Calculation'!$F$20/'Frost Calculation'!$E$20)+(K242*'Frost Calculation'!$F$17/'Frost Calculation'!$E$17)+(L242*'Frost Calculation'!$F$18/'Frost Calculation'!$E$18)+M242*'Frost Calculation'!$F$19/'Frost Calculation'!$E$19</f>
        <v>0.53543468671260497</v>
      </c>
      <c r="D242" s="43" t="s">
        <v>67</v>
      </c>
      <c r="E242" s="43">
        <v>73</v>
      </c>
      <c r="G242" s="43">
        <v>13</v>
      </c>
      <c r="I242" s="43">
        <v>13</v>
      </c>
      <c r="J242" s="43">
        <v>13</v>
      </c>
      <c r="K242" s="43">
        <v>0</v>
      </c>
      <c r="L242" s="45">
        <v>0</v>
      </c>
      <c r="M242" s="45">
        <v>0</v>
      </c>
      <c r="O242" s="43">
        <v>10</v>
      </c>
      <c r="T242" s="49" t="s">
        <v>678</v>
      </c>
    </row>
    <row r="243" spans="1:20" x14ac:dyDescent="0.25">
      <c r="A243" s="43">
        <v>11929</v>
      </c>
      <c r="B243" s="43" t="s">
        <v>289</v>
      </c>
      <c r="C243" s="56">
        <f>(I243*'Frost Calculation'!$F$20/'Frost Calculation'!$E$20)+(K243*'Frost Calculation'!$F$17/'Frost Calculation'!$E$17)+(L243*'Frost Calculation'!$F$18/'Frost Calculation'!$E$18)+M243*'Frost Calculation'!$F$19/'Frost Calculation'!$E$19</f>
        <v>0.49424740311932769</v>
      </c>
      <c r="D243" s="43" t="s">
        <v>71</v>
      </c>
      <c r="E243" s="43">
        <v>71</v>
      </c>
      <c r="I243" s="43">
        <v>12</v>
      </c>
      <c r="J243" s="43">
        <v>28</v>
      </c>
      <c r="K243" s="43">
        <v>0</v>
      </c>
      <c r="L243" s="45">
        <v>0</v>
      </c>
      <c r="M243" s="45">
        <v>0</v>
      </c>
      <c r="T243" s="49" t="s">
        <v>679</v>
      </c>
    </row>
    <row r="244" spans="1:20" x14ac:dyDescent="0.25">
      <c r="A244" s="43">
        <v>17748</v>
      </c>
      <c r="B244" s="43" t="s">
        <v>303</v>
      </c>
      <c r="C244" s="56">
        <f>(I244*'Frost Calculation'!$F$20/'Frost Calculation'!$E$20)+(K244*'Frost Calculation'!$F$17/'Frost Calculation'!$E$17)+(L244*'Frost Calculation'!$F$18/'Frost Calculation'!$E$18)+M244*'Frost Calculation'!$F$19/'Frost Calculation'!$E$19</f>
        <v>0.49424740311932769</v>
      </c>
      <c r="D244" s="43" t="s">
        <v>72</v>
      </c>
      <c r="E244" s="43">
        <v>50</v>
      </c>
      <c r="I244" s="43">
        <v>12</v>
      </c>
      <c r="J244" s="43">
        <v>12</v>
      </c>
      <c r="K244" s="43">
        <v>0</v>
      </c>
      <c r="L244" s="45">
        <v>0</v>
      </c>
      <c r="M244" s="45">
        <v>0</v>
      </c>
      <c r="Q244" s="43">
        <v>12</v>
      </c>
      <c r="T244" s="49" t="s">
        <v>680</v>
      </c>
    </row>
    <row r="245" spans="1:20" x14ac:dyDescent="0.25">
      <c r="A245" s="43">
        <v>7728</v>
      </c>
      <c r="B245" s="43" t="s">
        <v>326</v>
      </c>
      <c r="C245" s="56">
        <f>(I245*'Frost Calculation'!$F$20/'Frost Calculation'!$E$20)+(K245*'Frost Calculation'!$F$17/'Frost Calculation'!$E$17)+(L245*'Frost Calculation'!$F$18/'Frost Calculation'!$E$18)+M245*'Frost Calculation'!$F$19/'Frost Calculation'!$E$19</f>
        <v>0.49424740311932769</v>
      </c>
      <c r="D245" s="43" t="s">
        <v>67</v>
      </c>
      <c r="E245" s="43">
        <v>50</v>
      </c>
      <c r="G245" s="43">
        <v>7</v>
      </c>
      <c r="I245" s="43">
        <v>12</v>
      </c>
      <c r="J245" s="43">
        <v>8</v>
      </c>
      <c r="K245" s="43">
        <v>0</v>
      </c>
      <c r="L245" s="45">
        <v>0</v>
      </c>
      <c r="M245" s="45">
        <v>0</v>
      </c>
      <c r="T245" s="49" t="s">
        <v>681</v>
      </c>
    </row>
    <row r="246" spans="1:20" x14ac:dyDescent="0.25">
      <c r="A246" s="47">
        <v>14633</v>
      </c>
      <c r="B246" s="43" t="s">
        <v>237</v>
      </c>
      <c r="C246" s="56">
        <f>(I246*'Frost Calculation'!$F$20/'Frost Calculation'!$E$20)+(K246*'Frost Calculation'!$F$17/'Frost Calculation'!$E$17)+(L246*'Frost Calculation'!$F$18/'Frost Calculation'!$E$18)+M246*'Frost Calculation'!$F$19/'Frost Calculation'!$E$19</f>
        <v>0.45306011952605041</v>
      </c>
      <c r="D246" s="43" t="s">
        <v>65</v>
      </c>
      <c r="E246" s="43">
        <v>65</v>
      </c>
      <c r="G246" s="43">
        <v>17</v>
      </c>
      <c r="I246" s="43">
        <v>11</v>
      </c>
      <c r="J246" s="43">
        <v>9</v>
      </c>
      <c r="K246" s="43">
        <v>0</v>
      </c>
      <c r="L246" s="45">
        <v>0</v>
      </c>
      <c r="M246" s="45">
        <v>0</v>
      </c>
      <c r="T246" s="49" t="s">
        <v>682</v>
      </c>
    </row>
    <row r="247" spans="1:20" x14ac:dyDescent="0.25">
      <c r="A247" s="46">
        <v>17110</v>
      </c>
      <c r="B247" s="43" t="s">
        <v>191</v>
      </c>
      <c r="C247" s="56">
        <f>(I247*'Frost Calculation'!$F$20/'Frost Calculation'!$E$20)+(K247*'Frost Calculation'!$F$17/'Frost Calculation'!$E$17)+(L247*'Frost Calculation'!$F$18/'Frost Calculation'!$E$18)+M247*'Frost Calculation'!$F$19/'Frost Calculation'!$E$19</f>
        <v>0.45306011952605041</v>
      </c>
      <c r="D247" s="43" t="s">
        <v>73</v>
      </c>
      <c r="E247" s="43">
        <v>0</v>
      </c>
      <c r="G247" s="43">
        <v>11</v>
      </c>
      <c r="I247" s="43">
        <v>11</v>
      </c>
      <c r="J247" s="43">
        <v>11</v>
      </c>
      <c r="K247" s="43">
        <v>0</v>
      </c>
      <c r="L247" s="45">
        <v>0</v>
      </c>
      <c r="M247" s="45">
        <v>0</v>
      </c>
      <c r="N247" s="43">
        <v>3</v>
      </c>
      <c r="O247" s="43">
        <v>6</v>
      </c>
      <c r="P247" s="43">
        <v>6</v>
      </c>
      <c r="Q247" s="43">
        <v>6</v>
      </c>
      <c r="R247" s="43">
        <v>6</v>
      </c>
      <c r="S247" s="43">
        <v>6</v>
      </c>
      <c r="T247" s="49" t="s">
        <v>683</v>
      </c>
    </row>
    <row r="248" spans="1:20" x14ac:dyDescent="0.25">
      <c r="A248" s="43">
        <v>10806</v>
      </c>
      <c r="B248" s="43" t="s">
        <v>297</v>
      </c>
      <c r="C248" s="56">
        <f>(I248*'Frost Calculation'!$F$20/'Frost Calculation'!$E$20)+(K248*'Frost Calculation'!$F$17/'Frost Calculation'!$E$17)+(L248*'Frost Calculation'!$F$18/'Frost Calculation'!$E$18)+M248*'Frost Calculation'!$F$19/'Frost Calculation'!$E$19</f>
        <v>0.45306011952605041</v>
      </c>
      <c r="D248" s="43" t="s">
        <v>67</v>
      </c>
      <c r="E248" s="43">
        <v>78</v>
      </c>
      <c r="I248" s="43">
        <v>11</v>
      </c>
      <c r="J248" s="43">
        <v>27</v>
      </c>
      <c r="K248" s="43">
        <v>0</v>
      </c>
      <c r="L248" s="45">
        <v>0</v>
      </c>
      <c r="M248" s="45">
        <v>0</v>
      </c>
      <c r="T248" s="49" t="s">
        <v>684</v>
      </c>
    </row>
    <row r="249" spans="1:20" x14ac:dyDescent="0.25">
      <c r="A249" s="43">
        <v>18083</v>
      </c>
      <c r="B249" s="43" t="s">
        <v>311</v>
      </c>
      <c r="C249" s="56">
        <f>(I249*'Frost Calculation'!$F$20/'Frost Calculation'!$E$20)+(K249*'Frost Calculation'!$F$17/'Frost Calculation'!$E$17)+(L249*'Frost Calculation'!$F$18/'Frost Calculation'!$E$18)+M249*'Frost Calculation'!$F$19/'Frost Calculation'!$E$19</f>
        <v>0.45306011952605041</v>
      </c>
      <c r="D249" s="43" t="s">
        <v>69</v>
      </c>
      <c r="E249" s="43">
        <v>42</v>
      </c>
      <c r="G249" s="43">
        <v>10</v>
      </c>
      <c r="I249" s="43">
        <v>11</v>
      </c>
      <c r="J249" s="43">
        <v>10</v>
      </c>
      <c r="K249" s="43">
        <v>0</v>
      </c>
      <c r="L249" s="45">
        <v>0</v>
      </c>
      <c r="M249" s="45">
        <v>0</v>
      </c>
      <c r="T249" s="49" t="s">
        <v>685</v>
      </c>
    </row>
    <row r="250" spans="1:20" x14ac:dyDescent="0.25">
      <c r="A250" s="43">
        <v>21470</v>
      </c>
      <c r="B250" s="43" t="s">
        <v>365</v>
      </c>
      <c r="C250" s="56">
        <f>(I250*'Frost Calculation'!$F$20/'Frost Calculation'!$E$20)+(K250*'Frost Calculation'!$F$17/'Frost Calculation'!$E$17)+(L250*'Frost Calculation'!$F$18/'Frost Calculation'!$E$18)+M250*'Frost Calculation'!$F$19/'Frost Calculation'!$E$19</f>
        <v>0.45306011952605041</v>
      </c>
      <c r="D250" s="43" t="s">
        <v>66</v>
      </c>
      <c r="E250" s="43">
        <v>52</v>
      </c>
      <c r="G250" s="43">
        <v>10</v>
      </c>
      <c r="I250" s="43">
        <v>11</v>
      </c>
      <c r="J250" s="43">
        <v>10</v>
      </c>
      <c r="K250" s="43">
        <v>0</v>
      </c>
      <c r="L250" s="45">
        <v>0</v>
      </c>
      <c r="M250" s="45">
        <v>0</v>
      </c>
      <c r="T250" s="49" t="s">
        <v>686</v>
      </c>
    </row>
    <row r="251" spans="1:20" x14ac:dyDescent="0.25">
      <c r="A251" s="43">
        <v>19927</v>
      </c>
      <c r="B251" s="43" t="s">
        <v>383</v>
      </c>
      <c r="C251" s="56">
        <f>(I251*'Frost Calculation'!$F$20/'Frost Calculation'!$E$20)+(K251*'Frost Calculation'!$F$17/'Frost Calculation'!$E$17)+(L251*'Frost Calculation'!$F$18/'Frost Calculation'!$E$18)+M251*'Frost Calculation'!$F$19/'Frost Calculation'!$E$19</f>
        <v>0.45306011952605041</v>
      </c>
      <c r="D251" s="43" t="s">
        <v>77</v>
      </c>
      <c r="G251" s="43">
        <v>5</v>
      </c>
      <c r="I251" s="43">
        <v>11</v>
      </c>
      <c r="J251" s="43">
        <v>6</v>
      </c>
      <c r="K251" s="43">
        <v>0</v>
      </c>
      <c r="L251" s="45">
        <v>0</v>
      </c>
      <c r="M251" s="45">
        <v>0</v>
      </c>
      <c r="T251" s="49" t="s">
        <v>687</v>
      </c>
    </row>
    <row r="252" spans="1:20" x14ac:dyDescent="0.25">
      <c r="A252" s="47">
        <v>16697</v>
      </c>
      <c r="B252" s="43" t="s">
        <v>225</v>
      </c>
      <c r="C252" s="56">
        <f>(I252*'Frost Calculation'!$F$20/'Frost Calculation'!$E$20)+(K252*'Frost Calculation'!$F$17/'Frost Calculation'!$E$17)+(L252*'Frost Calculation'!$F$18/'Frost Calculation'!$E$18)+M252*'Frost Calculation'!$F$19/'Frost Calculation'!$E$19</f>
        <v>0.41187283593277307</v>
      </c>
      <c r="D252" s="43" t="s">
        <v>68</v>
      </c>
      <c r="E252" s="43">
        <v>35</v>
      </c>
      <c r="G252" s="43">
        <v>7</v>
      </c>
      <c r="I252" s="43">
        <v>10</v>
      </c>
      <c r="J252" s="43">
        <v>10</v>
      </c>
      <c r="K252" s="43">
        <v>0</v>
      </c>
      <c r="L252" s="45">
        <v>0</v>
      </c>
      <c r="M252" s="45">
        <v>0</v>
      </c>
      <c r="T252" s="49" t="s">
        <v>688</v>
      </c>
    </row>
    <row r="253" spans="1:20" x14ac:dyDescent="0.25">
      <c r="A253" s="43">
        <v>17077</v>
      </c>
      <c r="B253" s="43" t="s">
        <v>185</v>
      </c>
      <c r="C253" s="56">
        <f>(I253*'Frost Calculation'!$F$20/'Frost Calculation'!$E$20)+(K253*'Frost Calculation'!$F$17/'Frost Calculation'!$E$17)+(L253*'Frost Calculation'!$F$18/'Frost Calculation'!$E$18)+M253*'Frost Calculation'!$F$19/'Frost Calculation'!$E$19</f>
        <v>0.41187283593277307</v>
      </c>
      <c r="D253" s="43" t="s">
        <v>77</v>
      </c>
      <c r="I253" s="43">
        <v>10</v>
      </c>
      <c r="K253" s="43">
        <v>0</v>
      </c>
      <c r="L253" s="45">
        <v>0</v>
      </c>
      <c r="M253" s="45">
        <v>0</v>
      </c>
      <c r="O253" s="43">
        <v>10</v>
      </c>
      <c r="T253" s="49" t="s">
        <v>689</v>
      </c>
    </row>
    <row r="254" spans="1:20" x14ac:dyDescent="0.25">
      <c r="A254" s="43">
        <v>16703</v>
      </c>
      <c r="B254" s="43" t="s">
        <v>270</v>
      </c>
      <c r="C254" s="56">
        <f>(I254*'Frost Calculation'!$F$20/'Frost Calculation'!$E$20)+(K254*'Frost Calculation'!$F$17/'Frost Calculation'!$E$17)+(L254*'Frost Calculation'!$F$18/'Frost Calculation'!$E$18)+M254*'Frost Calculation'!$F$19/'Frost Calculation'!$E$19</f>
        <v>0.41187283593277307</v>
      </c>
      <c r="D254" s="43" t="s">
        <v>68</v>
      </c>
      <c r="E254" s="43">
        <v>35</v>
      </c>
      <c r="G254" s="43">
        <v>10</v>
      </c>
      <c r="I254" s="43">
        <v>10</v>
      </c>
      <c r="J254" s="43">
        <v>7</v>
      </c>
      <c r="K254" s="43">
        <v>0</v>
      </c>
      <c r="L254" s="45">
        <v>0</v>
      </c>
      <c r="M254" s="45">
        <v>0</v>
      </c>
      <c r="T254" s="49" t="s">
        <v>690</v>
      </c>
    </row>
    <row r="255" spans="1:20" x14ac:dyDescent="0.25">
      <c r="A255" s="43">
        <v>17737</v>
      </c>
      <c r="B255" s="43" t="s">
        <v>305</v>
      </c>
      <c r="C255" s="56">
        <f>(I255*'Frost Calculation'!$F$20/'Frost Calculation'!$E$20)+(K255*'Frost Calculation'!$F$17/'Frost Calculation'!$E$17)+(L255*'Frost Calculation'!$F$18/'Frost Calculation'!$E$18)+M255*'Frost Calculation'!$F$19/'Frost Calculation'!$E$19</f>
        <v>0.41187283593277307</v>
      </c>
      <c r="D255" s="43" t="s">
        <v>76</v>
      </c>
      <c r="E255" s="43">
        <v>0</v>
      </c>
      <c r="I255" s="43">
        <v>10</v>
      </c>
      <c r="J255" s="43">
        <v>10</v>
      </c>
      <c r="K255" s="43">
        <v>0</v>
      </c>
      <c r="L255" s="45">
        <v>0</v>
      </c>
      <c r="M255" s="45">
        <v>0</v>
      </c>
      <c r="S255" s="43">
        <v>10</v>
      </c>
      <c r="T255" s="49" t="s">
        <v>691</v>
      </c>
    </row>
    <row r="256" spans="1:20" x14ac:dyDescent="0.25">
      <c r="A256" s="43">
        <v>17707</v>
      </c>
      <c r="B256" s="43" t="s">
        <v>309</v>
      </c>
      <c r="C256" s="56">
        <f>(I256*'Frost Calculation'!$F$20/'Frost Calculation'!$E$20)+(K256*'Frost Calculation'!$F$17/'Frost Calculation'!$E$17)+(L256*'Frost Calculation'!$F$18/'Frost Calculation'!$E$18)+M256*'Frost Calculation'!$F$19/'Frost Calculation'!$E$19</f>
        <v>0.41187283593277307</v>
      </c>
      <c r="D256" s="43" t="s">
        <v>64</v>
      </c>
      <c r="E256" s="43">
        <v>0</v>
      </c>
      <c r="G256" s="43">
        <v>10</v>
      </c>
      <c r="I256" s="43">
        <v>10</v>
      </c>
      <c r="J256" s="43">
        <v>6</v>
      </c>
      <c r="K256" s="43">
        <v>0</v>
      </c>
      <c r="L256" s="45">
        <v>0</v>
      </c>
      <c r="M256" s="45">
        <v>0</v>
      </c>
      <c r="T256" s="49" t="s">
        <v>692</v>
      </c>
    </row>
    <row r="257" spans="1:20" x14ac:dyDescent="0.25">
      <c r="A257" s="43">
        <v>10762</v>
      </c>
      <c r="B257" s="43" t="s">
        <v>320</v>
      </c>
      <c r="C257" s="56">
        <f>(I257*'Frost Calculation'!$F$20/'Frost Calculation'!$E$20)+(K257*'Frost Calculation'!$F$17/'Frost Calculation'!$E$17)+(L257*'Frost Calculation'!$F$18/'Frost Calculation'!$E$18)+M257*'Frost Calculation'!$F$19/'Frost Calculation'!$E$19</f>
        <v>0.41187283593277307</v>
      </c>
      <c r="D257" s="43" t="s">
        <v>67</v>
      </c>
      <c r="E257" s="43">
        <v>64</v>
      </c>
      <c r="G257" s="43">
        <v>20</v>
      </c>
      <c r="I257" s="43">
        <v>10</v>
      </c>
      <c r="K257" s="43">
        <v>0</v>
      </c>
      <c r="L257" s="45">
        <v>0</v>
      </c>
      <c r="M257" s="45">
        <v>0</v>
      </c>
      <c r="T257" s="49" t="s">
        <v>693</v>
      </c>
    </row>
    <row r="258" spans="1:20" x14ac:dyDescent="0.25">
      <c r="A258" s="46">
        <v>23009</v>
      </c>
      <c r="B258" s="43" t="s">
        <v>422</v>
      </c>
      <c r="C258" s="56">
        <f>(I258*'Frost Calculation'!$F$20/'Frost Calculation'!$E$20)+(K258*'Frost Calculation'!$F$17/'Frost Calculation'!$E$17)+(L258*'Frost Calculation'!$F$18/'Frost Calculation'!$E$18)+M258*'Frost Calculation'!$F$19/'Frost Calculation'!$E$19</f>
        <v>0.41187283593277307</v>
      </c>
      <c r="D258" s="43" t="s">
        <v>77</v>
      </c>
      <c r="I258" s="43">
        <v>10</v>
      </c>
      <c r="J258" s="43">
        <v>9</v>
      </c>
      <c r="K258" s="43">
        <v>0</v>
      </c>
      <c r="L258" s="45">
        <v>0</v>
      </c>
      <c r="M258" s="45">
        <v>0</v>
      </c>
      <c r="T258" s="49" t="s">
        <v>694</v>
      </c>
    </row>
    <row r="259" spans="1:20" x14ac:dyDescent="0.25">
      <c r="A259" s="43">
        <v>16704</v>
      </c>
      <c r="B259" s="43" t="s">
        <v>215</v>
      </c>
      <c r="C259" s="56">
        <f>(I259*'Frost Calculation'!$F$20/'Frost Calculation'!$E$20)+(K259*'Frost Calculation'!$F$17/'Frost Calculation'!$E$17)+(L259*'Frost Calculation'!$F$18/'Frost Calculation'!$E$18)+M259*'Frost Calculation'!$F$19/'Frost Calculation'!$E$19</f>
        <v>0.37068555233949574</v>
      </c>
      <c r="D259" s="43" t="s">
        <v>72</v>
      </c>
      <c r="E259" s="43">
        <v>58</v>
      </c>
      <c r="G259" s="43">
        <v>17</v>
      </c>
      <c r="I259" s="43">
        <v>9</v>
      </c>
      <c r="J259" s="43">
        <v>10</v>
      </c>
      <c r="K259" s="43">
        <v>0</v>
      </c>
      <c r="L259" s="45">
        <v>0</v>
      </c>
      <c r="M259" s="45">
        <v>0</v>
      </c>
      <c r="T259" s="49" t="s">
        <v>695</v>
      </c>
    </row>
    <row r="260" spans="1:20" x14ac:dyDescent="0.25">
      <c r="A260" s="47">
        <v>16705</v>
      </c>
      <c r="B260" s="43" t="s">
        <v>242</v>
      </c>
      <c r="C260" s="56">
        <f>(I260*'Frost Calculation'!$F$20/'Frost Calculation'!$E$20)+(K260*'Frost Calculation'!$F$17/'Frost Calculation'!$E$17)+(L260*'Frost Calculation'!$F$18/'Frost Calculation'!$E$18)+M260*'Frost Calculation'!$F$19/'Frost Calculation'!$E$19</f>
        <v>0.37068555233949574</v>
      </c>
      <c r="D260" s="43" t="s">
        <v>69</v>
      </c>
      <c r="E260" s="43">
        <v>52</v>
      </c>
      <c r="G260" s="43">
        <v>13</v>
      </c>
      <c r="I260" s="43">
        <v>9</v>
      </c>
      <c r="J260" s="43">
        <v>14</v>
      </c>
      <c r="K260" s="43">
        <v>0</v>
      </c>
      <c r="L260" s="45">
        <v>0</v>
      </c>
      <c r="M260" s="45">
        <v>0</v>
      </c>
      <c r="T260" s="49" t="s">
        <v>696</v>
      </c>
    </row>
    <row r="261" spans="1:20" x14ac:dyDescent="0.25">
      <c r="A261" s="48">
        <v>16975</v>
      </c>
      <c r="B261" s="44" t="s">
        <v>107</v>
      </c>
      <c r="C261" s="56">
        <f>(I261*'Frost Calculation'!$F$20/'Frost Calculation'!$E$20)+(K261*'Frost Calculation'!$F$17/'Frost Calculation'!$E$17)+(L261*'Frost Calculation'!$F$18/'Frost Calculation'!$E$18)+M261*'Frost Calculation'!$F$19/'Frost Calculation'!$E$19</f>
        <v>0.37068555233949574</v>
      </c>
      <c r="D261" s="43" t="s">
        <v>70</v>
      </c>
      <c r="E261" s="43">
        <v>25</v>
      </c>
      <c r="G261" s="43">
        <v>4</v>
      </c>
      <c r="I261" s="43">
        <v>9</v>
      </c>
      <c r="K261" s="43">
        <v>0</v>
      </c>
      <c r="L261" s="45">
        <v>0</v>
      </c>
      <c r="M261" s="45">
        <v>0</v>
      </c>
      <c r="T261" s="49" t="s">
        <v>697</v>
      </c>
    </row>
    <row r="262" spans="1:20" x14ac:dyDescent="0.25">
      <c r="A262" s="43">
        <v>13181</v>
      </c>
      <c r="B262" s="43" t="s">
        <v>271</v>
      </c>
      <c r="C262" s="56">
        <f>(I262*'Frost Calculation'!$F$20/'Frost Calculation'!$E$20)+(K262*'Frost Calculation'!$F$17/'Frost Calculation'!$E$17)+(L262*'Frost Calculation'!$F$18/'Frost Calculation'!$E$18)+M262*'Frost Calculation'!$F$19/'Frost Calculation'!$E$19</f>
        <v>0.37068555233949574</v>
      </c>
      <c r="D262" s="43" t="s">
        <v>69</v>
      </c>
      <c r="E262" s="43">
        <v>51</v>
      </c>
      <c r="G262" s="43">
        <v>9</v>
      </c>
      <c r="I262" s="43">
        <v>9</v>
      </c>
      <c r="J262" s="43">
        <v>17</v>
      </c>
      <c r="K262" s="43">
        <v>0</v>
      </c>
      <c r="L262" s="45">
        <v>0</v>
      </c>
      <c r="M262" s="45">
        <v>0</v>
      </c>
      <c r="T262" s="49" t="s">
        <v>698</v>
      </c>
    </row>
    <row r="263" spans="1:20" x14ac:dyDescent="0.25">
      <c r="A263" s="43">
        <v>22245</v>
      </c>
      <c r="B263" s="43" t="s">
        <v>288</v>
      </c>
      <c r="C263" s="56">
        <f>(I263*'Frost Calculation'!$F$20/'Frost Calculation'!$E$20)+(K263*'Frost Calculation'!$F$17/'Frost Calculation'!$E$17)+(L263*'Frost Calculation'!$F$18/'Frost Calculation'!$E$18)+M263*'Frost Calculation'!$F$19/'Frost Calculation'!$E$19</f>
        <v>0.37068555233949574</v>
      </c>
      <c r="D263" s="43" t="s">
        <v>72</v>
      </c>
      <c r="E263" s="43">
        <v>55</v>
      </c>
      <c r="G263" s="43">
        <v>8</v>
      </c>
      <c r="I263" s="43">
        <v>9</v>
      </c>
      <c r="J263" s="43">
        <v>14</v>
      </c>
      <c r="K263" s="43">
        <v>0</v>
      </c>
      <c r="L263" s="45">
        <v>0</v>
      </c>
      <c r="M263" s="45">
        <v>0</v>
      </c>
      <c r="T263" s="49" t="s">
        <v>699</v>
      </c>
    </row>
    <row r="264" spans="1:20" x14ac:dyDescent="0.25">
      <c r="A264" s="43">
        <v>9407</v>
      </c>
      <c r="B264" s="43" t="s">
        <v>314</v>
      </c>
      <c r="C264" s="56">
        <f>(I264*'Frost Calculation'!$F$20/'Frost Calculation'!$E$20)+(K264*'Frost Calculation'!$F$17/'Frost Calculation'!$E$17)+(L264*'Frost Calculation'!$F$18/'Frost Calculation'!$E$18)+M264*'Frost Calculation'!$F$19/'Frost Calculation'!$E$19</f>
        <v>0.32949826874621846</v>
      </c>
      <c r="D264" s="43" t="s">
        <v>71</v>
      </c>
      <c r="E264" s="43">
        <v>51</v>
      </c>
      <c r="G264" s="43">
        <v>9</v>
      </c>
      <c r="I264" s="43">
        <v>8</v>
      </c>
      <c r="J264" s="43">
        <v>15</v>
      </c>
      <c r="K264" s="43">
        <v>0</v>
      </c>
      <c r="L264" s="45">
        <v>0</v>
      </c>
      <c r="M264" s="45">
        <v>0</v>
      </c>
      <c r="T264" s="49" t="s">
        <v>700</v>
      </c>
    </row>
    <row r="265" spans="1:20" x14ac:dyDescent="0.25">
      <c r="A265" s="43">
        <v>10581</v>
      </c>
      <c r="B265" s="43" t="s">
        <v>322</v>
      </c>
      <c r="C265" s="56">
        <f>(I265*'Frost Calculation'!$F$20/'Frost Calculation'!$E$20)+(K265*'Frost Calculation'!$F$17/'Frost Calculation'!$E$17)+(L265*'Frost Calculation'!$F$18/'Frost Calculation'!$E$18)+M265*'Frost Calculation'!$F$19/'Frost Calculation'!$E$19</f>
        <v>0.32949826874621846</v>
      </c>
      <c r="D265" s="43" t="s">
        <v>67</v>
      </c>
      <c r="E265" s="43">
        <v>58</v>
      </c>
      <c r="G265" s="43">
        <v>12</v>
      </c>
      <c r="I265" s="43">
        <v>8</v>
      </c>
      <c r="J265" s="43">
        <v>13</v>
      </c>
      <c r="K265" s="43">
        <v>0</v>
      </c>
      <c r="L265" s="45">
        <v>0</v>
      </c>
      <c r="M265" s="45">
        <v>0</v>
      </c>
      <c r="T265" s="49" t="s">
        <v>701</v>
      </c>
    </row>
    <row r="266" spans="1:20" x14ac:dyDescent="0.25">
      <c r="A266" s="47">
        <v>14543</v>
      </c>
      <c r="B266" s="43" t="s">
        <v>232</v>
      </c>
      <c r="C266" s="56">
        <f>(I266*'Frost Calculation'!$F$20/'Frost Calculation'!$E$20)+(K266*'Frost Calculation'!$F$17/'Frost Calculation'!$E$17)+(L266*'Frost Calculation'!$F$18/'Frost Calculation'!$E$18)+M266*'Frost Calculation'!$F$19/'Frost Calculation'!$E$19</f>
        <v>0.28831098515294118</v>
      </c>
      <c r="D266" s="43" t="s">
        <v>69</v>
      </c>
      <c r="E266" s="43">
        <v>55</v>
      </c>
      <c r="G266" s="43">
        <v>6</v>
      </c>
      <c r="I266" s="43">
        <v>7</v>
      </c>
      <c r="J266" s="43">
        <v>6</v>
      </c>
      <c r="K266" s="43">
        <v>0</v>
      </c>
      <c r="L266" s="45">
        <v>0</v>
      </c>
      <c r="M266" s="45">
        <v>0</v>
      </c>
      <c r="R266" s="43">
        <v>10</v>
      </c>
      <c r="S266" s="43">
        <v>15</v>
      </c>
      <c r="T266" s="49" t="s">
        <v>702</v>
      </c>
    </row>
    <row r="267" spans="1:20" x14ac:dyDescent="0.25">
      <c r="A267" s="43">
        <v>19435</v>
      </c>
      <c r="B267" s="43" t="s">
        <v>211</v>
      </c>
      <c r="C267" s="56">
        <f>(I267*'Frost Calculation'!$F$20/'Frost Calculation'!$E$20)+(K267*'Frost Calculation'!$F$17/'Frost Calculation'!$E$17)+(L267*'Frost Calculation'!$F$18/'Frost Calculation'!$E$18)+M267*'Frost Calculation'!$F$19/'Frost Calculation'!$E$19</f>
        <v>0.28831098515294118</v>
      </c>
      <c r="D267" s="43" t="s">
        <v>77</v>
      </c>
      <c r="G267" s="43">
        <v>5</v>
      </c>
      <c r="I267" s="43">
        <v>7</v>
      </c>
      <c r="K267" s="43">
        <v>0</v>
      </c>
      <c r="L267" s="45">
        <v>0</v>
      </c>
      <c r="M267" s="45">
        <v>0</v>
      </c>
      <c r="N267" s="43">
        <v>5</v>
      </c>
      <c r="T267" s="49" t="s">
        <v>703</v>
      </c>
    </row>
    <row r="268" spans="1:20" x14ac:dyDescent="0.25">
      <c r="A268" s="47">
        <v>14430</v>
      </c>
      <c r="B268" s="43" t="s">
        <v>234</v>
      </c>
      <c r="C268" s="56">
        <f>(I268*'Frost Calculation'!$F$20/'Frost Calculation'!$E$20)+(K268*'Frost Calculation'!$F$17/'Frost Calculation'!$E$17)+(L268*'Frost Calculation'!$F$18/'Frost Calculation'!$E$18)+M268*'Frost Calculation'!$F$19/'Frost Calculation'!$E$19</f>
        <v>0.24712370155966384</v>
      </c>
      <c r="D268" s="43" t="s">
        <v>66</v>
      </c>
      <c r="E268" s="43">
        <v>28</v>
      </c>
      <c r="G268" s="43">
        <v>4</v>
      </c>
      <c r="I268" s="43">
        <v>6</v>
      </c>
      <c r="J268" s="43">
        <v>4</v>
      </c>
      <c r="K268" s="43">
        <v>0</v>
      </c>
      <c r="L268" s="45">
        <v>0</v>
      </c>
      <c r="M268" s="45">
        <v>0</v>
      </c>
      <c r="T268" s="49" t="s">
        <v>704</v>
      </c>
    </row>
    <row r="269" spans="1:20" x14ac:dyDescent="0.25">
      <c r="A269" s="47">
        <v>13960</v>
      </c>
      <c r="B269" s="43" t="s">
        <v>230</v>
      </c>
      <c r="C269" s="56">
        <f>(I269*'Frost Calculation'!$F$20/'Frost Calculation'!$E$20)+(K269*'Frost Calculation'!$F$17/'Frost Calculation'!$E$17)+(L269*'Frost Calculation'!$F$18/'Frost Calculation'!$E$18)+M269*'Frost Calculation'!$F$19/'Frost Calculation'!$E$19</f>
        <v>0.20593641796638654</v>
      </c>
      <c r="D269" s="43" t="s">
        <v>64</v>
      </c>
      <c r="E269" s="43">
        <v>0</v>
      </c>
      <c r="G269" s="43">
        <v>5</v>
      </c>
      <c r="I269" s="43">
        <v>5</v>
      </c>
      <c r="J269" s="43">
        <v>15</v>
      </c>
      <c r="K269" s="43">
        <v>0</v>
      </c>
      <c r="L269" s="45">
        <v>0</v>
      </c>
      <c r="M269" s="45">
        <v>0</v>
      </c>
      <c r="T269" s="49" t="s">
        <v>705</v>
      </c>
    </row>
    <row r="270" spans="1:20" x14ac:dyDescent="0.25">
      <c r="A270" s="43">
        <v>9415</v>
      </c>
      <c r="B270" s="43" t="s">
        <v>315</v>
      </c>
      <c r="C270" s="56">
        <f>(I270*'Frost Calculation'!$F$20/'Frost Calculation'!$E$20)+(K270*'Frost Calculation'!$F$17/'Frost Calculation'!$E$17)+(L270*'Frost Calculation'!$F$18/'Frost Calculation'!$E$18)+M270*'Frost Calculation'!$F$19/'Frost Calculation'!$E$19</f>
        <v>0.20593641796638654</v>
      </c>
      <c r="D270" s="43" t="s">
        <v>67</v>
      </c>
      <c r="E270" s="43">
        <v>68</v>
      </c>
      <c r="G270" s="43">
        <v>10</v>
      </c>
      <c r="I270" s="43">
        <v>5</v>
      </c>
      <c r="J270" s="43">
        <v>20</v>
      </c>
      <c r="K270" s="43">
        <v>0</v>
      </c>
      <c r="L270" s="45">
        <v>0</v>
      </c>
      <c r="M270" s="45">
        <v>0</v>
      </c>
      <c r="T270" s="49" t="s">
        <v>706</v>
      </c>
    </row>
    <row r="271" spans="1:20" x14ac:dyDescent="0.25">
      <c r="A271" s="43">
        <v>10769</v>
      </c>
      <c r="B271" s="43" t="s">
        <v>318</v>
      </c>
      <c r="C271" s="56">
        <f>(I271*'Frost Calculation'!$F$20/'Frost Calculation'!$E$20)+(K271*'Frost Calculation'!$F$17/'Frost Calculation'!$E$17)+(L271*'Frost Calculation'!$F$18/'Frost Calculation'!$E$18)+M271*'Frost Calculation'!$F$19/'Frost Calculation'!$E$19</f>
        <v>0.20593641796638654</v>
      </c>
      <c r="D271" s="43" t="s">
        <v>64</v>
      </c>
      <c r="E271" s="43">
        <v>0</v>
      </c>
      <c r="I271" s="43">
        <v>5</v>
      </c>
      <c r="J271" s="43">
        <v>11</v>
      </c>
      <c r="K271" s="43">
        <v>0</v>
      </c>
      <c r="L271" s="45">
        <v>0</v>
      </c>
      <c r="M271" s="45">
        <v>0</v>
      </c>
      <c r="T271" s="49" t="s">
        <v>707</v>
      </c>
    </row>
    <row r="272" spans="1:20" x14ac:dyDescent="0.25">
      <c r="A272" s="43">
        <v>10843</v>
      </c>
      <c r="B272" s="43" t="s">
        <v>295</v>
      </c>
      <c r="C272" s="56">
        <f>(I272*'Frost Calculation'!$F$20/'Frost Calculation'!$E$20)+(K272*'Frost Calculation'!$F$17/'Frost Calculation'!$E$17)+(L272*'Frost Calculation'!$F$18/'Frost Calculation'!$E$18)+M272*'Frost Calculation'!$F$19/'Frost Calculation'!$E$19</f>
        <v>0.16474913437310923</v>
      </c>
      <c r="D272" s="43" t="s">
        <v>66</v>
      </c>
      <c r="E272" s="43">
        <v>39</v>
      </c>
      <c r="G272" s="43">
        <v>4</v>
      </c>
      <c r="I272" s="43">
        <v>4</v>
      </c>
      <c r="J272" s="43">
        <v>15</v>
      </c>
      <c r="K272" s="43">
        <v>0</v>
      </c>
      <c r="L272" s="45">
        <v>0</v>
      </c>
      <c r="M272" s="45">
        <v>0</v>
      </c>
      <c r="T272" s="49" t="s">
        <v>708</v>
      </c>
    </row>
    <row r="273" spans="1:20" x14ac:dyDescent="0.25">
      <c r="A273" s="48">
        <v>13386</v>
      </c>
      <c r="B273" s="44" t="s">
        <v>112</v>
      </c>
      <c r="C273" s="56">
        <f>(I273*'Frost Calculation'!$F$20/'Frost Calculation'!$E$20)+(K273*'Frost Calculation'!$F$17/'Frost Calculation'!$E$17)+(L273*'Frost Calculation'!$F$18/'Frost Calculation'!$E$18)+M273*'Frost Calculation'!$F$19/'Frost Calculation'!$E$19</f>
        <v>0</v>
      </c>
      <c r="D273" s="43" t="s">
        <v>66</v>
      </c>
      <c r="E273" s="43">
        <v>43</v>
      </c>
      <c r="K273" s="43">
        <v>0</v>
      </c>
      <c r="L273" s="45">
        <v>0</v>
      </c>
      <c r="M273" s="45">
        <v>0</v>
      </c>
      <c r="N273" s="43">
        <v>4</v>
      </c>
      <c r="T273" s="49" t="s">
        <v>709</v>
      </c>
    </row>
    <row r="274" spans="1:20" x14ac:dyDescent="0.25">
      <c r="A274" s="47">
        <v>13534</v>
      </c>
      <c r="B274" s="43" t="s">
        <v>217</v>
      </c>
      <c r="C274" s="56">
        <f>(I274*'Frost Calculation'!$F$20/'Frost Calculation'!$E$20)+(K274*'Frost Calculation'!$F$17/'Frost Calculation'!$E$17)+(L274*'Frost Calculation'!$F$18/'Frost Calculation'!$E$18)+M274*'Frost Calculation'!$F$19/'Frost Calculation'!$E$19</f>
        <v>0</v>
      </c>
      <c r="D274" s="43" t="s">
        <v>77</v>
      </c>
      <c r="K274" s="43">
        <v>0</v>
      </c>
      <c r="L274" s="45">
        <v>0</v>
      </c>
      <c r="M274" s="45">
        <v>0</v>
      </c>
      <c r="P274" s="43">
        <v>10</v>
      </c>
      <c r="T274" s="49" t="s">
        <v>710</v>
      </c>
    </row>
    <row r="275" spans="1:20" x14ac:dyDescent="0.25">
      <c r="A275" s="47">
        <v>14653</v>
      </c>
      <c r="B275" s="43" t="s">
        <v>236</v>
      </c>
      <c r="C275" s="56">
        <f>(I275*'Frost Calculation'!$F$20/'Frost Calculation'!$E$20)+(K275*'Frost Calculation'!$F$17/'Frost Calculation'!$E$17)+(L275*'Frost Calculation'!$F$18/'Frost Calculation'!$E$18)+M275*'Frost Calculation'!$F$19/'Frost Calculation'!$E$19</f>
        <v>0</v>
      </c>
      <c r="D275" s="43" t="s">
        <v>72</v>
      </c>
      <c r="E275" s="43">
        <v>85</v>
      </c>
      <c r="G275" s="43">
        <v>3</v>
      </c>
      <c r="K275" s="43">
        <v>0</v>
      </c>
      <c r="L275" s="45">
        <v>0</v>
      </c>
      <c r="M275" s="45">
        <v>0</v>
      </c>
      <c r="T275" s="49" t="s">
        <v>711</v>
      </c>
    </row>
    <row r="276" spans="1:20" x14ac:dyDescent="0.25">
      <c r="A276" s="47">
        <v>16678</v>
      </c>
      <c r="B276" s="43" t="s">
        <v>221</v>
      </c>
      <c r="C276" s="56">
        <f>(I276*'Frost Calculation'!$F$20/'Frost Calculation'!$E$20)+(K276*'Frost Calculation'!$F$17/'Frost Calculation'!$E$17)+(L276*'Frost Calculation'!$F$18/'Frost Calculation'!$E$18)+M276*'Frost Calculation'!$F$19/'Frost Calculation'!$E$19</f>
        <v>0</v>
      </c>
      <c r="D276" s="43" t="s">
        <v>71</v>
      </c>
      <c r="E276" s="43">
        <v>315</v>
      </c>
      <c r="G276" s="43">
        <v>6</v>
      </c>
      <c r="J276" s="43">
        <v>12</v>
      </c>
      <c r="K276" s="43">
        <v>0</v>
      </c>
      <c r="L276" s="45">
        <v>0</v>
      </c>
      <c r="M276" s="45">
        <v>0</v>
      </c>
      <c r="T276" s="49" t="s">
        <v>712</v>
      </c>
    </row>
    <row r="277" spans="1:20" x14ac:dyDescent="0.25">
      <c r="A277" s="46">
        <v>18420</v>
      </c>
      <c r="B277" s="43" t="s">
        <v>176</v>
      </c>
      <c r="C277" s="56">
        <f>(I277*'Frost Calculation'!$F$20/'Frost Calculation'!$E$20)+(K277*'Frost Calculation'!$F$17/'Frost Calculation'!$E$17)+(L277*'Frost Calculation'!$F$18/'Frost Calculation'!$E$18)+M277*'Frost Calculation'!$F$19/'Frost Calculation'!$E$19</f>
        <v>0</v>
      </c>
      <c r="D277" s="43" t="s">
        <v>111</v>
      </c>
      <c r="K277" s="43">
        <v>0</v>
      </c>
      <c r="L277" s="45">
        <v>0</v>
      </c>
      <c r="M277" s="45">
        <v>0</v>
      </c>
      <c r="T277" s="49" t="s">
        <v>713</v>
      </c>
    </row>
    <row r="278" spans="1:20" x14ac:dyDescent="0.25">
      <c r="A278" s="47">
        <v>18483</v>
      </c>
      <c r="B278" s="43" t="s">
        <v>253</v>
      </c>
      <c r="C278" s="56">
        <f>(I278*'Frost Calculation'!$F$20/'Frost Calculation'!$E$20)+(K278*'Frost Calculation'!$F$17/'Frost Calculation'!$E$17)+(L278*'Frost Calculation'!$F$18/'Frost Calculation'!$E$18)+M278*'Frost Calculation'!$F$19/'Frost Calculation'!$E$19</f>
        <v>0</v>
      </c>
      <c r="D278" s="43" t="s">
        <v>77</v>
      </c>
      <c r="K278" s="43">
        <v>0</v>
      </c>
      <c r="L278" s="45">
        <v>0</v>
      </c>
      <c r="M278" s="45">
        <v>0</v>
      </c>
      <c r="N278" s="43">
        <v>4</v>
      </c>
      <c r="T278" s="49" t="s">
        <v>714</v>
      </c>
    </row>
    <row r="279" spans="1:20" x14ac:dyDescent="0.25">
      <c r="A279" s="43">
        <v>18757</v>
      </c>
      <c r="B279" s="43" t="s">
        <v>258</v>
      </c>
      <c r="C279" s="56">
        <f>(I279*'Frost Calculation'!$F$20/'Frost Calculation'!$E$20)+(K279*'Frost Calculation'!$F$17/'Frost Calculation'!$E$17)+(L279*'Frost Calculation'!$F$18/'Frost Calculation'!$E$18)+M279*'Frost Calculation'!$F$19/'Frost Calculation'!$E$19</f>
        <v>0</v>
      </c>
      <c r="D279" s="43" t="s">
        <v>65</v>
      </c>
      <c r="E279" s="43">
        <v>66</v>
      </c>
      <c r="G279" s="43">
        <v>16</v>
      </c>
      <c r="K279" s="43">
        <v>0</v>
      </c>
      <c r="L279" s="45">
        <v>0</v>
      </c>
      <c r="M279" s="45">
        <v>0</v>
      </c>
      <c r="N279" s="43">
        <v>8</v>
      </c>
      <c r="T279" s="49" t="s">
        <v>715</v>
      </c>
    </row>
    <row r="280" spans="1:20" x14ac:dyDescent="0.25">
      <c r="A280" s="46">
        <v>18820</v>
      </c>
      <c r="B280" s="43" t="s">
        <v>186</v>
      </c>
      <c r="C280" s="56">
        <f>(I280*'Frost Calculation'!$F$20/'Frost Calculation'!$E$20)+(K280*'Frost Calculation'!$F$17/'Frost Calculation'!$E$17)+(L280*'Frost Calculation'!$F$18/'Frost Calculation'!$E$18)+M280*'Frost Calculation'!$F$19/'Frost Calculation'!$E$19</f>
        <v>0</v>
      </c>
      <c r="D280" s="43" t="s">
        <v>74</v>
      </c>
      <c r="E280" s="43">
        <v>0</v>
      </c>
      <c r="K280" s="43">
        <v>0</v>
      </c>
      <c r="L280" s="45">
        <v>0</v>
      </c>
      <c r="M280" s="45">
        <v>0</v>
      </c>
      <c r="T280" s="49" t="s">
        <v>716</v>
      </c>
    </row>
    <row r="281" spans="1:20" x14ac:dyDescent="0.25">
      <c r="A281" s="47">
        <v>19335</v>
      </c>
      <c r="B281" s="43" t="s">
        <v>203</v>
      </c>
      <c r="C281" s="56">
        <f>(I281*'Frost Calculation'!$F$20/'Frost Calculation'!$E$20)+(K281*'Frost Calculation'!$F$17/'Frost Calculation'!$E$17)+(L281*'Frost Calculation'!$F$18/'Frost Calculation'!$E$18)+M281*'Frost Calculation'!$F$19/'Frost Calculation'!$E$19</f>
        <v>0</v>
      </c>
      <c r="D281" s="43" t="s">
        <v>75</v>
      </c>
      <c r="G281" s="43">
        <v>16</v>
      </c>
      <c r="K281" s="43">
        <v>0</v>
      </c>
      <c r="L281" s="45">
        <v>0</v>
      </c>
      <c r="M281" s="45">
        <v>0</v>
      </c>
      <c r="T281" s="49" t="s">
        <v>717</v>
      </c>
    </row>
    <row r="282" spans="1:20" x14ac:dyDescent="0.25">
      <c r="A282" s="43">
        <v>19339</v>
      </c>
      <c r="B282" s="43" t="s">
        <v>197</v>
      </c>
      <c r="C282" s="56">
        <f>(I282*'Frost Calculation'!$F$20/'Frost Calculation'!$E$20)+(K282*'Frost Calculation'!$F$17/'Frost Calculation'!$E$17)+(L282*'Frost Calculation'!$F$18/'Frost Calculation'!$E$18)+M282*'Frost Calculation'!$F$19/'Frost Calculation'!$E$19</f>
        <v>0</v>
      </c>
      <c r="D282" s="43" t="s">
        <v>74</v>
      </c>
      <c r="E282" s="43">
        <v>0</v>
      </c>
      <c r="K282" s="43">
        <v>0</v>
      </c>
      <c r="L282" s="45">
        <v>0</v>
      </c>
      <c r="M282" s="45">
        <v>0</v>
      </c>
      <c r="T282" s="49" t="s">
        <v>718</v>
      </c>
    </row>
    <row r="283" spans="1:20" x14ac:dyDescent="0.25">
      <c r="A283" s="47">
        <v>12608</v>
      </c>
      <c r="B283" s="43" t="s">
        <v>272</v>
      </c>
      <c r="C283" s="56">
        <f>(I283*'Frost Calculation'!$F$20/'Frost Calculation'!$E$20)+(K283*'Frost Calculation'!$F$17/'Frost Calculation'!$E$17)+(L283*'Frost Calculation'!$F$18/'Frost Calculation'!$E$18)+M283*'Frost Calculation'!$F$19/'Frost Calculation'!$E$19</f>
        <v>0</v>
      </c>
      <c r="D283" s="43" t="s">
        <v>66</v>
      </c>
      <c r="E283" s="43">
        <v>41</v>
      </c>
      <c r="G283" s="43">
        <v>7</v>
      </c>
      <c r="J283" s="43">
        <v>16</v>
      </c>
      <c r="K283" s="43">
        <v>0</v>
      </c>
      <c r="L283" s="45">
        <v>0</v>
      </c>
      <c r="M283" s="45">
        <v>0</v>
      </c>
      <c r="T283" s="49" t="s">
        <v>719</v>
      </c>
    </row>
    <row r="284" spans="1:20" x14ac:dyDescent="0.25">
      <c r="A284" s="47">
        <v>13206</v>
      </c>
      <c r="B284" s="43" t="s">
        <v>279</v>
      </c>
      <c r="C284" s="56">
        <f>(I284*'Frost Calculation'!$F$20/'Frost Calculation'!$E$20)+(K284*'Frost Calculation'!$F$17/'Frost Calculation'!$E$17)+(L284*'Frost Calculation'!$F$18/'Frost Calculation'!$E$18)+M284*'Frost Calculation'!$F$19/'Frost Calculation'!$E$19</f>
        <v>0</v>
      </c>
      <c r="D284" s="43" t="s">
        <v>71</v>
      </c>
      <c r="E284" s="43">
        <v>76</v>
      </c>
      <c r="G284" s="43">
        <v>5</v>
      </c>
      <c r="J284" s="43">
        <v>25</v>
      </c>
      <c r="K284" s="43">
        <v>0</v>
      </c>
      <c r="L284" s="45">
        <v>0</v>
      </c>
      <c r="M284" s="45">
        <v>0</v>
      </c>
      <c r="Q284" s="43">
        <v>10</v>
      </c>
      <c r="T284" s="49" t="s">
        <v>720</v>
      </c>
    </row>
    <row r="285" spans="1:20" x14ac:dyDescent="0.25">
      <c r="A285" s="43">
        <v>10808</v>
      </c>
      <c r="B285" s="43" t="s">
        <v>298</v>
      </c>
      <c r="C285" s="56">
        <f>(I285*'Frost Calculation'!$F$20/'Frost Calculation'!$E$20)+(K285*'Frost Calculation'!$F$17/'Frost Calculation'!$E$17)+(L285*'Frost Calculation'!$F$18/'Frost Calculation'!$E$18)+M285*'Frost Calculation'!$F$19/'Frost Calculation'!$E$19</f>
        <v>0</v>
      </c>
      <c r="D285" s="43" t="s">
        <v>69</v>
      </c>
      <c r="E285" s="43">
        <v>49</v>
      </c>
      <c r="G285" s="43">
        <v>6</v>
      </c>
      <c r="J285" s="43">
        <v>20</v>
      </c>
      <c r="K285" s="43">
        <v>0</v>
      </c>
      <c r="L285" s="45">
        <v>0</v>
      </c>
      <c r="M285" s="45">
        <v>0</v>
      </c>
      <c r="T285" s="49" t="s">
        <v>725</v>
      </c>
    </row>
    <row r="286" spans="1:20" x14ac:dyDescent="0.25">
      <c r="A286" s="43">
        <v>12465</v>
      </c>
      <c r="B286" s="43" t="s">
        <v>300</v>
      </c>
      <c r="C286" s="56">
        <f>(I286*'Frost Calculation'!$F$20/'Frost Calculation'!$E$20)+(K286*'Frost Calculation'!$F$17/'Frost Calculation'!$E$17)+(L286*'Frost Calculation'!$F$18/'Frost Calculation'!$E$18)+M286*'Frost Calculation'!$F$19/'Frost Calculation'!$E$19</f>
        <v>0</v>
      </c>
      <c r="D286" s="43" t="s">
        <v>66</v>
      </c>
      <c r="E286" s="43">
        <v>38</v>
      </c>
      <c r="G286" s="43">
        <v>14</v>
      </c>
      <c r="J286" s="43">
        <v>8</v>
      </c>
      <c r="K286" s="43">
        <v>0</v>
      </c>
      <c r="L286" s="45">
        <v>0</v>
      </c>
      <c r="M286" s="45">
        <v>0</v>
      </c>
      <c r="T286" s="49" t="s">
        <v>721</v>
      </c>
    </row>
    <row r="287" spans="1:20" x14ac:dyDescent="0.25">
      <c r="A287" s="43">
        <v>10829</v>
      </c>
      <c r="B287" s="43" t="s">
        <v>302</v>
      </c>
      <c r="C287" s="56">
        <f>(I287*'Frost Calculation'!$F$20/'Frost Calculation'!$E$20)+(K287*'Frost Calculation'!$F$17/'Frost Calculation'!$E$17)+(L287*'Frost Calculation'!$F$18/'Frost Calculation'!$E$18)+M287*'Frost Calculation'!$F$19/'Frost Calculation'!$E$19</f>
        <v>0</v>
      </c>
      <c r="D287" s="43" t="s">
        <v>64</v>
      </c>
      <c r="E287" s="43">
        <v>0</v>
      </c>
      <c r="G287" s="43">
        <v>6</v>
      </c>
      <c r="J287" s="43">
        <v>15</v>
      </c>
      <c r="K287" s="43">
        <v>0</v>
      </c>
      <c r="L287" s="45">
        <v>0</v>
      </c>
      <c r="M287" s="45">
        <v>0</v>
      </c>
      <c r="T287" s="49" t="s">
        <v>722</v>
      </c>
    </row>
    <row r="288" spans="1:20" x14ac:dyDescent="0.25">
      <c r="A288" s="43">
        <v>9641</v>
      </c>
      <c r="B288" s="43" t="s">
        <v>310</v>
      </c>
      <c r="C288" s="56">
        <f>(I288*'Frost Calculation'!$F$20/'Frost Calculation'!$E$20)+(K288*'Frost Calculation'!$F$17/'Frost Calculation'!$E$17)+(L288*'Frost Calculation'!$F$18/'Frost Calculation'!$E$18)+M288*'Frost Calculation'!$F$19/'Frost Calculation'!$E$19</f>
        <v>0</v>
      </c>
      <c r="D288" s="43" t="s">
        <v>64</v>
      </c>
      <c r="E288" s="43">
        <v>0</v>
      </c>
      <c r="G288" s="43">
        <v>13</v>
      </c>
      <c r="J288" s="43">
        <v>5</v>
      </c>
      <c r="K288" s="43">
        <v>0</v>
      </c>
      <c r="L288" s="45">
        <v>0</v>
      </c>
      <c r="M288" s="45">
        <v>0</v>
      </c>
      <c r="T288" s="49" t="s">
        <v>723</v>
      </c>
    </row>
    <row r="289" spans="1:20" x14ac:dyDescent="0.25">
      <c r="A289" s="43">
        <v>19950</v>
      </c>
      <c r="B289" s="43" t="s">
        <v>392</v>
      </c>
      <c r="C289" s="56">
        <f>(I289*'Frost Calculation'!$F$20/'Frost Calculation'!$E$20)+(K289*'Frost Calculation'!$F$17/'Frost Calculation'!$E$17)+(L289*'Frost Calculation'!$F$18/'Frost Calculation'!$E$18)+M289*'Frost Calculation'!$F$19/'Frost Calculation'!$E$19</f>
        <v>0</v>
      </c>
      <c r="D289" s="43" t="s">
        <v>74</v>
      </c>
      <c r="E289" s="43">
        <v>0</v>
      </c>
      <c r="K289" s="43">
        <v>0</v>
      </c>
      <c r="L289" s="45">
        <v>0</v>
      </c>
      <c r="M289" s="45">
        <v>0</v>
      </c>
      <c r="T289" s="49" t="s">
        <v>724</v>
      </c>
    </row>
    <row r="290" spans="1:20" x14ac:dyDescent="0.25">
      <c r="A290" s="43">
        <v>21701</v>
      </c>
      <c r="B290" s="43" t="s">
        <v>396</v>
      </c>
      <c r="C290" s="56">
        <f>(I290*'Frost Calculation'!$F$20/'Frost Calculation'!$E$20)+(K290*'Frost Calculation'!$F$17/'Frost Calculation'!$E$17)+(L290*'Frost Calculation'!$F$18/'Frost Calculation'!$E$18)+M290*'Frost Calculation'!$F$19/'Frost Calculation'!$E$19</f>
        <v>0</v>
      </c>
      <c r="D290" s="43" t="s">
        <v>66</v>
      </c>
      <c r="E290" s="43">
        <v>56</v>
      </c>
      <c r="G290" s="43">
        <v>15</v>
      </c>
      <c r="K290" s="43">
        <v>0</v>
      </c>
      <c r="L290" s="45">
        <v>0</v>
      </c>
      <c r="M290" s="45">
        <v>0</v>
      </c>
      <c r="T290" s="49" t="s">
        <v>439</v>
      </c>
    </row>
    <row r="291" spans="1:20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20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20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20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20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20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20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20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20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20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20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20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20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20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</sheetData>
  <sortState xmlns:xlrd2="http://schemas.microsoft.com/office/spreadsheetml/2017/richdata2" ref="A2:Z500">
    <sortCondition descending="1" ref="C1"/>
  </sortState>
  <hyperlinks>
    <hyperlink ref="T3" r:id="rId1" xr:uid="{ACEAC4C2-77EA-49D1-9813-7F47342759FE}"/>
    <hyperlink ref="T2" r:id="rId2" xr:uid="{8F08F6A5-B8A2-4DC9-B7C2-86DCFFC08FF1}"/>
    <hyperlink ref="T4" r:id="rId3" xr:uid="{1095A556-B614-4342-A849-80B00E4FF2E5}"/>
    <hyperlink ref="T5" r:id="rId4" xr:uid="{92A0B4F3-0162-4ED1-9D1D-BD3F04EE3521}"/>
    <hyperlink ref="T7" r:id="rId5" xr:uid="{4CE39246-57BF-43D2-A94C-3B3D75EEEF55}"/>
    <hyperlink ref="T6" r:id="rId6" xr:uid="{18A1B8F7-5FE8-4E05-9246-8E916849968D}"/>
    <hyperlink ref="T9" r:id="rId7" xr:uid="{19BA23AD-A823-448F-8835-4C30A2BA4DE9}"/>
    <hyperlink ref="T12" r:id="rId8" xr:uid="{A6A5D965-693B-4B83-81A0-5FAB715B385F}"/>
    <hyperlink ref="T8" r:id="rId9" xr:uid="{86B8F522-9D9A-4304-83BF-8644ED51FA42}"/>
    <hyperlink ref="T11" r:id="rId10" xr:uid="{02755D96-B1AA-4EDD-9638-F645C3E246CD}"/>
    <hyperlink ref="T10" r:id="rId11" xr:uid="{38034375-E2A2-48CE-BCEB-7B22B35DE960}"/>
    <hyperlink ref="T16" r:id="rId12" xr:uid="{08BA4E70-1EC2-4C16-A59A-048014F46CCD}"/>
    <hyperlink ref="T13" r:id="rId13" xr:uid="{A923DF7A-5E02-4BED-9FA4-EA5147B4558F}"/>
    <hyperlink ref="T14" r:id="rId14" xr:uid="{70F08C9B-0305-4894-A1AB-AF2AEBE68A11}"/>
    <hyperlink ref="T15" r:id="rId15" xr:uid="{60D2EED1-78A3-486B-AFBD-E4C8D8F3B438}"/>
    <hyperlink ref="T23" r:id="rId16" xr:uid="{B39F2425-E57D-4E56-9D33-3ABE5AF4BDF1}"/>
    <hyperlink ref="T25" r:id="rId17" xr:uid="{4CA0D2E5-B56B-4F30-BA94-B70B2F9E1DE4}"/>
    <hyperlink ref="T17" r:id="rId18" xr:uid="{0A4F60D8-A659-4C1D-8E2E-C409B4FE95A8}"/>
    <hyperlink ref="T21" r:id="rId19" xr:uid="{A6D590C9-25A9-4A8C-827A-B07CEE9C6A06}"/>
    <hyperlink ref="T22" r:id="rId20" xr:uid="{5B66CF13-B01E-45F8-8AF0-59235A7B4F3C}"/>
    <hyperlink ref="T24" r:id="rId21" xr:uid="{24D295A6-458B-4BF0-8351-E32854A3E645}"/>
    <hyperlink ref="T26" r:id="rId22" xr:uid="{72CE133F-9641-4FE0-A10B-8D2712FE4D33}"/>
    <hyperlink ref="T28" r:id="rId23" xr:uid="{4A2AA484-6494-49AA-8E9B-07581349E04E}"/>
    <hyperlink ref="T30" r:id="rId24" xr:uid="{CCB23E05-285D-491C-BCE9-3DDC80C16A70}"/>
    <hyperlink ref="T31" r:id="rId25" xr:uid="{42CDA674-99C8-4F91-A186-BE4B5B3E0591}"/>
    <hyperlink ref="T18" r:id="rId26" xr:uid="{90EEF791-24D8-4A00-9756-A6B44AB892CE}"/>
    <hyperlink ref="T27" r:id="rId27" xr:uid="{A50AE439-FFCD-4997-ADF5-C3C36BC6007F}"/>
    <hyperlink ref="T34" r:id="rId28" xr:uid="{5593664C-7B3F-429A-99BB-A4F1F4D346DE}"/>
    <hyperlink ref="T29" r:id="rId29" xr:uid="{8AB7A91A-F6AB-48A1-90F0-B99C3A48A707}"/>
    <hyperlink ref="T19" r:id="rId30" xr:uid="{E11CFAA8-7ED7-4472-B77D-199CD7BD784D}"/>
    <hyperlink ref="T20" r:id="rId31" xr:uid="{C23FEE02-0326-4D05-BB2B-0099792CF8E5}"/>
    <hyperlink ref="T35" r:id="rId32" xr:uid="{3CEEE9BA-6B66-4838-9DEB-3524AD119E1E}"/>
    <hyperlink ref="T49" r:id="rId33" xr:uid="{E9787F89-AE40-499D-8CA3-C5D8C4734437}"/>
    <hyperlink ref="T50" r:id="rId34" xr:uid="{1599B6F7-6311-4982-B557-290A5AA6C6DA}"/>
    <hyperlink ref="T32" r:id="rId35" xr:uid="{133FD9EF-6EEB-413F-979C-3A3054F82CB6}"/>
    <hyperlink ref="T33" r:id="rId36" xr:uid="{CCA2E47D-F21D-44DA-B35A-4C6EE0C1791A}"/>
    <hyperlink ref="T37" r:id="rId37" xr:uid="{8872B41A-601B-452C-98F5-87CE7CEF8A1B}"/>
    <hyperlink ref="T38" r:id="rId38" xr:uid="{3345556D-68AA-42CB-8093-FCF913257508}"/>
    <hyperlink ref="T36" r:id="rId39" xr:uid="{2F8FA8AF-2EDA-4984-B751-260880390106}"/>
    <hyperlink ref="T51" r:id="rId40" xr:uid="{BD24B9AC-700E-4ED5-8234-16B792A92864}"/>
    <hyperlink ref="T47" r:id="rId41" xr:uid="{3EFAA68A-BA10-4BF1-9337-59D8536C19C6}"/>
    <hyperlink ref="T55" r:id="rId42" xr:uid="{0B137122-D8C9-45DC-8C50-CDA2A3F088E3}"/>
    <hyperlink ref="T39" r:id="rId43" xr:uid="{B8FB3840-E2C0-4450-881A-FBCC8C37BCFF}"/>
    <hyperlink ref="T46" r:id="rId44" xr:uid="{BA965F81-BA78-408A-B240-3FD31FCFB78F}"/>
    <hyperlink ref="T41" r:id="rId45" xr:uid="{5955258E-4523-4C3C-9A11-F7AA0611B77E}"/>
    <hyperlink ref="T48" r:id="rId46" xr:uid="{FE318A96-70F5-4501-B4C6-08D4655D5F28}"/>
    <hyperlink ref="T45" r:id="rId47" xr:uid="{4F81CA5E-B679-4D47-BEC0-FBC139C9B2E6}"/>
    <hyperlink ref="T44" r:id="rId48" xr:uid="{21379788-ED3D-4EC1-8A6D-1CCE45C6D551}"/>
    <hyperlink ref="T56" r:id="rId49" xr:uid="{CD437ABA-0A53-4E04-9B9C-928F1D3ABC53}"/>
    <hyperlink ref="T57" r:id="rId50" xr:uid="{C6BCD6FB-C373-4BF4-8AE7-145713420E7D}"/>
    <hyperlink ref="T58" r:id="rId51" xr:uid="{2A6D80F5-5CAA-4A11-834D-0545AA8844C5}"/>
    <hyperlink ref="T42" r:id="rId52" xr:uid="{1C46C814-C987-4A5B-B919-9A9DEFA7261E}"/>
    <hyperlink ref="T52" r:id="rId53" xr:uid="{404EDB6C-211E-445E-811C-953BE1AF2623}"/>
    <hyperlink ref="T68" r:id="rId54" xr:uid="{4CF84B2C-8D09-433F-8EC3-45A08F5D23DE}"/>
    <hyperlink ref="T54" r:id="rId55" xr:uid="{B897F291-CA1C-488E-A2D0-50EC156D7ED2}"/>
    <hyperlink ref="T53" r:id="rId56" xr:uid="{FF5C4B06-DF55-434A-A673-C7D95FF325EC}"/>
    <hyperlink ref="T43" r:id="rId57" xr:uid="{9E7B9F1C-268D-4413-A259-F7AB16649E5D}"/>
    <hyperlink ref="T40" r:id="rId58" xr:uid="{10B0B45E-4593-4F61-9D52-C4E7688CC527}"/>
    <hyperlink ref="T67" r:id="rId59" xr:uid="{6F41897D-D5BD-42A6-951B-52A61E1158E2}"/>
    <hyperlink ref="T64" r:id="rId60" xr:uid="{9ABBA13E-C03C-4EE6-BEF3-1A7F21ECA104}"/>
    <hyperlink ref="T69" r:id="rId61" xr:uid="{AE6ABF65-AE79-4075-B650-43CB002A1471}"/>
    <hyperlink ref="T73" r:id="rId62" xr:uid="{019EFCC2-C006-4CF0-BE18-A53F62CE7C62}"/>
    <hyperlink ref="T75" r:id="rId63" xr:uid="{675739B6-2750-480C-A2F5-973E581B2722}"/>
    <hyperlink ref="T70" r:id="rId64" xr:uid="{78415E2E-5C84-44FE-944F-EF00E232A4F2}"/>
    <hyperlink ref="T76" r:id="rId65" xr:uid="{142DE0E2-BDDC-4871-BDC7-BD13D10DE8E9}"/>
    <hyperlink ref="T72" r:id="rId66" xr:uid="{52DE58C6-4448-453A-9663-FDC5FE46C44C}"/>
    <hyperlink ref="T61" r:id="rId67" xr:uid="{29CF6D43-13D6-4927-B657-EE254092C076}"/>
    <hyperlink ref="T78" r:id="rId68" xr:uid="{C939D276-FE3A-4155-93CF-3549EA797592}"/>
    <hyperlink ref="T62" r:id="rId69" xr:uid="{96B22EE1-825F-4231-A190-0863DFFA7C44}"/>
    <hyperlink ref="T84" r:id="rId70" xr:uid="{99FC7E91-2B9B-4526-87D1-1FB2B5A3F6F9}"/>
    <hyperlink ref="T59" r:id="rId71" xr:uid="{EBC40751-DC7B-4E03-89BA-8A0D95ACEDDA}"/>
    <hyperlink ref="T60" r:id="rId72" xr:uid="{99701E3A-E93E-46C2-B441-D32E776071BF}"/>
    <hyperlink ref="T77" r:id="rId73" xr:uid="{A0C893DF-3DC9-46D2-9DCD-33834F7C58F8}"/>
    <hyperlink ref="T63" r:id="rId74" xr:uid="{530729AE-EBBE-4695-BE68-5865AA15D7E5}"/>
    <hyperlink ref="T88" r:id="rId75" xr:uid="{065B3640-E8AA-4848-8972-EE9BD4D791FC}"/>
    <hyperlink ref="T65" r:id="rId76" xr:uid="{64BD286C-EBBB-400C-B20E-C932E8FD097F}"/>
    <hyperlink ref="T74" r:id="rId77" xr:uid="{57F20F3D-ACCC-4DBB-82CD-DECEA7B2DF98}"/>
    <hyperlink ref="T91" r:id="rId78" xr:uid="{11532BBD-AC1B-4823-B63B-85158B47BBFF}"/>
    <hyperlink ref="T90" r:id="rId79" xr:uid="{64D909B3-7F5C-455D-A2CF-626E8F185824}"/>
    <hyperlink ref="T92" r:id="rId80" xr:uid="{BFC43033-799C-4A2F-A2D6-FBEB86D2576B}"/>
    <hyperlink ref="T95" r:id="rId81" xr:uid="{12317802-1238-4F79-9C69-505DA46BFD6D}"/>
    <hyperlink ref="T94" r:id="rId82" xr:uid="{6784B9EB-FB5F-4E72-84E6-C293428AF9D6}"/>
    <hyperlink ref="T79" r:id="rId83" xr:uid="{F23BF81F-614B-430A-805D-627C8BE95B01}"/>
    <hyperlink ref="T96" r:id="rId84" xr:uid="{EBFA0504-36C1-4D1A-9F23-C05F4E435ACC}"/>
    <hyperlink ref="T82" r:id="rId85" xr:uid="{B23AC09E-067E-4603-9FAE-F21A07028B36}"/>
    <hyperlink ref="T83" r:id="rId86" xr:uid="{C496FC36-7B76-40E5-9623-D3B83628DE1C}"/>
    <hyperlink ref="T98" r:id="rId87" xr:uid="{197D1E64-4D62-4AF8-98D3-D49980F13C1C}"/>
    <hyperlink ref="T81" r:id="rId88" xr:uid="{C24F455E-E568-46FE-AE61-8D742B4DC7BB}"/>
    <hyperlink ref="T102" r:id="rId89" xr:uid="{780CE5B2-839A-4699-8890-EBE4D7144FD9}"/>
    <hyperlink ref="T71" r:id="rId90" xr:uid="{27D98613-0609-40E3-8451-D53709CE4B73}"/>
    <hyperlink ref="T97" r:id="rId91" xr:uid="{AEECC243-EF55-457E-9BB5-4089A5277D56}"/>
    <hyperlink ref="T85" r:id="rId92" xr:uid="{F4CD1BA9-65BF-49D4-9E06-029FFB74808D}"/>
    <hyperlink ref="T99" r:id="rId93" xr:uid="{267F3151-0331-445A-A2FB-916E4AE404D3}"/>
    <hyperlink ref="T100" r:id="rId94" xr:uid="{4BFB094E-7A21-427C-B172-8C2A6D7FEC0A}"/>
    <hyperlink ref="T87" r:id="rId95" xr:uid="{1C2F40E5-CD0A-4E2D-8288-9C5543A04CD7}"/>
    <hyperlink ref="T101" r:id="rId96" xr:uid="{D75A18EB-7E1E-4968-BD2B-51D3926EF3AD}"/>
    <hyperlink ref="T86" r:id="rId97" xr:uid="{6A9A0C07-E0DF-4E46-A09F-24982D91EF87}"/>
    <hyperlink ref="T80" r:id="rId98" xr:uid="{9F9F4366-5D04-4252-BB80-EF0BE7CFB6F0}"/>
    <hyperlink ref="T109" r:id="rId99" xr:uid="{072B5A86-B5B7-49E6-84DE-D402C375C73E}"/>
    <hyperlink ref="T105" r:id="rId100" xr:uid="{7140D1CE-3837-4DC5-8BE7-02981174B9C3}"/>
    <hyperlink ref="T108" r:id="rId101" xr:uid="{65703AA7-746D-4F32-A4DA-9A05E4D2DD46}"/>
    <hyperlink ref="T111" r:id="rId102" xr:uid="{26FA4C96-2478-4DA6-9F51-8A6478264934}"/>
    <hyperlink ref="T114" r:id="rId103" xr:uid="{EF0B6B06-538C-4E65-8582-9F38C3A5A0E9}"/>
    <hyperlink ref="T115" r:id="rId104" xr:uid="{78362A08-2AE3-4955-AEAE-A99C74763BF4}"/>
    <hyperlink ref="T107" r:id="rId105" xr:uid="{F00EECE3-C91E-4FC3-B99E-01F2659E3A23}"/>
    <hyperlink ref="T112" r:id="rId106" xr:uid="{5E1BC44A-6860-4D11-918F-B84B65385044}"/>
    <hyperlink ref="T93" r:id="rId107" xr:uid="{7E182928-8F7B-42D9-94D2-D9ABA8049019}"/>
    <hyperlink ref="T117" r:id="rId108" xr:uid="{2772112B-2BA3-427C-9318-17D2D7211C7A}"/>
    <hyperlink ref="T103" r:id="rId109" xr:uid="{D184E30D-6B0F-4DA2-A649-72372C3C0302}"/>
    <hyperlink ref="T116" r:id="rId110" xr:uid="{4F8E32CD-4AD3-41FF-ADEB-55948B7EECFD}"/>
    <hyperlink ref="T118" r:id="rId111" xr:uid="{3FF8E7A1-E37B-4FEB-82D4-A412C027F511}"/>
    <hyperlink ref="T119" r:id="rId112" xr:uid="{948C71A4-2D6C-44A0-A661-BD6C035B87FE}"/>
    <hyperlink ref="T120" r:id="rId113" xr:uid="{B1A1514B-DFBA-491F-9AD1-AECA2586B2AE}"/>
    <hyperlink ref="T122" r:id="rId114" xr:uid="{87C82F51-1A8B-4727-9501-77F9AC668104}"/>
    <hyperlink ref="T124" r:id="rId115" xr:uid="{807C6D1F-9393-4C26-92B7-13E2CC0582F4}"/>
    <hyperlink ref="T110" r:id="rId116" xr:uid="{812339B5-F83E-4893-9457-598704DF7D3C}"/>
    <hyperlink ref="T121" r:id="rId117" xr:uid="{41CFF006-023F-4105-B806-E8C56F8FD1F6}"/>
    <hyperlink ref="T113" r:id="rId118" xr:uid="{5619D7FF-1E76-4CF1-B1A6-C4C0338FEC62}"/>
    <hyperlink ref="T125" r:id="rId119" xr:uid="{3481F2E5-F33A-4978-B705-9F8952C0E279}"/>
    <hyperlink ref="T126" r:id="rId120" xr:uid="{C9498CD4-C519-4D62-ACAB-065372E9EA68}"/>
    <hyperlink ref="T129" r:id="rId121" xr:uid="{11C2EC36-F3BE-4F18-90C9-BE694E5AB9E7}"/>
    <hyperlink ref="T104" r:id="rId122" xr:uid="{9589A8EC-E619-492E-8561-2A9F8118E3BD}"/>
    <hyperlink ref="T133" r:id="rId123" xr:uid="{7ABED831-8078-40EF-96CF-EDD94DBA0304}"/>
    <hyperlink ref="T127" r:id="rId124" xr:uid="{0ED6DD9C-C01E-49C2-A5B8-F7194B85EC17}"/>
    <hyperlink ref="T130" r:id="rId125" xr:uid="{D3325729-7782-4ACE-8038-FCA5632E66B4}"/>
    <hyperlink ref="T128" r:id="rId126" xr:uid="{A201ED87-0C2C-4154-A809-0ED068D28398}"/>
    <hyperlink ref="T132" r:id="rId127" xr:uid="{A4468B6C-DF4F-4E20-BF9C-E53ACBEC5AEF}"/>
    <hyperlink ref="T106" r:id="rId128" xr:uid="{3B423999-4FA8-4FB0-8635-E31EA1F645CC}"/>
    <hyperlink ref="T131" r:id="rId129" xr:uid="{D092EB37-318C-4D05-9509-D6F1AAD99A94}"/>
    <hyperlink ref="T134" r:id="rId130" xr:uid="{65A42D58-A9B8-4E9A-8B62-122822FFD962}"/>
    <hyperlink ref="T89" r:id="rId131" xr:uid="{5528EFD0-EEE6-4EC8-A4BF-DBA2DC505D08}"/>
    <hyperlink ref="T135" r:id="rId132" xr:uid="{8A60C070-1359-41BE-8BF3-BB3DE1C6E6E2}"/>
    <hyperlink ref="T137" r:id="rId133" xr:uid="{9600E913-4B86-4BFF-A4AD-54529CD61516}"/>
    <hyperlink ref="T140" r:id="rId134" xr:uid="{30F9DAD3-528F-4F3B-8C81-08E66B14C99B}"/>
    <hyperlink ref="T141" r:id="rId135" xr:uid="{45C85157-E874-4AED-912C-93614C86DDD8}"/>
    <hyperlink ref="T142" r:id="rId136" xr:uid="{E47DF6A7-DA1C-4C3A-A9F2-3F17CEE4AAC8}"/>
    <hyperlink ref="T123" r:id="rId137" xr:uid="{E3386AB5-277C-4835-B955-987DDE24BCC0}"/>
    <hyperlink ref="T144" r:id="rId138" xr:uid="{B65E0724-4B87-4714-AB4B-1B599755AE62}"/>
    <hyperlink ref="T145" r:id="rId139" xr:uid="{1120DF1F-4AE9-46E6-A960-74BC2582A1E3}"/>
    <hyperlink ref="T143" r:id="rId140" xr:uid="{F0654340-65DA-476B-8F6F-29A83D78866D}"/>
    <hyperlink ref="T148" r:id="rId141" xr:uid="{6F82C45A-A49A-4947-8A9C-18DA837CF98A}"/>
    <hyperlink ref="T149" r:id="rId142" xr:uid="{1368F4CA-5829-4391-8237-2330880CA853}"/>
    <hyperlink ref="T150" r:id="rId143" xr:uid="{874FF562-BF29-4DBB-8135-D21F94752143}"/>
    <hyperlink ref="T146" r:id="rId144" xr:uid="{D6AF90F2-F334-40F6-9A0E-0E83AABA2212}"/>
    <hyperlink ref="T151" r:id="rId145" xr:uid="{E27F34D5-D8B7-471C-B842-75103A9C7197}"/>
    <hyperlink ref="T152" r:id="rId146" xr:uid="{3AA38A58-B9C9-4F4B-8A63-B7C7198D71CB}"/>
    <hyperlink ref="T147" r:id="rId147" xr:uid="{C322CCEB-6C65-45BC-8376-7C83C9483ADF}"/>
    <hyperlink ref="T136" r:id="rId148" xr:uid="{1EF52D19-5632-4CAE-845F-D0BEF4FFC218}"/>
    <hyperlink ref="T153" r:id="rId149" xr:uid="{11F8F787-2ED3-42DD-9455-29157B1F0032}"/>
    <hyperlink ref="T155" r:id="rId150" xr:uid="{AB963838-A4D6-4E85-8529-120C48EDD338}"/>
    <hyperlink ref="T161" r:id="rId151" xr:uid="{FBD5B8F5-0F4A-42E8-8227-82103F62892D}"/>
    <hyperlink ref="T162" r:id="rId152" xr:uid="{DE9CCAF3-A588-4E62-A769-61E154F541B3}"/>
    <hyperlink ref="T163" r:id="rId153" xr:uid="{5BDF80F2-A5AB-4022-AD0F-6CE9649F5A47}"/>
    <hyperlink ref="T157" r:id="rId154" xr:uid="{4F0777AA-AC6A-4BE3-8335-2301D14B0E31}"/>
    <hyperlink ref="T159" r:id="rId155" xr:uid="{24A6C35C-4166-434E-BD1F-9976D19E683F}"/>
    <hyperlink ref="T160" r:id="rId156" xr:uid="{49DAB802-8E2D-45AF-A14E-4850C492FB6E}"/>
    <hyperlink ref="T164" r:id="rId157" xr:uid="{8647653E-FDD8-4E55-AAD9-360C373F9DA0}"/>
    <hyperlink ref="T169" r:id="rId158" xr:uid="{F021CE26-A1FB-4E35-A36C-872F64F34B5E}"/>
    <hyperlink ref="T166" r:id="rId159" xr:uid="{80A304CA-EA1F-4A78-A16A-16C3343EC11B}"/>
    <hyperlink ref="T172" r:id="rId160" xr:uid="{5BF484CE-01CA-4F0C-A334-BF4838466C25}"/>
    <hyperlink ref="T168" r:id="rId161" xr:uid="{BC115657-5FA2-4209-B195-265C2225AD0E}"/>
    <hyperlink ref="T170" r:id="rId162" xr:uid="{7D036F35-4C35-4272-B9BA-AE1448DA6A16}"/>
    <hyperlink ref="T173" r:id="rId163" xr:uid="{790A5833-4F70-4267-B65B-B091D63BAC52}"/>
    <hyperlink ref="T138" r:id="rId164" xr:uid="{EF3689E6-4220-4379-AEC7-8B360A3482E7}"/>
    <hyperlink ref="T139" r:id="rId165" xr:uid="{F58412E9-A02D-48AE-9424-2C246A9239F9}"/>
    <hyperlink ref="T177" r:id="rId166" xr:uid="{2A64881E-9029-43A8-81DC-CFA0F92CE06D}"/>
    <hyperlink ref="T174" r:id="rId167" xr:uid="{24B2A841-FFE0-4592-A475-BC12D87BDA27}"/>
    <hyperlink ref="T176" r:id="rId168" xr:uid="{385A7C22-259C-4DB7-91C8-A4672C7E6E03}"/>
    <hyperlink ref="T178" r:id="rId169" xr:uid="{49CCE397-837D-4976-A07F-9132E6BAB0CD}"/>
    <hyperlink ref="T183" r:id="rId170" xr:uid="{CC36FF97-74E1-4DF5-9875-C744A319D237}"/>
    <hyperlink ref="T184" r:id="rId171" xr:uid="{F0FEA6F9-C2D5-4BFA-995C-63D1E906F282}"/>
    <hyperlink ref="T186" r:id="rId172" xr:uid="{8B06305F-F974-4378-933E-41AFECC5140A}"/>
    <hyperlink ref="T180" r:id="rId173" xr:uid="{64ECF07B-1DBE-4E4B-853F-21301AFBC91D}"/>
    <hyperlink ref="T182" r:id="rId174" xr:uid="{55C2339A-5C4D-4A0D-8BAF-B5360D2517BF}"/>
    <hyperlink ref="T154" r:id="rId175" xr:uid="{95191A73-A178-4A7A-9F41-01372C6978E7}"/>
    <hyperlink ref="T156" r:id="rId176" xr:uid="{7707B357-3463-452E-8C7B-28BE8911E5E2}"/>
    <hyperlink ref="T158" r:id="rId177" xr:uid="{7F2E7ADB-9C32-473B-9AC7-89211A8D097D}"/>
    <hyperlink ref="T197" r:id="rId178" xr:uid="{6C6232ED-C4AF-409F-8EF1-C4BAC8D4D3DF}"/>
    <hyperlink ref="T189" r:id="rId179" xr:uid="{C718528A-89D0-4EF5-8605-374E30720835}"/>
    <hyperlink ref="T191" r:id="rId180" xr:uid="{428A6B9A-C69B-43DC-9B1B-B88CB7BCDBDA}"/>
    <hyperlink ref="T188" r:id="rId181" xr:uid="{3390FBB9-A7F6-4159-A6A5-0BA28956A109}"/>
    <hyperlink ref="T193" r:id="rId182" xr:uid="{61D15CFD-9A11-4CBC-89C2-69F4229978A6}"/>
    <hyperlink ref="T167" r:id="rId183" xr:uid="{A06EFAAF-BA4E-44A7-B8BE-BCF12F90B721}"/>
    <hyperlink ref="T190" r:id="rId184" xr:uid="{2E4F8EB5-7EEF-49C1-9956-9B593A70E1B2}"/>
    <hyperlink ref="T192" r:id="rId185" xr:uid="{5CAD17E4-482B-469E-8C97-CB54E6E4A347}"/>
    <hyperlink ref="T196" r:id="rId186" xr:uid="{CA429796-EE61-43BF-805C-990A0F3A3788}"/>
    <hyperlink ref="T171" r:id="rId187" xr:uid="{FF7864E1-15BF-4751-B17D-2B25CD83D873}"/>
    <hyperlink ref="T165" r:id="rId188" xr:uid="{525A4CEF-1901-4859-A855-E57B93665FBA}"/>
    <hyperlink ref="T175" r:id="rId189" xr:uid="{9937A42B-F637-4E48-9900-EF944723DDE9}"/>
    <hyperlink ref="T181" r:id="rId190" xr:uid="{7388670E-A3E0-46C0-835F-2586F58596E3}"/>
    <hyperlink ref="T187" r:id="rId191" xr:uid="{52887C50-914D-4112-8948-95F7BEA6CE36}"/>
    <hyperlink ref="T195" r:id="rId192" xr:uid="{41BA5077-FA36-4E7F-B9A1-AA74CA9714E8}"/>
    <hyperlink ref="T200" r:id="rId193" xr:uid="{D39AF138-F4F4-492B-914B-651D75389878}"/>
    <hyperlink ref="T202" r:id="rId194" xr:uid="{28A79230-5269-40CA-B783-495045E5123D}"/>
    <hyperlink ref="T198" r:id="rId195" xr:uid="{CD3BA4B7-AE41-42B1-BB9A-4EDC85F63E2B}"/>
    <hyperlink ref="T179" r:id="rId196" xr:uid="{1C15E02F-2977-4453-AF72-F6364A737EA8}"/>
    <hyperlink ref="T185" r:id="rId197" xr:uid="{A76475EE-53C3-474A-BBD5-01CDD1F43106}"/>
    <hyperlink ref="T194" r:id="rId198" xr:uid="{B2760A5F-A46C-44C2-9E52-7BE7CCE1BF97}"/>
    <hyperlink ref="T199" r:id="rId199" xr:uid="{0542963A-7E97-4045-9E15-38FC7164BB71}"/>
    <hyperlink ref="T201" r:id="rId200" xr:uid="{C4DCF0E4-367A-4217-839B-F30F5ABA9A29}"/>
    <hyperlink ref="T203" r:id="rId201" xr:uid="{DFCE6061-9C25-4FE3-BB65-8179CE5A5DB6}"/>
    <hyperlink ref="T204" r:id="rId202" xr:uid="{4FEC9591-48FD-4C73-92C6-ACF34CA46C0F}"/>
    <hyperlink ref="T205" r:id="rId203" xr:uid="{BEA490E7-1834-444D-9B1C-921A9BF71853}"/>
    <hyperlink ref="T206" r:id="rId204" xr:uid="{D5E2301A-8FA9-44CA-93A4-54EEA2147CF0}"/>
    <hyperlink ref="T207" r:id="rId205" xr:uid="{D2F38636-FFAB-4E5C-8FEE-9A419C1F0F9E}"/>
    <hyperlink ref="T208" r:id="rId206" xr:uid="{4FFDC552-8360-4155-BC39-8089D8E80E05}"/>
    <hyperlink ref="T209" r:id="rId207" xr:uid="{277A8E2C-DF9F-4E16-AB1E-367B0FF9FBCF}"/>
    <hyperlink ref="T210" r:id="rId208" xr:uid="{4DAEBA6A-1222-4DF2-A667-6EECFA9510A9}"/>
    <hyperlink ref="T211" r:id="rId209" xr:uid="{759DB92E-4F05-4C61-800F-8E0A8C209B6B}"/>
    <hyperlink ref="T212" r:id="rId210" xr:uid="{5781B6C5-0041-45A7-ABDB-3ED10E71573B}"/>
    <hyperlink ref="T213" r:id="rId211" xr:uid="{387139C3-91CE-4D44-8FEA-B4665D2F95EE}"/>
    <hyperlink ref="T214" r:id="rId212" xr:uid="{59985587-2477-4C9F-9F0D-759326ABE122}"/>
    <hyperlink ref="T215" r:id="rId213" xr:uid="{79A5100F-B559-471D-AE0A-8C6EB77BD827}"/>
    <hyperlink ref="T216" r:id="rId214" xr:uid="{7A3E5BC0-4F20-4002-9EF2-8BA7EE9A45D1}"/>
    <hyperlink ref="T217" r:id="rId215" xr:uid="{C0C9E014-2E81-4095-A3AF-B1733B47A85A}"/>
    <hyperlink ref="T218" r:id="rId216" xr:uid="{4367DCC8-5C52-4AD7-B431-303F1A59646E}"/>
    <hyperlink ref="T219" r:id="rId217" xr:uid="{3D4A9F5E-5750-48DD-888E-7AE0802372A6}"/>
    <hyperlink ref="T220" r:id="rId218" xr:uid="{6825CFE0-AFA3-410D-A24F-4884A7169BE5}"/>
    <hyperlink ref="T221" r:id="rId219" xr:uid="{78152342-1D0C-467E-BF57-DEE2BCB23E92}"/>
    <hyperlink ref="T222" r:id="rId220" xr:uid="{4F5B44C4-5743-4A8F-AF0F-5E8177B79906}"/>
    <hyperlink ref="T223" r:id="rId221" xr:uid="{5D4F22CA-7BA6-47C8-84D3-EE444AF57845}"/>
    <hyperlink ref="T224" r:id="rId222" xr:uid="{D9DCCF6C-72DB-44DF-A9AB-2CA92F3FF5C7}"/>
    <hyperlink ref="T225" r:id="rId223" xr:uid="{7374E8D0-BBCD-4A0B-8B21-95A15BA53AB6}"/>
    <hyperlink ref="T226" r:id="rId224" xr:uid="{74B9CBCF-0C77-4633-BAC0-F2EBD2F010ED}"/>
    <hyperlink ref="T227" r:id="rId225" xr:uid="{A2D6926A-EF25-41B7-8ABA-937BE1E61642}"/>
    <hyperlink ref="T228" r:id="rId226" xr:uid="{87022F87-F4A4-435F-B65E-ECC75166E91C}"/>
    <hyperlink ref="T229" r:id="rId227" xr:uid="{E4730145-EA0E-4ED7-A77D-167E70E200E4}"/>
    <hyperlink ref="T230" r:id="rId228" xr:uid="{B6498477-7A81-4D88-AEA1-195D948503C4}"/>
    <hyperlink ref="T231" r:id="rId229" xr:uid="{57E7605F-94F4-40AB-B6A1-D203B00A411C}"/>
    <hyperlink ref="T232" r:id="rId230" xr:uid="{47DE465A-615F-4ED7-A7DB-21A8E48FD719}"/>
    <hyperlink ref="T233" r:id="rId231" xr:uid="{3753C27D-48BE-45AF-9AF3-F4381AFFF813}"/>
    <hyperlink ref="T234" r:id="rId232" xr:uid="{CEB9A2DC-FC00-4D3B-949F-1F6AC8D4FE2F}"/>
    <hyperlink ref="T235" r:id="rId233" xr:uid="{053C9666-17B3-41ED-804D-946AFD2054F2}"/>
    <hyperlink ref="T236" r:id="rId234" xr:uid="{37F9E8E4-DAB0-4A62-A202-7F67FE794322}"/>
    <hyperlink ref="T237" r:id="rId235" xr:uid="{5917362D-9ADA-4219-9440-929505150F9E}"/>
    <hyperlink ref="T238" r:id="rId236" xr:uid="{69668E09-DB0D-4545-85ED-2C7C84702E58}"/>
    <hyperlink ref="T239" r:id="rId237" xr:uid="{3E510B9A-6372-4245-AFDF-42FA624758F3}"/>
    <hyperlink ref="T240" r:id="rId238" xr:uid="{618FA0AF-F15E-40F4-AA8F-6E3A819799CA}"/>
    <hyperlink ref="T241" r:id="rId239" xr:uid="{FB24F9EB-0DA6-478F-AF3F-CD6E95B6F500}"/>
    <hyperlink ref="T242" r:id="rId240" xr:uid="{FBE90CCA-AFB1-45A6-B387-5138F24E1AD7}"/>
    <hyperlink ref="T243" r:id="rId241" xr:uid="{6240AD8E-2698-49DC-B1C4-77DF3AB4420B}"/>
    <hyperlink ref="T244" r:id="rId242" xr:uid="{AFF77D2F-E13A-4784-B9EC-7B5FCCE7B5C9}"/>
    <hyperlink ref="T245" r:id="rId243" xr:uid="{BD6AE76A-780D-41C7-B022-59BD6EECB388}"/>
    <hyperlink ref="T246" r:id="rId244" xr:uid="{7B9BF258-0118-4E2E-852E-30BFCFBFF27E}"/>
    <hyperlink ref="T247" r:id="rId245" xr:uid="{CB52FB16-56B0-42B3-AFE7-43C7F6BC6CCE}"/>
    <hyperlink ref="T248" r:id="rId246" xr:uid="{18E6B102-4F37-4A6B-AD2D-90DE28F8E806}"/>
    <hyperlink ref="T249" r:id="rId247" xr:uid="{52EE04F7-3BD6-43D2-88B7-D56A5B9BF8D1}"/>
    <hyperlink ref="T250" r:id="rId248" xr:uid="{02440984-6D05-4C37-A6E3-EBA20F4807F4}"/>
    <hyperlink ref="T251" r:id="rId249" xr:uid="{30075337-8E30-418C-9B6D-71EBC198842C}"/>
    <hyperlink ref="T252" r:id="rId250" xr:uid="{E7E53589-D5DE-441B-82FA-084D77D9DF68}"/>
    <hyperlink ref="T253" r:id="rId251" xr:uid="{BDBEB657-4D6F-412F-BE29-4EA3E32BEE9C}"/>
    <hyperlink ref="T254" r:id="rId252" xr:uid="{745D7684-4251-4ADE-9CBE-6DB111D11247}"/>
    <hyperlink ref="T255" r:id="rId253" xr:uid="{BA2792DA-2C11-4AEC-81F0-BF511A6D3DD4}"/>
    <hyperlink ref="T256" r:id="rId254" xr:uid="{68E0004C-B4F1-4A69-8DB7-25A1EFDDFDCF}"/>
    <hyperlink ref="T257" r:id="rId255" xr:uid="{6C184DC8-267E-4234-A2B9-3BB8344F573F}"/>
    <hyperlink ref="T258" r:id="rId256" xr:uid="{9F9AC62A-999D-4156-ABB7-5A385706F0B9}"/>
    <hyperlink ref="T259" r:id="rId257" xr:uid="{5A6AE0D5-70A9-4061-A62A-7122F0085354}"/>
    <hyperlink ref="T260" r:id="rId258" xr:uid="{156001BF-E840-4FF6-95F2-4B696A7BC60B}"/>
    <hyperlink ref="T261" r:id="rId259" xr:uid="{7360EA8F-BA83-417F-BD5D-C67D7A2186E6}"/>
    <hyperlink ref="T262" r:id="rId260" xr:uid="{71B5BD8C-F761-4309-A57F-91FF99177DEA}"/>
    <hyperlink ref="T263" r:id="rId261" xr:uid="{3ADA21C0-3B8C-4FEA-B474-B2AAFA4BDED6}"/>
    <hyperlink ref="T264" r:id="rId262" xr:uid="{3064EAD2-2D44-46BF-BB7C-C32F08225209}"/>
    <hyperlink ref="T265" r:id="rId263" xr:uid="{5F548C7B-ED3B-4635-930F-643E08891AF6}"/>
    <hyperlink ref="T266" r:id="rId264" xr:uid="{782FF933-756C-45B5-9DD0-68A0F9D200F4}"/>
    <hyperlink ref="T267" r:id="rId265" xr:uid="{1F137105-A0F0-48E1-AE12-1B9DC15A238F}"/>
    <hyperlink ref="T268" r:id="rId266" xr:uid="{314D7781-E090-4C2F-A5D8-FFE7465E1402}"/>
    <hyperlink ref="T269" r:id="rId267" xr:uid="{BB47FE87-6C7B-4249-8D11-EDFA3A93BC9B}"/>
    <hyperlink ref="T270" r:id="rId268" xr:uid="{58B1AF9D-6B3D-4AA0-BC99-2BAC80FEA5F7}"/>
    <hyperlink ref="T271" r:id="rId269" xr:uid="{963FD080-055A-49EA-8046-0C7F061D7DEA}"/>
    <hyperlink ref="T272" r:id="rId270" xr:uid="{109DAEF6-F3CA-44FD-AD0F-0DA0364FFFFA}"/>
    <hyperlink ref="T273" r:id="rId271" xr:uid="{96C6910C-18A6-46FD-BE44-960DDBFCC1E1}"/>
    <hyperlink ref="T274" r:id="rId272" xr:uid="{80196F34-B425-4783-8737-A9061EEED818}"/>
    <hyperlink ref="T275" r:id="rId273" xr:uid="{126F11EA-7D8D-4CFC-83F6-049FFF3A4078}"/>
    <hyperlink ref="T276" r:id="rId274" xr:uid="{7831A58A-1054-4D83-8C40-F01B563160C0}"/>
    <hyperlink ref="T277" r:id="rId275" xr:uid="{21F79F70-0FAA-4F61-BC98-C6E7065BA7CA}"/>
    <hyperlink ref="T278" r:id="rId276" xr:uid="{BE3BA435-76B9-488B-B3A1-CB0FECA04113}"/>
    <hyperlink ref="T279" r:id="rId277" xr:uid="{B7AEE73D-522C-49AC-A234-8DD4AE366D93}"/>
    <hyperlink ref="T280" r:id="rId278" xr:uid="{4987603A-59EF-4E2D-AC90-F4D8DF232292}"/>
    <hyperlink ref="T281" r:id="rId279" xr:uid="{73741117-7C63-4189-9FB6-8A59B7F16A82}"/>
    <hyperlink ref="T282" r:id="rId280" xr:uid="{6BC96B50-E0C3-42C5-9FB0-B4E2A7178F56}"/>
    <hyperlink ref="T283" r:id="rId281" xr:uid="{9DF0DECC-EE6B-4170-87BC-DFBE5FCBEF83}"/>
    <hyperlink ref="T284" r:id="rId282" xr:uid="{BEB25379-BB24-4DD6-A419-A5DF9E89C3A0}"/>
    <hyperlink ref="T285" r:id="rId283" xr:uid="{3D08E20F-038A-4116-8DF9-55898DC3663B}"/>
    <hyperlink ref="T286" r:id="rId284" xr:uid="{C3B743EF-0678-4DE4-A771-6EAB07CEC8B2}"/>
    <hyperlink ref="T287" r:id="rId285" xr:uid="{BAD465D5-92DF-4CA7-84E0-2A1A2F0428F9}"/>
    <hyperlink ref="T288" r:id="rId286" xr:uid="{6F29404A-3666-4359-8BE4-1D21B3993238}"/>
    <hyperlink ref="T289" r:id="rId287" xr:uid="{483F2DE5-3DE7-467F-BE4C-B3BBCEA5704D}"/>
    <hyperlink ref="T290" r:id="rId288" xr:uid="{A9FAF545-0583-43EB-B617-3DF6BFEFD604}"/>
    <hyperlink ref="T66" r:id="rId289" xr:uid="{5C33450C-E642-4FA2-86F2-3E154127992B}"/>
  </hyperlinks>
  <pageMargins left="0.7" right="0.7" top="0.78740157499999996" bottom="0.78740157499999996" header="0.3" footer="0.3"/>
  <pageSetup paperSize="9" orientation="portrait" horizontalDpi="360" verticalDpi="360" r:id="rId290"/>
  <drawing r:id="rId291"/>
  <legacyDrawing r:id="rId292"/>
  <controls>
    <mc:AlternateContent xmlns:mc="http://schemas.openxmlformats.org/markup-compatibility/2006">
      <mc:Choice Requires="x14">
        <control shapeId="4097" r:id="rId293" name="GetData">
          <controlPr defaultSize="0" autoLine="0" autoPict="0" r:id="rId294">
            <anchor moveWithCells="1">
              <from>
                <xdr:col>19</xdr:col>
                <xdr:colOff>457200</xdr:colOff>
                <xdr:row>0</xdr:row>
                <xdr:rowOff>9525</xdr:rowOff>
              </from>
              <to>
                <xdr:col>20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4097" r:id="rId293" name="GetDat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7E58-4387-4BEE-B629-AD8B2D7DDB78}">
  <sheetPr codeName="Tabelle5"/>
  <dimension ref="A1:U554"/>
  <sheetViews>
    <sheetView showGridLines="0" workbookViewId="0">
      <selection activeCell="C7" sqref="C7"/>
    </sheetView>
  </sheetViews>
  <sheetFormatPr baseColWidth="10" defaultRowHeight="15" x14ac:dyDescent="0.25"/>
  <cols>
    <col min="1" max="1" width="6" style="9" bestFit="1" customWidth="1"/>
    <col min="2" max="2" width="35.85546875" style="9" bestFit="1" customWidth="1"/>
    <col min="3" max="3" width="12" style="9" bestFit="1" customWidth="1"/>
    <col min="4" max="4" width="10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21" bestFit="1" customWidth="1"/>
    <col min="13" max="13" width="8.42578125" style="21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53" bestFit="1" customWidth="1"/>
    <col min="21" max="21" width="11.42578125" style="9"/>
  </cols>
  <sheetData>
    <row r="1" spans="1:21" x14ac:dyDescent="0.25">
      <c r="A1" s="31" t="str">
        <f>'Item Database'!A1</f>
        <v>ID</v>
      </c>
      <c r="B1" s="31" t="str">
        <f>'Item Database'!B1</f>
        <v>Name</v>
      </c>
      <c r="C1" s="31" t="str">
        <f>'Item Database'!C1</f>
        <v>Score</v>
      </c>
      <c r="D1" s="31" t="str">
        <f>'Item Database'!D1</f>
        <v>Slot</v>
      </c>
      <c r="E1" s="31" t="str">
        <f>'Item Database'!E1</f>
        <v>Armor</v>
      </c>
      <c r="F1" s="31" t="str">
        <f>'Item Database'!F1</f>
        <v>Strength</v>
      </c>
      <c r="G1" s="31" t="str">
        <f>'Item Database'!G1</f>
        <v>Stamina</v>
      </c>
      <c r="H1" s="31" t="str">
        <f>'Item Database'!H1</f>
        <v>Agility</v>
      </c>
      <c r="I1" s="31" t="str">
        <f>'Item Database'!I1</f>
        <v>Intellect</v>
      </c>
      <c r="J1" s="31" t="str">
        <f>'Item Database'!J1</f>
        <v>Spirit</v>
      </c>
      <c r="K1" s="31" t="str">
        <f>'Item Database'!K1</f>
        <v>Frost Spell Power</v>
      </c>
      <c r="L1" s="34" t="str">
        <f>'Item Database'!L1</f>
        <v>Spell Crit</v>
      </c>
      <c r="M1" s="34" t="str">
        <f>'Item Database'!M1</f>
        <v>Spell Hit</v>
      </c>
      <c r="N1" s="31" t="str">
        <f>'Item Database'!N1</f>
        <v>MP5</v>
      </c>
      <c r="O1" s="31" t="str">
        <f>'Item Database'!O1</f>
        <v>Fire Resistance</v>
      </c>
      <c r="P1" s="31" t="str">
        <f>'Item Database'!P1</f>
        <v>Frost Resistance</v>
      </c>
      <c r="Q1" s="31" t="str">
        <f>'Item Database'!Q1</f>
        <v>Nature Resistance</v>
      </c>
      <c r="R1" s="31" t="str">
        <f>'Item Database'!R1</f>
        <v>Shadow Resistance</v>
      </c>
      <c r="S1" s="31" t="str">
        <f>'Item Database'!S1</f>
        <v>Arcane Resistance</v>
      </c>
      <c r="T1" s="52" t="s">
        <v>437</v>
      </c>
      <c r="U1" s="33" t="s">
        <v>167</v>
      </c>
    </row>
    <row r="2" spans="1:21" x14ac:dyDescent="0.25">
      <c r="A2" s="24">
        <f>'Item Database'!A11</f>
        <v>19379</v>
      </c>
      <c r="B2" s="9" t="str">
        <f>'Item Database'!B11</f>
        <v>Neltharion's Tear</v>
      </c>
      <c r="C2" s="12">
        <f>'Item Database'!C11</f>
        <v>22.223364331752567</v>
      </c>
      <c r="D2" s="9" t="str">
        <f>'Item Database'!D11</f>
        <v>Trinket</v>
      </c>
      <c r="E2" s="9">
        <f>'Item Database'!E11</f>
        <v>0</v>
      </c>
      <c r="F2" s="9">
        <f>'Item Database'!F11</f>
        <v>0</v>
      </c>
      <c r="G2" s="9">
        <f>'Item Database'!G11</f>
        <v>0</v>
      </c>
      <c r="H2" s="9">
        <f>'Item Database'!H11</f>
        <v>0</v>
      </c>
      <c r="I2" s="9">
        <f>'Item Database'!I11</f>
        <v>0</v>
      </c>
      <c r="J2" s="9">
        <f>'Item Database'!J11</f>
        <v>0</v>
      </c>
      <c r="K2" s="9">
        <f>'Item Database'!K11</f>
        <v>44</v>
      </c>
      <c r="L2" s="21">
        <f>'Item Database'!L11</f>
        <v>0</v>
      </c>
      <c r="M2" s="21">
        <f>'Item Database'!M11</f>
        <v>0.02</v>
      </c>
      <c r="N2" s="9">
        <f>'Item Database'!N11</f>
        <v>0</v>
      </c>
      <c r="O2" s="9">
        <f>'Item Database'!O11</f>
        <v>0</v>
      </c>
      <c r="P2" s="9">
        <f>'Item Database'!P11</f>
        <v>0</v>
      </c>
      <c r="Q2" s="9">
        <f>'Item Database'!Q11</f>
        <v>0</v>
      </c>
      <c r="R2" s="9">
        <f>'Item Database'!R11</f>
        <v>0</v>
      </c>
      <c r="S2" s="9">
        <f>'Item Database'!S11</f>
        <v>0</v>
      </c>
      <c r="T2" s="53" t="str">
        <f>HYPERLINK('Item Database'!T11)</f>
        <v>https://classic.wowhead.com/item=19379</v>
      </c>
      <c r="U2" s="9">
        <f>IF(C2&lt;&gt;0,C2-Gear!$C$2,0)</f>
        <v>10.717651591662118</v>
      </c>
    </row>
    <row r="3" spans="1:21" x14ac:dyDescent="0.25">
      <c r="A3" s="24">
        <f>'Item Database'!A17</f>
        <v>19375</v>
      </c>
      <c r="B3" s="9" t="str">
        <f>'Item Database'!B17</f>
        <v>Mish'undare, Circlet of the Mind Flayer</v>
      </c>
      <c r="C3" s="12">
        <f>'Item Database'!C17</f>
        <v>18.455238002914282</v>
      </c>
      <c r="D3" s="9" t="str">
        <f>'Item Database'!D17</f>
        <v>Head</v>
      </c>
      <c r="E3" s="9">
        <f>'Item Database'!E17</f>
        <v>102</v>
      </c>
      <c r="F3" s="9">
        <f>'Item Database'!F17</f>
        <v>0</v>
      </c>
      <c r="G3" s="9">
        <f>'Item Database'!G17</f>
        <v>15</v>
      </c>
      <c r="H3" s="9">
        <f>'Item Database'!H17</f>
        <v>0</v>
      </c>
      <c r="I3" s="9">
        <f>'Item Database'!I17</f>
        <v>24</v>
      </c>
      <c r="J3" s="9">
        <f>'Item Database'!J17</f>
        <v>9</v>
      </c>
      <c r="K3" s="9">
        <f>'Item Database'!K17</f>
        <v>35</v>
      </c>
      <c r="L3" s="21">
        <f>'Item Database'!L17</f>
        <v>0.02</v>
      </c>
      <c r="M3" s="21">
        <f>'Item Database'!M17</f>
        <v>0</v>
      </c>
      <c r="N3" s="9">
        <f>'Item Database'!N17</f>
        <v>0</v>
      </c>
      <c r="O3" s="9">
        <f>'Item Database'!O17</f>
        <v>0</v>
      </c>
      <c r="P3" s="9">
        <f>'Item Database'!P17</f>
        <v>0</v>
      </c>
      <c r="Q3" s="9">
        <f>'Item Database'!Q17</f>
        <v>0</v>
      </c>
      <c r="R3" s="9">
        <f>'Item Database'!R17</f>
        <v>0</v>
      </c>
      <c r="S3" s="9">
        <f>'Item Database'!S17</f>
        <v>0</v>
      </c>
      <c r="T3" s="53" t="str">
        <f>HYPERLINK('Item Database'!T17)</f>
        <v>https://classic.wowhead.com/item=19375</v>
      </c>
      <c r="U3" s="9">
        <f>IF(C3&lt;&gt;0,C3-Gear!$C$2,0)</f>
        <v>6.9495252628238333</v>
      </c>
    </row>
    <row r="4" spans="1:21" x14ac:dyDescent="0.25">
      <c r="A4" s="24">
        <f>'Item Database'!A25</f>
        <v>23035</v>
      </c>
      <c r="B4" s="9" t="str">
        <f>'Item Database'!B25</f>
        <v>Preceptor's Hat</v>
      </c>
      <c r="C4" s="12">
        <f>'Item Database'!C25</f>
        <v>19.298159917748855</v>
      </c>
      <c r="D4" s="9" t="str">
        <f>'Item Database'!D25</f>
        <v>Head</v>
      </c>
      <c r="E4" s="9">
        <f>'Item Database'!E25</f>
        <v>102</v>
      </c>
      <c r="F4" s="9">
        <f>'Item Database'!F25</f>
        <v>0</v>
      </c>
      <c r="G4" s="9">
        <f>'Item Database'!G25</f>
        <v>18</v>
      </c>
      <c r="H4" s="9">
        <f>'Item Database'!H25</f>
        <v>0</v>
      </c>
      <c r="I4" s="9">
        <f>'Item Database'!I25</f>
        <v>24</v>
      </c>
      <c r="J4" s="9">
        <f>'Item Database'!J25</f>
        <v>0</v>
      </c>
      <c r="K4" s="9">
        <f>'Item Database'!K25</f>
        <v>51</v>
      </c>
      <c r="L4" s="21">
        <f>'Item Database'!L25</f>
        <v>0</v>
      </c>
      <c r="M4" s="21">
        <f>'Item Database'!M25</f>
        <v>0</v>
      </c>
      <c r="N4" s="9">
        <f>'Item Database'!N25</f>
        <v>0</v>
      </c>
      <c r="O4" s="9">
        <f>'Item Database'!O25</f>
        <v>0</v>
      </c>
      <c r="P4" s="9">
        <f>'Item Database'!P25</f>
        <v>0</v>
      </c>
      <c r="Q4" s="9">
        <f>'Item Database'!Q25</f>
        <v>0</v>
      </c>
      <c r="R4" s="9">
        <f>'Item Database'!R25</f>
        <v>0</v>
      </c>
      <c r="S4" s="9">
        <f>'Item Database'!S25</f>
        <v>0</v>
      </c>
      <c r="T4" s="55" t="str">
        <f>HYPERLINK('Item Database'!T25)</f>
        <v>https://classic.wowhead.com/item=23035</v>
      </c>
      <c r="U4" s="9">
        <f>IF(C4&lt;&gt;0,C4-Gear!$C$2,0)</f>
        <v>7.7924471776584063</v>
      </c>
    </row>
    <row r="5" spans="1:21" x14ac:dyDescent="0.25">
      <c r="A5" s="9">
        <f>'Item Database'!A37</f>
        <v>16441</v>
      </c>
      <c r="B5" s="9" t="str">
        <f>'Item Database'!B37</f>
        <v>Field Marshal's Coronet</v>
      </c>
      <c r="C5" s="12">
        <f>'Item Database'!C37</f>
        <v>14.99825756115702</v>
      </c>
      <c r="D5" s="9" t="str">
        <f>'Item Database'!D37</f>
        <v>Head</v>
      </c>
      <c r="E5" s="9">
        <f>'Item Database'!E37</f>
        <v>162</v>
      </c>
      <c r="F5" s="9">
        <f>'Item Database'!F37</f>
        <v>0</v>
      </c>
      <c r="G5" s="9">
        <f>'Item Database'!G37</f>
        <v>28</v>
      </c>
      <c r="H5" s="9">
        <f>'Item Database'!H37</f>
        <v>0</v>
      </c>
      <c r="I5" s="9">
        <f>'Item Database'!I37</f>
        <v>17</v>
      </c>
      <c r="J5" s="9">
        <f>'Item Database'!J37</f>
        <v>6</v>
      </c>
      <c r="K5" s="9">
        <f>'Item Database'!K37</f>
        <v>33</v>
      </c>
      <c r="L5" s="21">
        <f>'Item Database'!L37</f>
        <v>0.01</v>
      </c>
      <c r="M5" s="21">
        <f>'Item Database'!M37</f>
        <v>0</v>
      </c>
      <c r="N5" s="9">
        <f>'Item Database'!N37</f>
        <v>0</v>
      </c>
      <c r="O5" s="9">
        <f>'Item Database'!O37</f>
        <v>0</v>
      </c>
      <c r="P5" s="9">
        <f>'Item Database'!P37</f>
        <v>0</v>
      </c>
      <c r="Q5" s="9">
        <f>'Item Database'!Q37</f>
        <v>0</v>
      </c>
      <c r="R5" s="9">
        <f>'Item Database'!R37</f>
        <v>0</v>
      </c>
      <c r="S5" s="9">
        <f>'Item Database'!S37</f>
        <v>0</v>
      </c>
      <c r="T5" s="53" t="str">
        <f>HYPERLINK('Item Database'!T37)</f>
        <v>https://classic.wowhead.com/item=16441</v>
      </c>
      <c r="U5" s="9">
        <f>IF(C5&lt;&gt;0,C5-Gear!$C$2,0)</f>
        <v>3.4925448210665717</v>
      </c>
    </row>
    <row r="6" spans="1:21" x14ac:dyDescent="0.25">
      <c r="A6" s="24">
        <f>'Item Database'!A60</f>
        <v>16795</v>
      </c>
      <c r="B6" s="9" t="str">
        <f>'Item Database'!B60</f>
        <v>Arcanist Crown</v>
      </c>
      <c r="C6" s="12">
        <f>'Item Database'!C60</f>
        <v>11.505712740090448</v>
      </c>
      <c r="D6" s="9" t="str">
        <f>'Item Database'!D60</f>
        <v>Head</v>
      </c>
      <c r="E6" s="9">
        <f>'Item Database'!E60</f>
        <v>83</v>
      </c>
      <c r="F6" s="9">
        <f>'Item Database'!F60</f>
        <v>0</v>
      </c>
      <c r="G6" s="9">
        <f>'Item Database'!G60</f>
        <v>16</v>
      </c>
      <c r="H6" s="9">
        <f>'Item Database'!H60</f>
        <v>0</v>
      </c>
      <c r="I6" s="9">
        <f>'Item Database'!I60</f>
        <v>27</v>
      </c>
      <c r="J6" s="9">
        <f>'Item Database'!J60</f>
        <v>10</v>
      </c>
      <c r="K6" s="9">
        <f>'Item Database'!K60</f>
        <v>20</v>
      </c>
      <c r="L6" s="21">
        <f>'Item Database'!L60</f>
        <v>0</v>
      </c>
      <c r="M6" s="21">
        <f>'Item Database'!M60</f>
        <v>0.01</v>
      </c>
      <c r="N6" s="9">
        <f>'Item Database'!N60</f>
        <v>0</v>
      </c>
      <c r="O6" s="9">
        <f>'Item Database'!O60</f>
        <v>10</v>
      </c>
      <c r="P6" s="9">
        <f>'Item Database'!P60</f>
        <v>0</v>
      </c>
      <c r="Q6" s="9">
        <f>'Item Database'!Q60</f>
        <v>0</v>
      </c>
      <c r="R6" s="9">
        <f>'Item Database'!R60</f>
        <v>0</v>
      </c>
      <c r="S6" s="9">
        <f>'Item Database'!S60</f>
        <v>0</v>
      </c>
      <c r="T6" s="53" t="str">
        <f>HYPERLINK('Item Database'!T60)</f>
        <v>https://classic.wowhead.com/item=16795</v>
      </c>
      <c r="U6" s="9">
        <f>IF(C6&lt;&gt;0,C6-Gear!$C$2,0)</f>
        <v>0</v>
      </c>
    </row>
    <row r="7" spans="1:21" x14ac:dyDescent="0.25">
      <c r="A7" s="24">
        <f>'Item Database'!A68</f>
        <v>23069</v>
      </c>
      <c r="B7" s="9" t="str">
        <f>'Item Database'!B68</f>
        <v>Necro-Knight's Garb</v>
      </c>
      <c r="C7" s="12">
        <f>'Item Database'!C68</f>
        <v>13.283482531879949</v>
      </c>
      <c r="D7" s="9" t="str">
        <f>'Item Database'!D68</f>
        <v>Chest</v>
      </c>
      <c r="E7" s="9">
        <f>'Item Database'!E68</f>
        <v>448</v>
      </c>
      <c r="F7" s="9">
        <f>'Item Database'!F68</f>
        <v>0</v>
      </c>
      <c r="G7" s="9">
        <f>'Item Database'!G68</f>
        <v>32</v>
      </c>
      <c r="H7" s="9">
        <f>'Item Database'!H68</f>
        <v>0</v>
      </c>
      <c r="I7" s="9">
        <f>'Item Database'!I68</f>
        <v>0</v>
      </c>
      <c r="J7" s="9">
        <f>'Item Database'!J68</f>
        <v>0</v>
      </c>
      <c r="K7" s="9">
        <f>'Item Database'!K68</f>
        <v>37</v>
      </c>
      <c r="L7" s="21">
        <f>'Item Database'!L68</f>
        <v>0</v>
      </c>
      <c r="M7" s="21">
        <f>'Item Database'!M68</f>
        <v>0</v>
      </c>
      <c r="N7" s="9">
        <f>'Item Database'!N68</f>
        <v>0</v>
      </c>
      <c r="O7" s="9">
        <f>'Item Database'!O68</f>
        <v>0</v>
      </c>
      <c r="P7" s="9">
        <f>'Item Database'!P68</f>
        <v>0</v>
      </c>
      <c r="Q7" s="9">
        <f>'Item Database'!Q68</f>
        <v>0</v>
      </c>
      <c r="R7" s="9">
        <f>'Item Database'!R68</f>
        <v>0</v>
      </c>
      <c r="S7" s="9">
        <f>'Item Database'!S68</f>
        <v>0</v>
      </c>
      <c r="T7" s="53" t="str">
        <f>HYPERLINK('Item Database'!T68)</f>
        <v>https://classic.wowhead.com/item=23069</v>
      </c>
      <c r="U7" s="9">
        <f>IF(C7&lt;&gt;0,C7-Gear!$C$2,0)</f>
        <v>1.7777697917895008</v>
      </c>
    </row>
    <row r="8" spans="1:21" x14ac:dyDescent="0.25">
      <c r="A8" s="24">
        <f>'Item Database'!A79</f>
        <v>23318</v>
      </c>
      <c r="B8" s="9" t="str">
        <f>'Item Database'!B79</f>
        <v>Lieutenant Commander's Silk Cowl</v>
      </c>
      <c r="C8" s="12">
        <f>'Item Database'!C79</f>
        <v>10.731288347924368</v>
      </c>
      <c r="D8" s="9" t="str">
        <f>'Item Database'!D79</f>
        <v>Head</v>
      </c>
      <c r="E8" s="9">
        <f>'Item Database'!E79</f>
        <v>141</v>
      </c>
      <c r="F8" s="9">
        <f>'Item Database'!F79</f>
        <v>0</v>
      </c>
      <c r="G8" s="9">
        <f>'Item Database'!G79</f>
        <v>19</v>
      </c>
      <c r="H8" s="9">
        <f>'Item Database'!H79</f>
        <v>0</v>
      </c>
      <c r="I8" s="9">
        <f>'Item Database'!I79</f>
        <v>18</v>
      </c>
      <c r="J8" s="9">
        <f>'Item Database'!J79</f>
        <v>6</v>
      </c>
      <c r="K8" s="9">
        <f>'Item Database'!K79</f>
        <v>21</v>
      </c>
      <c r="L8" s="21">
        <f>'Item Database'!L79</f>
        <v>0.01</v>
      </c>
      <c r="M8" s="21">
        <f>'Item Database'!M79</f>
        <v>0</v>
      </c>
      <c r="N8" s="9">
        <f>'Item Database'!N79</f>
        <v>0</v>
      </c>
      <c r="O8" s="9">
        <f>'Item Database'!O79</f>
        <v>0</v>
      </c>
      <c r="P8" s="9">
        <f>'Item Database'!P79</f>
        <v>0</v>
      </c>
      <c r="Q8" s="9">
        <f>'Item Database'!Q79</f>
        <v>0</v>
      </c>
      <c r="R8" s="9">
        <f>'Item Database'!R79</f>
        <v>0</v>
      </c>
      <c r="S8" s="9">
        <f>'Item Database'!S79</f>
        <v>0</v>
      </c>
      <c r="T8" s="53" t="str">
        <f>HYPERLINK('Item Database'!T79)</f>
        <v>https://classic.wowhead.com/item=23318</v>
      </c>
      <c r="U8" s="9">
        <f>IF(C8&lt;&gt;0,C8-Gear!$C$2,0)</f>
        <v>-0.77442439216608072</v>
      </c>
    </row>
    <row r="9" spans="1:21" x14ac:dyDescent="0.25">
      <c r="A9" s="24">
        <f>'Item Database'!A89</f>
        <v>19388</v>
      </c>
      <c r="B9" s="9" t="str">
        <f>'Item Database'!B89</f>
        <v>Angelista's Grasp</v>
      </c>
      <c r="C9" s="12">
        <f>'Item Database'!C89</f>
        <v>7.2505361819230378</v>
      </c>
      <c r="D9" s="9" t="str">
        <f>'Item Database'!D89</f>
        <v>Waist</v>
      </c>
      <c r="E9" s="9">
        <f>'Item Database'!E89</f>
        <v>66</v>
      </c>
      <c r="F9" s="9">
        <f>'Item Database'!F89</f>
        <v>0</v>
      </c>
      <c r="G9" s="9">
        <f>'Item Database'!G89</f>
        <v>17</v>
      </c>
      <c r="H9" s="9">
        <f>'Item Database'!H89</f>
        <v>0</v>
      </c>
      <c r="I9" s="9">
        <f>'Item Database'!I89</f>
        <v>20</v>
      </c>
      <c r="J9" s="9">
        <f>'Item Database'!J89</f>
        <v>13</v>
      </c>
      <c r="K9" s="9">
        <f>'Item Database'!K89</f>
        <v>0</v>
      </c>
      <c r="L9" s="21">
        <f>'Item Database'!L89</f>
        <v>0</v>
      </c>
      <c r="M9" s="21">
        <f>'Item Database'!M89</f>
        <v>0.02</v>
      </c>
      <c r="N9" s="9">
        <f>'Item Database'!N89</f>
        <v>0</v>
      </c>
      <c r="O9" s="9">
        <f>'Item Database'!O89</f>
        <v>0</v>
      </c>
      <c r="P9" s="9">
        <f>'Item Database'!P89</f>
        <v>0</v>
      </c>
      <c r="Q9" s="9">
        <f>'Item Database'!Q89</f>
        <v>0</v>
      </c>
      <c r="R9" s="9">
        <f>'Item Database'!R89</f>
        <v>0</v>
      </c>
      <c r="S9" s="9">
        <f>'Item Database'!S89</f>
        <v>0</v>
      </c>
      <c r="T9" s="53" t="str">
        <f>HYPERLINK('Item Database'!T89)</f>
        <v>https://classic.wowhead.com/item=19388</v>
      </c>
      <c r="U9" s="9">
        <f>IF(C9&lt;&gt;0,C9-Gear!$C$2,0)</f>
        <v>-4.2551765581674106</v>
      </c>
    </row>
    <row r="10" spans="1:21" x14ac:dyDescent="0.25">
      <c r="A10" s="9">
        <f>'Item Database'!A127</f>
        <v>18878</v>
      </c>
      <c r="B10" s="9" t="str">
        <f>'Item Database'!B127</f>
        <v>Sorcerous Dagger</v>
      </c>
      <c r="C10" s="12">
        <f>'Item Database'!C127</f>
        <v>7.8804446491289299</v>
      </c>
      <c r="D10" s="9" t="str">
        <f>'Item Database'!D127</f>
        <v>Weapon</v>
      </c>
      <c r="E10" s="9">
        <f>'Item Database'!E127</f>
        <v>0</v>
      </c>
      <c r="F10" s="9">
        <f>'Item Database'!F127</f>
        <v>0</v>
      </c>
      <c r="G10" s="9">
        <f>'Item Database'!G127</f>
        <v>8</v>
      </c>
      <c r="H10" s="9">
        <f>'Item Database'!H127</f>
        <v>0</v>
      </c>
      <c r="I10" s="9">
        <f>'Item Database'!I127</f>
        <v>17</v>
      </c>
      <c r="J10" s="9">
        <f>'Item Database'!J127</f>
        <v>0</v>
      </c>
      <c r="K10" s="9">
        <f>'Item Database'!K127</f>
        <v>20</v>
      </c>
      <c r="L10" s="21">
        <f>'Item Database'!L127</f>
        <v>0</v>
      </c>
      <c r="M10" s="21">
        <f>'Item Database'!M127</f>
        <v>0</v>
      </c>
      <c r="N10" s="9">
        <f>'Item Database'!N127</f>
        <v>0</v>
      </c>
      <c r="O10" s="9">
        <f>'Item Database'!O127</f>
        <v>0</v>
      </c>
      <c r="P10" s="9">
        <f>'Item Database'!P127</f>
        <v>0</v>
      </c>
      <c r="Q10" s="9">
        <f>'Item Database'!Q127</f>
        <v>0</v>
      </c>
      <c r="R10" s="9">
        <f>'Item Database'!R127</f>
        <v>0</v>
      </c>
      <c r="S10" s="9">
        <f>'Item Database'!S127</f>
        <v>0</v>
      </c>
      <c r="T10" s="53" t="str">
        <f>HYPERLINK('Item Database'!T127)</f>
        <v>https://classic.wowhead.com/item=18878</v>
      </c>
      <c r="U10" s="9">
        <f>IF(C10&lt;&gt;0,C10-Gear!$C$2,0)</f>
        <v>-3.6252680909615185</v>
      </c>
    </row>
    <row r="11" spans="1:21" x14ac:dyDescent="0.25">
      <c r="A11" s="9">
        <f>'Item Database'!A136</f>
        <v>21483</v>
      </c>
      <c r="B11" s="9" t="str">
        <f>'Item Database'!B136</f>
        <v>Ring of the Desert Winds</v>
      </c>
      <c r="C11" s="12">
        <f>'Item Database'!C136</f>
        <v>6.0524462987589427</v>
      </c>
      <c r="D11" s="9" t="str">
        <f>'Item Database'!D136</f>
        <v>Ring</v>
      </c>
      <c r="E11" s="9">
        <f>'Item Database'!E136</f>
        <v>0</v>
      </c>
      <c r="F11" s="9">
        <f>'Item Database'!F136</f>
        <v>0</v>
      </c>
      <c r="G11" s="9">
        <f>'Item Database'!G136</f>
        <v>0</v>
      </c>
      <c r="H11" s="9">
        <f>'Item Database'!H136</f>
        <v>0</v>
      </c>
      <c r="I11" s="9">
        <f>'Item Database'!I136</f>
        <v>9</v>
      </c>
      <c r="J11" s="9">
        <f>'Item Database'!J136</f>
        <v>0</v>
      </c>
      <c r="K11" s="9">
        <f>'Item Database'!K136</f>
        <v>9</v>
      </c>
      <c r="L11" s="21">
        <f>'Item Database'!L136</f>
        <v>0.01</v>
      </c>
      <c r="M11" s="21">
        <f>'Item Database'!M136</f>
        <v>0</v>
      </c>
      <c r="N11" s="9">
        <f>'Item Database'!N136</f>
        <v>3</v>
      </c>
      <c r="O11" s="9">
        <f>'Item Database'!O136</f>
        <v>0</v>
      </c>
      <c r="P11" s="9">
        <f>'Item Database'!P136</f>
        <v>0</v>
      </c>
      <c r="Q11" s="9">
        <f>'Item Database'!Q136</f>
        <v>0</v>
      </c>
      <c r="R11" s="9">
        <f>'Item Database'!R136</f>
        <v>0</v>
      </c>
      <c r="S11" s="9">
        <f>'Item Database'!S136</f>
        <v>0</v>
      </c>
      <c r="T11" s="53" t="str">
        <f>HYPERLINK('Item Database'!T136)</f>
        <v>https://classic.wowhead.com/item=21483</v>
      </c>
      <c r="U11" s="9">
        <f>IF(C11&lt;&gt;0,C11-Gear!$C$2,0)</f>
        <v>-5.4532664413315057</v>
      </c>
    </row>
    <row r="12" spans="1:21" x14ac:dyDescent="0.25">
      <c r="A12" s="9">
        <f>'Item Database'!A171</f>
        <v>18405</v>
      </c>
      <c r="B12" s="9" t="str">
        <f>'Item Database'!B171</f>
        <v>Belt of the Archmage</v>
      </c>
      <c r="C12" s="12">
        <f>'Item Database'!C171</f>
        <v>3.4803254636319325</v>
      </c>
      <c r="D12" s="9" t="str">
        <f>'Item Database'!D171</f>
        <v>Waist</v>
      </c>
      <c r="E12" s="9">
        <f>'Item Database'!E171</f>
        <v>54</v>
      </c>
      <c r="F12" s="9">
        <f>'Item Database'!F171</f>
        <v>0</v>
      </c>
      <c r="G12" s="9">
        <f>'Item Database'!G171</f>
        <v>10</v>
      </c>
      <c r="H12" s="9">
        <f>'Item Database'!H171</f>
        <v>0</v>
      </c>
      <c r="I12" s="9">
        <f>'Item Database'!I171</f>
        <v>25</v>
      </c>
      <c r="J12" s="9">
        <f>'Item Database'!J171</f>
        <v>0</v>
      </c>
      <c r="K12" s="9">
        <f>'Item Database'!K171</f>
        <v>0</v>
      </c>
      <c r="L12" s="21">
        <f>'Item Database'!L171</f>
        <v>0.01</v>
      </c>
      <c r="M12" s="21">
        <f>'Item Database'!M171</f>
        <v>0</v>
      </c>
      <c r="N12" s="9">
        <f>'Item Database'!N171</f>
        <v>0</v>
      </c>
      <c r="O12" s="9">
        <f>'Item Database'!O171</f>
        <v>0</v>
      </c>
      <c r="P12" s="9">
        <f>'Item Database'!P171</f>
        <v>0</v>
      </c>
      <c r="Q12" s="9">
        <f>'Item Database'!Q171</f>
        <v>0</v>
      </c>
      <c r="R12" s="9">
        <f>'Item Database'!R171</f>
        <v>0</v>
      </c>
      <c r="S12" s="9">
        <f>'Item Database'!S171</f>
        <v>0</v>
      </c>
      <c r="T12" s="53" t="str">
        <f>HYPERLINK('Item Database'!T171)</f>
        <v>https://classic.wowhead.com/item=18405</v>
      </c>
      <c r="U12" s="9">
        <f>IF(C12&lt;&gt;0,C12-Gear!$C$2,0)</f>
        <v>-8.0253872764585168</v>
      </c>
    </row>
    <row r="13" spans="1:21" x14ac:dyDescent="0.25">
      <c r="A13" s="9">
        <f>'Item Database'!A178</f>
        <v>14631</v>
      </c>
      <c r="B13" s="9" t="str">
        <f>'Item Database'!B178</f>
        <v>Necropile Boots</v>
      </c>
      <c r="C13" s="12">
        <f>'Item Database'!C178</f>
        <v>4.3610162913565418</v>
      </c>
      <c r="D13" s="9" t="str">
        <f>'Item Database'!D178</f>
        <v>Feet</v>
      </c>
      <c r="E13" s="9">
        <f>'Item Database'!E178</f>
        <v>60</v>
      </c>
      <c r="F13" s="9">
        <f>'Item Database'!F178</f>
        <v>0</v>
      </c>
      <c r="G13" s="9">
        <f>'Item Database'!G178</f>
        <v>15</v>
      </c>
      <c r="H13" s="9">
        <f>'Item Database'!H178</f>
        <v>0</v>
      </c>
      <c r="I13" s="9">
        <f>'Item Database'!I178</f>
        <v>10</v>
      </c>
      <c r="J13" s="9">
        <f>'Item Database'!J178</f>
        <v>9</v>
      </c>
      <c r="K13" s="9">
        <f>'Item Database'!K178</f>
        <v>11</v>
      </c>
      <c r="L13" s="21">
        <f>'Item Database'!L178</f>
        <v>0</v>
      </c>
      <c r="M13" s="21">
        <f>'Item Database'!M178</f>
        <v>0</v>
      </c>
      <c r="N13" s="9">
        <f>'Item Database'!N178</f>
        <v>0</v>
      </c>
      <c r="O13" s="9">
        <f>'Item Database'!O178</f>
        <v>0</v>
      </c>
      <c r="P13" s="9">
        <f>'Item Database'!P178</f>
        <v>0</v>
      </c>
      <c r="Q13" s="9">
        <f>'Item Database'!Q178</f>
        <v>0</v>
      </c>
      <c r="R13" s="9">
        <f>'Item Database'!R178</f>
        <v>0</v>
      </c>
      <c r="S13" s="9">
        <f>'Item Database'!S178</f>
        <v>0</v>
      </c>
      <c r="T13" s="53" t="str">
        <f>HYPERLINK('Item Database'!T178)</f>
        <v>https://classic.wowhead.com/item=14631</v>
      </c>
      <c r="U13" s="9">
        <f>IF(C13&lt;&gt;0,C13-Gear!$C$2,0)</f>
        <v>-7.1446964487339066</v>
      </c>
    </row>
    <row r="14" spans="1:21" x14ac:dyDescent="0.25">
      <c r="A14" s="9">
        <f>'Item Database'!A200</f>
        <v>16686</v>
      </c>
      <c r="B14" s="9" t="str">
        <f>'Item Database'!B200</f>
        <v>Magister's Crown</v>
      </c>
      <c r="C14" s="12">
        <f>'Item Database'!C200</f>
        <v>1.2356185077983193</v>
      </c>
      <c r="D14" s="9" t="str">
        <f>'Item Database'!D200</f>
        <v>Head</v>
      </c>
      <c r="E14" s="9">
        <f>'Item Database'!E200</f>
        <v>71</v>
      </c>
      <c r="F14" s="9">
        <f>'Item Database'!F200</f>
        <v>0</v>
      </c>
      <c r="G14" s="9">
        <f>'Item Database'!G200</f>
        <v>11</v>
      </c>
      <c r="H14" s="9">
        <f>'Item Database'!H200</f>
        <v>0</v>
      </c>
      <c r="I14" s="9">
        <f>'Item Database'!I200</f>
        <v>30</v>
      </c>
      <c r="J14" s="9">
        <f>'Item Database'!J200</f>
        <v>5</v>
      </c>
      <c r="K14" s="9">
        <f>'Item Database'!K200</f>
        <v>0</v>
      </c>
      <c r="L14" s="21">
        <f>'Item Database'!L200</f>
        <v>0</v>
      </c>
      <c r="M14" s="21">
        <f>'Item Database'!M200</f>
        <v>0</v>
      </c>
      <c r="N14" s="9">
        <f>'Item Database'!N200</f>
        <v>0</v>
      </c>
      <c r="O14" s="9">
        <f>'Item Database'!O200</f>
        <v>0</v>
      </c>
      <c r="P14" s="9">
        <f>'Item Database'!P200</f>
        <v>0</v>
      </c>
      <c r="Q14" s="9">
        <f>'Item Database'!Q200</f>
        <v>0</v>
      </c>
      <c r="R14" s="9">
        <f>'Item Database'!R200</f>
        <v>0</v>
      </c>
      <c r="S14" s="9">
        <f>'Item Database'!S200</f>
        <v>0</v>
      </c>
      <c r="T14" s="53" t="str">
        <f>HYPERLINK('Item Database'!T200)</f>
        <v>https://classic.wowhead.com/item=16686</v>
      </c>
      <c r="U14" s="9">
        <f>IF(C14&lt;&gt;0,C14-Gear!$C$2,0)</f>
        <v>-10.270094232292129</v>
      </c>
    </row>
    <row r="15" spans="1:21" x14ac:dyDescent="0.25">
      <c r="A15" s="9">
        <f>'Item Database'!A201</f>
        <v>12604</v>
      </c>
      <c r="B15" s="9" t="str">
        <f>'Item Database'!B201</f>
        <v>Starfire Tiara</v>
      </c>
      <c r="C15" s="12">
        <f>'Item Database'!C201</f>
        <v>1.1532439406117647</v>
      </c>
      <c r="D15" s="9" t="str">
        <f>'Item Database'!D201</f>
        <v>Head</v>
      </c>
      <c r="E15" s="9">
        <f>'Item Database'!E201</f>
        <v>69</v>
      </c>
      <c r="F15" s="9">
        <f>'Item Database'!F201</f>
        <v>0</v>
      </c>
      <c r="G15" s="9">
        <f>'Item Database'!G201</f>
        <v>0</v>
      </c>
      <c r="H15" s="9">
        <f>'Item Database'!H201</f>
        <v>0</v>
      </c>
      <c r="I15" s="9">
        <f>'Item Database'!I201</f>
        <v>28</v>
      </c>
      <c r="J15" s="9">
        <f>'Item Database'!J201</f>
        <v>10</v>
      </c>
      <c r="K15" s="9">
        <f>'Item Database'!K201</f>
        <v>0</v>
      </c>
      <c r="L15" s="21">
        <f>'Item Database'!L201</f>
        <v>0</v>
      </c>
      <c r="M15" s="21">
        <f>'Item Database'!M201</f>
        <v>0</v>
      </c>
      <c r="N15" s="9">
        <f>'Item Database'!N201</f>
        <v>0</v>
      </c>
      <c r="O15" s="9">
        <f>'Item Database'!O201</f>
        <v>10</v>
      </c>
      <c r="P15" s="9">
        <f>'Item Database'!P201</f>
        <v>0</v>
      </c>
      <c r="Q15" s="9">
        <f>'Item Database'!Q201</f>
        <v>0</v>
      </c>
      <c r="R15" s="9">
        <f>'Item Database'!R201</f>
        <v>0</v>
      </c>
      <c r="S15" s="9">
        <f>'Item Database'!S201</f>
        <v>0</v>
      </c>
      <c r="T15" s="53" t="str">
        <f>HYPERLINK('Item Database'!T201)</f>
        <v>https://classic.wowhead.com/item=12604</v>
      </c>
      <c r="U15" s="9">
        <f>IF(C15&lt;&gt;0,C15-Gear!$C$2,0)</f>
        <v>-10.352468799478684</v>
      </c>
    </row>
    <row r="16" spans="1:21" x14ac:dyDescent="0.25">
      <c r="A16" s="9">
        <f>'Item Database'!A202</f>
        <v>11839</v>
      </c>
      <c r="B16" s="9" t="str">
        <f>'Item Database'!B202</f>
        <v>Chief Architect's Monocle</v>
      </c>
      <c r="C16" s="12">
        <f>'Item Database'!C202</f>
        <v>1.1120566570184873</v>
      </c>
      <c r="D16" s="9" t="str">
        <f>'Item Database'!D202</f>
        <v>Head</v>
      </c>
      <c r="E16" s="9">
        <f>'Item Database'!E202</f>
        <v>64</v>
      </c>
      <c r="F16" s="9">
        <f>'Item Database'!F202</f>
        <v>0</v>
      </c>
      <c r="G16" s="9">
        <f>'Item Database'!G202</f>
        <v>10</v>
      </c>
      <c r="H16" s="9">
        <f>'Item Database'!H202</f>
        <v>0</v>
      </c>
      <c r="I16" s="9">
        <f>'Item Database'!I202</f>
        <v>27</v>
      </c>
      <c r="J16" s="9">
        <f>'Item Database'!J202</f>
        <v>3</v>
      </c>
      <c r="K16" s="9">
        <f>'Item Database'!K202</f>
        <v>0</v>
      </c>
      <c r="L16" s="21">
        <f>'Item Database'!L202</f>
        <v>0</v>
      </c>
      <c r="M16" s="21">
        <f>'Item Database'!M202</f>
        <v>0</v>
      </c>
      <c r="N16" s="9">
        <f>'Item Database'!N202</f>
        <v>0</v>
      </c>
      <c r="O16" s="9">
        <f>'Item Database'!O202</f>
        <v>0</v>
      </c>
      <c r="P16" s="9">
        <f>'Item Database'!P202</f>
        <v>0</v>
      </c>
      <c r="Q16" s="9">
        <f>'Item Database'!Q202</f>
        <v>0</v>
      </c>
      <c r="R16" s="9">
        <f>'Item Database'!R202</f>
        <v>0</v>
      </c>
      <c r="S16" s="9">
        <f>'Item Database'!S202</f>
        <v>0</v>
      </c>
      <c r="T16" s="53" t="str">
        <f>HYPERLINK('Item Database'!T202)</f>
        <v>https://classic.wowhead.com/item=11839</v>
      </c>
      <c r="U16" s="9">
        <f>IF(C16&lt;&gt;0,C16-Gear!$C$2,0)</f>
        <v>-10.393656083071962</v>
      </c>
    </row>
    <row r="17" spans="1:21" x14ac:dyDescent="0.25">
      <c r="A17" s="9">
        <f>'Item Database'!A203</f>
        <v>16693</v>
      </c>
      <c r="B17" s="9" t="str">
        <f>'Item Database'!B203</f>
        <v>Devout Crown</v>
      </c>
      <c r="C17" s="12">
        <f>'Item Database'!C203</f>
        <v>0.98849480623865538</v>
      </c>
      <c r="D17" s="9" t="str">
        <f>'Item Database'!D203</f>
        <v>Head</v>
      </c>
      <c r="E17" s="9">
        <f>'Item Database'!E203</f>
        <v>71</v>
      </c>
      <c r="F17" s="9">
        <f>'Item Database'!F203</f>
        <v>0</v>
      </c>
      <c r="G17" s="9">
        <f>'Item Database'!G203</f>
        <v>13</v>
      </c>
      <c r="H17" s="9">
        <f>'Item Database'!H203</f>
        <v>0</v>
      </c>
      <c r="I17" s="9">
        <f>'Item Database'!I203</f>
        <v>24</v>
      </c>
      <c r="J17" s="9">
        <f>'Item Database'!J203</f>
        <v>15</v>
      </c>
      <c r="K17" s="9">
        <f>'Item Database'!K203</f>
        <v>0</v>
      </c>
      <c r="L17" s="21">
        <f>'Item Database'!L203</f>
        <v>0</v>
      </c>
      <c r="M17" s="21">
        <f>'Item Database'!M203</f>
        <v>0</v>
      </c>
      <c r="N17" s="9">
        <f>'Item Database'!N203</f>
        <v>0</v>
      </c>
      <c r="O17" s="9">
        <f>'Item Database'!O203</f>
        <v>0</v>
      </c>
      <c r="P17" s="9">
        <f>'Item Database'!P203</f>
        <v>0</v>
      </c>
      <c r="Q17" s="9">
        <f>'Item Database'!Q203</f>
        <v>0</v>
      </c>
      <c r="R17" s="9">
        <f>'Item Database'!R203</f>
        <v>0</v>
      </c>
      <c r="S17" s="9">
        <f>'Item Database'!S203</f>
        <v>0</v>
      </c>
      <c r="T17" s="53" t="str">
        <f>HYPERLINK('Item Database'!T203)</f>
        <v>https://classic.wowhead.com/item=16693</v>
      </c>
      <c r="U17" s="9">
        <f>IF(C17&lt;&gt;0,C17-Gear!$C$2,0)</f>
        <v>-10.517217933851793</v>
      </c>
    </row>
    <row r="18" spans="1:21" x14ac:dyDescent="0.25">
      <c r="A18" s="9">
        <f>'Item Database'!A205</f>
        <v>16698</v>
      </c>
      <c r="B18" s="9" t="str">
        <f>'Item Database'!B205</f>
        <v>Dreadmist Mask</v>
      </c>
      <c r="C18" s="12">
        <f>'Item Database'!C205</f>
        <v>0.9473075226453781</v>
      </c>
      <c r="D18" s="9" t="str">
        <f>'Item Database'!D205</f>
        <v>Head</v>
      </c>
      <c r="E18" s="9">
        <f>'Item Database'!E205</f>
        <v>71</v>
      </c>
      <c r="F18" s="9">
        <f>'Item Database'!F205</f>
        <v>0</v>
      </c>
      <c r="G18" s="9">
        <f>'Item Database'!G205</f>
        <v>15</v>
      </c>
      <c r="H18" s="9">
        <f>'Item Database'!H205</f>
        <v>0</v>
      </c>
      <c r="I18" s="9">
        <f>'Item Database'!I205</f>
        <v>23</v>
      </c>
      <c r="J18" s="9">
        <f>'Item Database'!J205</f>
        <v>12</v>
      </c>
      <c r="K18" s="9">
        <f>'Item Database'!K205</f>
        <v>0</v>
      </c>
      <c r="L18" s="21">
        <f>'Item Database'!L205</f>
        <v>0</v>
      </c>
      <c r="M18" s="21">
        <f>'Item Database'!M205</f>
        <v>0</v>
      </c>
      <c r="N18" s="9">
        <f>'Item Database'!N205</f>
        <v>0</v>
      </c>
      <c r="O18" s="9">
        <f>'Item Database'!O205</f>
        <v>0</v>
      </c>
      <c r="P18" s="9">
        <f>'Item Database'!P205</f>
        <v>0</v>
      </c>
      <c r="Q18" s="9">
        <f>'Item Database'!Q205</f>
        <v>0</v>
      </c>
      <c r="R18" s="9">
        <f>'Item Database'!R205</f>
        <v>0</v>
      </c>
      <c r="S18" s="9">
        <f>'Item Database'!S205</f>
        <v>0</v>
      </c>
      <c r="T18" s="53" t="str">
        <f>HYPERLINK('Item Database'!T205)</f>
        <v>https://classic.wowhead.com/item=16698</v>
      </c>
      <c r="U18" s="9">
        <f>IF(C18&lt;&gt;0,C18-Gear!$C$2,0)</f>
        <v>-10.55840521744507</v>
      </c>
    </row>
    <row r="19" spans="1:21" x14ac:dyDescent="0.25">
      <c r="A19" s="9">
        <f>'Item Database'!A211</f>
        <v>17715</v>
      </c>
      <c r="B19" s="9" t="str">
        <f>'Item Database'!B211</f>
        <v>Eye of Theradras</v>
      </c>
      <c r="C19" s="12">
        <f>'Item Database'!C211</f>
        <v>0.82374567186554615</v>
      </c>
      <c r="D19" s="9" t="str">
        <f>'Item Database'!D211</f>
        <v>Head</v>
      </c>
      <c r="E19" s="9">
        <f>'Item Database'!E211</f>
        <v>63</v>
      </c>
      <c r="F19" s="9">
        <f>'Item Database'!F211</f>
        <v>0</v>
      </c>
      <c r="G19" s="9">
        <f>'Item Database'!G211</f>
        <v>13</v>
      </c>
      <c r="H19" s="9">
        <f>'Item Database'!H211</f>
        <v>0</v>
      </c>
      <c r="I19" s="9">
        <f>'Item Database'!I211</f>
        <v>20</v>
      </c>
      <c r="J19" s="9">
        <f>'Item Database'!J211</f>
        <v>11</v>
      </c>
      <c r="K19" s="9">
        <f>'Item Database'!K211</f>
        <v>0</v>
      </c>
      <c r="L19" s="21">
        <f>'Item Database'!L211</f>
        <v>0</v>
      </c>
      <c r="M19" s="21">
        <f>'Item Database'!M211</f>
        <v>0</v>
      </c>
      <c r="N19" s="9">
        <f>'Item Database'!N211</f>
        <v>0</v>
      </c>
      <c r="O19" s="9">
        <f>'Item Database'!O211</f>
        <v>0</v>
      </c>
      <c r="P19" s="9">
        <f>'Item Database'!P211</f>
        <v>0</v>
      </c>
      <c r="Q19" s="9">
        <f>'Item Database'!Q211</f>
        <v>0</v>
      </c>
      <c r="R19" s="9">
        <f>'Item Database'!R211</f>
        <v>0</v>
      </c>
      <c r="S19" s="9">
        <f>'Item Database'!S211</f>
        <v>0</v>
      </c>
      <c r="T19" s="53" t="str">
        <f>HYPERLINK('Item Database'!T211)</f>
        <v>https://classic.wowhead.com/item=17715</v>
      </c>
      <c r="U19" s="9">
        <f>IF(C19&lt;&gt;0,C19-Gear!$C$2,0)</f>
        <v>-10.681967068224901</v>
      </c>
    </row>
    <row r="20" spans="1:21" x14ac:dyDescent="0.25">
      <c r="A20" s="9">
        <f>'Item Database'!A213</f>
        <v>10574</v>
      </c>
      <c r="B20" s="9" t="str">
        <f>'Item Database'!B213</f>
        <v>Corpseshroud</v>
      </c>
      <c r="C20" s="12">
        <f>'Item Database'!C213</f>
        <v>0.78255838827226887</v>
      </c>
      <c r="D20" s="9" t="str">
        <f>'Item Database'!D213</f>
        <v>Head</v>
      </c>
      <c r="E20" s="9">
        <f>'Item Database'!E213</f>
        <v>47</v>
      </c>
      <c r="F20" s="9">
        <f>'Item Database'!F213</f>
        <v>0</v>
      </c>
      <c r="G20" s="9">
        <f>'Item Database'!G213</f>
        <v>0</v>
      </c>
      <c r="H20" s="9">
        <f>'Item Database'!H213</f>
        <v>0</v>
      </c>
      <c r="I20" s="9">
        <f>'Item Database'!I213</f>
        <v>19</v>
      </c>
      <c r="J20" s="9">
        <f>'Item Database'!J213</f>
        <v>6</v>
      </c>
      <c r="K20" s="9">
        <f>'Item Database'!K213</f>
        <v>0</v>
      </c>
      <c r="L20" s="21">
        <f>'Item Database'!L213</f>
        <v>0</v>
      </c>
      <c r="M20" s="21">
        <f>'Item Database'!M213</f>
        <v>0</v>
      </c>
      <c r="N20" s="9">
        <f>'Item Database'!N213</f>
        <v>0</v>
      </c>
      <c r="O20" s="9">
        <f>'Item Database'!O213</f>
        <v>0</v>
      </c>
      <c r="P20" s="9">
        <f>'Item Database'!P213</f>
        <v>0</v>
      </c>
      <c r="Q20" s="9">
        <f>'Item Database'!Q213</f>
        <v>0</v>
      </c>
      <c r="R20" s="9">
        <f>'Item Database'!R213</f>
        <v>0</v>
      </c>
      <c r="S20" s="9">
        <f>'Item Database'!S213</f>
        <v>0</v>
      </c>
      <c r="T20" s="53" t="str">
        <f>HYPERLINK('Item Database'!T213)</f>
        <v>https://classic.wowhead.com/item=10574</v>
      </c>
      <c r="U20" s="9">
        <f>IF(C20&lt;&gt;0,C20-Gear!$C$2,0)</f>
        <v>-10.723154351818179</v>
      </c>
    </row>
    <row r="21" spans="1:21" x14ac:dyDescent="0.25">
      <c r="A21" s="9">
        <f>'Item Database'!A221</f>
        <v>9429</v>
      </c>
      <c r="B21" s="9" t="str">
        <f>'Item Database'!B221</f>
        <v>Miner's Hat of the Deep</v>
      </c>
      <c r="C21" s="12">
        <f>'Item Database'!C221</f>
        <v>0.7001838210857142</v>
      </c>
      <c r="D21" s="9" t="str">
        <f>'Item Database'!D221</f>
        <v>Head</v>
      </c>
      <c r="E21" s="9">
        <f>'Item Database'!E221</f>
        <v>52</v>
      </c>
      <c r="F21" s="9">
        <f>'Item Database'!F221</f>
        <v>0</v>
      </c>
      <c r="G21" s="9">
        <f>'Item Database'!G221</f>
        <v>7</v>
      </c>
      <c r="H21" s="9">
        <f>'Item Database'!H221</f>
        <v>0</v>
      </c>
      <c r="I21" s="9">
        <f>'Item Database'!I221</f>
        <v>17</v>
      </c>
      <c r="J21" s="9">
        <f>'Item Database'!J221</f>
        <v>10</v>
      </c>
      <c r="K21" s="9">
        <f>'Item Database'!K221</f>
        <v>0</v>
      </c>
      <c r="L21" s="21">
        <f>'Item Database'!L221</f>
        <v>0</v>
      </c>
      <c r="M21" s="21">
        <f>'Item Database'!M221</f>
        <v>0</v>
      </c>
      <c r="N21" s="9">
        <f>'Item Database'!N221</f>
        <v>0</v>
      </c>
      <c r="O21" s="9">
        <f>'Item Database'!O221</f>
        <v>0</v>
      </c>
      <c r="P21" s="9">
        <f>'Item Database'!P221</f>
        <v>0</v>
      </c>
      <c r="Q21" s="9">
        <f>'Item Database'!Q221</f>
        <v>0</v>
      </c>
      <c r="R21" s="9">
        <f>'Item Database'!R221</f>
        <v>0</v>
      </c>
      <c r="S21" s="9">
        <f>'Item Database'!S221</f>
        <v>0</v>
      </c>
      <c r="T21" s="53" t="str">
        <f>HYPERLINK('Item Database'!T221)</f>
        <v>https://classic.wowhead.com/item=9429</v>
      </c>
      <c r="U21" s="9">
        <f>IF(C21&lt;&gt;0,C21-Gear!$C$2,0)</f>
        <v>-10.805528919004734</v>
      </c>
    </row>
    <row r="22" spans="1:21" x14ac:dyDescent="0.25">
      <c r="A22" s="9">
        <f>'Item Database'!A239</f>
        <v>7720</v>
      </c>
      <c r="B22" s="9" t="str">
        <f>'Item Database'!B239</f>
        <v>Whitemane's Chapeau</v>
      </c>
      <c r="C22" s="12">
        <f>'Item Database'!C239</f>
        <v>0.57662197030588236</v>
      </c>
      <c r="D22" s="9" t="str">
        <f>'Item Database'!D239</f>
        <v>Head</v>
      </c>
      <c r="E22" s="9">
        <f>'Item Database'!E239</f>
        <v>52</v>
      </c>
      <c r="F22" s="9">
        <f>'Item Database'!F239</f>
        <v>0</v>
      </c>
      <c r="G22" s="9">
        <f>'Item Database'!G239</f>
        <v>9</v>
      </c>
      <c r="H22" s="9">
        <f>'Item Database'!H239</f>
        <v>0</v>
      </c>
      <c r="I22" s="9">
        <f>'Item Database'!I239</f>
        <v>14</v>
      </c>
      <c r="J22" s="9">
        <f>'Item Database'!J239</f>
        <v>14</v>
      </c>
      <c r="K22" s="9">
        <f>'Item Database'!K239</f>
        <v>0</v>
      </c>
      <c r="L22" s="21">
        <f>'Item Database'!L239</f>
        <v>0</v>
      </c>
      <c r="M22" s="21">
        <f>'Item Database'!M239</f>
        <v>0</v>
      </c>
      <c r="N22" s="9">
        <f>'Item Database'!N239</f>
        <v>0</v>
      </c>
      <c r="O22" s="9">
        <f>'Item Database'!O239</f>
        <v>0</v>
      </c>
      <c r="P22" s="9">
        <f>'Item Database'!P239</f>
        <v>0</v>
      </c>
      <c r="Q22" s="9">
        <f>'Item Database'!Q239</f>
        <v>0</v>
      </c>
      <c r="R22" s="9">
        <f>'Item Database'!R239</f>
        <v>0</v>
      </c>
      <c r="S22" s="9">
        <f>'Item Database'!S239</f>
        <v>0</v>
      </c>
      <c r="T22" s="53" t="str">
        <f>HYPERLINK('Item Database'!T239)</f>
        <v>https://classic.wowhead.com/item=7720</v>
      </c>
      <c r="U22" s="9">
        <f>IF(C22&lt;&gt;0,C22-Gear!$C$2,0)</f>
        <v>-10.929090769784565</v>
      </c>
    </row>
    <row r="23" spans="1:21" x14ac:dyDescent="0.25">
      <c r="U23" s="9">
        <f>IF(C23&lt;&gt;0,C23-Gear!$C$2,0)</f>
        <v>0</v>
      </c>
    </row>
    <row r="24" spans="1:21" x14ac:dyDescent="0.25">
      <c r="U24" s="9">
        <f>IF(C24&lt;&gt;0,C24-Gear!$C$2,0)</f>
        <v>0</v>
      </c>
    </row>
    <row r="25" spans="1:21" x14ac:dyDescent="0.25">
      <c r="U25" s="9">
        <f>IF(C25&lt;&gt;0,C25-Gear!$C$2,0)</f>
        <v>0</v>
      </c>
    </row>
    <row r="26" spans="1:21" x14ac:dyDescent="0.25">
      <c r="U26" s="9">
        <f>IF(C26&lt;&gt;0,C26-Gear!$C$2,0)</f>
        <v>0</v>
      </c>
    </row>
    <row r="27" spans="1:21" x14ac:dyDescent="0.25">
      <c r="U27" s="9">
        <f>IF(C27&lt;&gt;0,C27-Gear!$C$2,0)</f>
        <v>0</v>
      </c>
    </row>
    <row r="28" spans="1:21" x14ac:dyDescent="0.25">
      <c r="U28" s="9">
        <f>IF(C28&lt;&gt;0,C28-Gear!$C$2,0)</f>
        <v>0</v>
      </c>
    </row>
    <row r="29" spans="1:21" x14ac:dyDescent="0.25">
      <c r="U29" s="9">
        <f>IF(C29&lt;&gt;0,C29-Gear!$C$2,0)</f>
        <v>0</v>
      </c>
    </row>
    <row r="30" spans="1:21" x14ac:dyDescent="0.25">
      <c r="U30" s="9">
        <f>IF(C30&lt;&gt;0,C30-Gear!$C$2,0)</f>
        <v>0</v>
      </c>
    </row>
    <row r="31" spans="1:21" x14ac:dyDescent="0.25">
      <c r="A31" s="24"/>
      <c r="U31" s="9">
        <f>IF(C31&lt;&gt;0,C31-Gear!$C$2,0)</f>
        <v>0</v>
      </c>
    </row>
    <row r="32" spans="1:21" x14ac:dyDescent="0.25">
      <c r="U32" s="9">
        <f>IF(C32&lt;&gt;0,C32-Gear!$C$2,0)</f>
        <v>0</v>
      </c>
    </row>
    <row r="33" spans="1:21" x14ac:dyDescent="0.25">
      <c r="A33" s="24"/>
      <c r="U33" s="9">
        <f>IF(C33&lt;&gt;0,C33-Gear!$C$2,0)</f>
        <v>0</v>
      </c>
    </row>
    <row r="34" spans="1:21" x14ac:dyDescent="0.25">
      <c r="U34" s="9">
        <f>IF(C34&lt;&gt;0,C34-Gear!$C$2,0)</f>
        <v>0</v>
      </c>
    </row>
    <row r="35" spans="1:21" x14ac:dyDescent="0.25">
      <c r="U35" s="9">
        <f>IF(C35&lt;&gt;0,C35-Gear!$C$2,0)</f>
        <v>0</v>
      </c>
    </row>
    <row r="36" spans="1:21" x14ac:dyDescent="0.25">
      <c r="U36" s="9">
        <f>IF(C36&lt;&gt;0,C36-Gear!$C$2,0)</f>
        <v>0</v>
      </c>
    </row>
    <row r="37" spans="1:21" x14ac:dyDescent="0.25">
      <c r="A37" s="24"/>
      <c r="U37" s="9">
        <f>IF(C37&lt;&gt;0,C37-Gear!$C$2,0)</f>
        <v>0</v>
      </c>
    </row>
    <row r="38" spans="1:21" x14ac:dyDescent="0.25">
      <c r="U38" s="9">
        <f>IF(C38&lt;&gt;0,C38-Gear!$C$2,0)</f>
        <v>0</v>
      </c>
    </row>
    <row r="39" spans="1:21" x14ac:dyDescent="0.25">
      <c r="U39" s="9">
        <f>IF(C39&lt;&gt;0,C39-Gear!$C$2,0)</f>
        <v>0</v>
      </c>
    </row>
    <row r="40" spans="1:21" x14ac:dyDescent="0.25">
      <c r="U40" s="9">
        <f>IF(C40&lt;&gt;0,C40-Gear!$C$2,0)</f>
        <v>0</v>
      </c>
    </row>
    <row r="41" spans="1:21" x14ac:dyDescent="0.25">
      <c r="U41" s="9">
        <f>IF(C41&lt;&gt;0,C41-Gear!$C$2,0)</f>
        <v>0</v>
      </c>
    </row>
    <row r="42" spans="1:21" x14ac:dyDescent="0.25">
      <c r="U42" s="9">
        <f>IF(C42&lt;&gt;0,C42-Gear!$C$2,0)</f>
        <v>0</v>
      </c>
    </row>
    <row r="43" spans="1:21" x14ac:dyDescent="0.25">
      <c r="U43" s="9">
        <f>IF(C43&lt;&gt;0,C43-Gear!$C$2,0)</f>
        <v>0</v>
      </c>
    </row>
    <row r="44" spans="1:21" x14ac:dyDescent="0.25">
      <c r="U44" s="9">
        <f>IF(C44&lt;&gt;0,C44-Gear!$C$2,0)</f>
        <v>0</v>
      </c>
    </row>
    <row r="45" spans="1:21" x14ac:dyDescent="0.25">
      <c r="U45" s="9">
        <f>IF(C45&lt;&gt;0,C45-Gear!$C$2,0)</f>
        <v>0</v>
      </c>
    </row>
    <row r="46" spans="1:21" x14ac:dyDescent="0.25">
      <c r="U46" s="9">
        <f>IF(C46&lt;&gt;0,C46-Gear!$C$2,0)</f>
        <v>0</v>
      </c>
    </row>
    <row r="47" spans="1:21" x14ac:dyDescent="0.25">
      <c r="U47" s="9">
        <f>IF(C47&lt;&gt;0,C47-Gear!$C$2,0)</f>
        <v>0</v>
      </c>
    </row>
    <row r="48" spans="1:21" x14ac:dyDescent="0.25">
      <c r="U48" s="9">
        <f>IF(C48&lt;&gt;0,C48-Gear!$C$2,0)</f>
        <v>0</v>
      </c>
    </row>
    <row r="49" spans="21:21" x14ac:dyDescent="0.25">
      <c r="U49" s="9">
        <f>IF(C49&lt;&gt;0,C49-Gear!$C$2,0)</f>
        <v>0</v>
      </c>
    </row>
    <row r="50" spans="21:21" x14ac:dyDescent="0.25">
      <c r="U50" s="9">
        <f>IF(C50&lt;&gt;0,C50-Gear!$C$2,0)</f>
        <v>0</v>
      </c>
    </row>
    <row r="51" spans="21:21" x14ac:dyDescent="0.25">
      <c r="U51" s="9">
        <f>IF(C51&lt;&gt;0,C51-Gear!$C$2,0)</f>
        <v>0</v>
      </c>
    </row>
    <row r="52" spans="21:21" x14ac:dyDescent="0.25">
      <c r="U52" s="9">
        <f>IF(C52&lt;&gt;0,C52-Gear!$C$2,0)</f>
        <v>0</v>
      </c>
    </row>
    <row r="53" spans="21:21" x14ac:dyDescent="0.25">
      <c r="U53" s="9">
        <f>IF(C53&lt;&gt;0,C53-Gear!$C$2,0)</f>
        <v>0</v>
      </c>
    </row>
    <row r="54" spans="21:21" x14ac:dyDescent="0.25">
      <c r="U54" s="9">
        <f>IF(C54&lt;&gt;0,C54-Gear!$C$2,0)</f>
        <v>0</v>
      </c>
    </row>
    <row r="55" spans="21:21" x14ac:dyDescent="0.25">
      <c r="U55" s="9">
        <f>IF(C55&lt;&gt;0,C55-Gear!$C$2,0)</f>
        <v>0</v>
      </c>
    </row>
    <row r="56" spans="21:21" x14ac:dyDescent="0.25">
      <c r="U56" s="9">
        <f>IF(C56&lt;&gt;0,C56-Gear!$C$2,0)</f>
        <v>0</v>
      </c>
    </row>
    <row r="57" spans="21:21" x14ac:dyDescent="0.25">
      <c r="U57" s="9">
        <f>IF(C57&lt;&gt;0,C57-Gear!$C$2,0)</f>
        <v>0</v>
      </c>
    </row>
    <row r="58" spans="21:21" x14ac:dyDescent="0.25">
      <c r="U58" s="9">
        <f>IF(C58&lt;&gt;0,C58-Gear!$C$2,0)</f>
        <v>0</v>
      </c>
    </row>
    <row r="59" spans="21:21" x14ac:dyDescent="0.25">
      <c r="U59" s="9">
        <f>IF(C59&lt;&gt;0,C59-Gear!$C$2,0)</f>
        <v>0</v>
      </c>
    </row>
    <row r="60" spans="21:21" x14ac:dyDescent="0.25">
      <c r="U60" s="9">
        <f>IF(C60&lt;&gt;0,C60-Gear!$C$2,0)</f>
        <v>0</v>
      </c>
    </row>
    <row r="61" spans="21:21" x14ac:dyDescent="0.25">
      <c r="U61" s="9">
        <f>IF(C61&lt;&gt;0,C61-Gear!$C$2,0)</f>
        <v>0</v>
      </c>
    </row>
    <row r="62" spans="21:21" x14ac:dyDescent="0.25">
      <c r="U62" s="9">
        <f>IF(C62&lt;&gt;0,C62-Gear!$C$2,0)</f>
        <v>0</v>
      </c>
    </row>
    <row r="63" spans="21:21" x14ac:dyDescent="0.25">
      <c r="U63" s="9">
        <f>IF(C63&lt;&gt;0,C63-Gear!$C$2,0)</f>
        <v>0</v>
      </c>
    </row>
    <row r="64" spans="21:21" x14ac:dyDescent="0.25">
      <c r="U64" s="9">
        <f>IF(C64&lt;&gt;0,C64-Gear!$C$2,0)</f>
        <v>0</v>
      </c>
    </row>
    <row r="65" spans="21:21" x14ac:dyDescent="0.25">
      <c r="U65" s="9">
        <f>IF(C65&lt;&gt;0,C65-Gear!$C$2,0)</f>
        <v>0</v>
      </c>
    </row>
    <row r="66" spans="21:21" x14ac:dyDescent="0.25">
      <c r="U66" s="9">
        <f>IF(C66&lt;&gt;0,C66-Gear!$C$2,0)</f>
        <v>0</v>
      </c>
    </row>
    <row r="67" spans="21:21" x14ac:dyDescent="0.25">
      <c r="U67" s="9">
        <f>IF(C67&lt;&gt;0,C67-Gear!$C$2,0)</f>
        <v>0</v>
      </c>
    </row>
    <row r="68" spans="21:21" x14ac:dyDescent="0.25">
      <c r="U68" s="9">
        <f>IF(C68&lt;&gt;0,C68-Gear!$C$2,0)</f>
        <v>0</v>
      </c>
    </row>
    <row r="69" spans="21:21" x14ac:dyDescent="0.25">
      <c r="U69" s="9">
        <f>IF(C69&lt;&gt;0,C69-Gear!$C$2,0)</f>
        <v>0</v>
      </c>
    </row>
    <row r="70" spans="21:21" x14ac:dyDescent="0.25">
      <c r="U70" s="9">
        <f>IF(C70&lt;&gt;0,C70-Gear!$C$2,0)</f>
        <v>0</v>
      </c>
    </row>
    <row r="71" spans="21:21" x14ac:dyDescent="0.25">
      <c r="U71" s="9">
        <f>IF(C71&lt;&gt;0,C71-Gear!$C$2,0)</f>
        <v>0</v>
      </c>
    </row>
    <row r="72" spans="21:21" x14ac:dyDescent="0.25">
      <c r="U72" s="9">
        <f>IF(C72&lt;&gt;0,C72-Gear!$C$2,0)</f>
        <v>0</v>
      </c>
    </row>
    <row r="73" spans="21:21" x14ac:dyDescent="0.25">
      <c r="U73" s="9">
        <f>IF(C73&lt;&gt;0,C73-Gear!$C$2,0)</f>
        <v>0</v>
      </c>
    </row>
    <row r="74" spans="21:21" x14ac:dyDescent="0.25">
      <c r="U74" s="9">
        <f>IF(C74&lt;&gt;0,C74-Gear!$C$2,0)</f>
        <v>0</v>
      </c>
    </row>
    <row r="75" spans="21:21" x14ac:dyDescent="0.25">
      <c r="U75" s="9">
        <f>IF(C75&lt;&gt;0,C75-Gear!$C$2,0)</f>
        <v>0</v>
      </c>
    </row>
    <row r="76" spans="21:21" x14ac:dyDescent="0.25">
      <c r="U76" s="9">
        <f>IF(C76&lt;&gt;0,C76-Gear!$C$2,0)</f>
        <v>0</v>
      </c>
    </row>
    <row r="77" spans="21:21" x14ac:dyDescent="0.25">
      <c r="U77" s="9">
        <f>IF(C77&lt;&gt;0,C77-Gear!$C$2,0)</f>
        <v>0</v>
      </c>
    </row>
    <row r="78" spans="21:21" x14ac:dyDescent="0.25">
      <c r="U78" s="9">
        <f>IF(C78&lt;&gt;0,C78-Gear!$C$2,0)</f>
        <v>0</v>
      </c>
    </row>
    <row r="79" spans="21:21" x14ac:dyDescent="0.25">
      <c r="U79" s="9">
        <f>IF(C79&lt;&gt;0,C79-Gear!$C$2,0)</f>
        <v>0</v>
      </c>
    </row>
    <row r="80" spans="21:21" x14ac:dyDescent="0.25">
      <c r="U80" s="9">
        <f>IF(C80&lt;&gt;0,C80-Gear!$C$2,0)</f>
        <v>0</v>
      </c>
    </row>
    <row r="81" spans="21:21" x14ac:dyDescent="0.25">
      <c r="U81" s="9">
        <f>IF(C81&lt;&gt;0,C81-Gear!$C$2,0)</f>
        <v>0</v>
      </c>
    </row>
    <row r="82" spans="21:21" x14ac:dyDescent="0.25">
      <c r="U82" s="9">
        <f>IF(C82&lt;&gt;0,C82-Gear!$C$2,0)</f>
        <v>0</v>
      </c>
    </row>
    <row r="83" spans="21:21" x14ac:dyDescent="0.25">
      <c r="U83" s="9">
        <f>IF(C83&lt;&gt;0,C83-Gear!$C$2,0)</f>
        <v>0</v>
      </c>
    </row>
    <row r="84" spans="21:21" x14ac:dyDescent="0.25">
      <c r="U84" s="9">
        <f>IF(C84&lt;&gt;0,C84-Gear!$C$2,0)</f>
        <v>0</v>
      </c>
    </row>
    <row r="85" spans="21:21" x14ac:dyDescent="0.25">
      <c r="U85" s="9">
        <f>IF(C85&lt;&gt;0,C85-Gear!$C$2,0)</f>
        <v>0</v>
      </c>
    </row>
    <row r="86" spans="21:21" x14ac:dyDescent="0.25">
      <c r="U86" s="9">
        <f>IF(C86&lt;&gt;0,C86-Gear!$C$2,0)</f>
        <v>0</v>
      </c>
    </row>
    <row r="87" spans="21:21" x14ac:dyDescent="0.25">
      <c r="U87" s="9">
        <f>IF(C87&lt;&gt;0,C87-Gear!$C$2,0)</f>
        <v>0</v>
      </c>
    </row>
    <row r="88" spans="21:21" x14ac:dyDescent="0.25">
      <c r="U88" s="9">
        <f>IF(C88&lt;&gt;0,C88-Gear!$C$2,0)</f>
        <v>0</v>
      </c>
    </row>
    <row r="89" spans="21:21" x14ac:dyDescent="0.25">
      <c r="U89" s="9">
        <f>IF(C89&lt;&gt;0,C89-Gear!$C$2,0)</f>
        <v>0</v>
      </c>
    </row>
    <row r="90" spans="21:21" x14ac:dyDescent="0.25">
      <c r="U90" s="9">
        <f>IF(C90&lt;&gt;0,C90-Gear!$C$2,0)</f>
        <v>0</v>
      </c>
    </row>
    <row r="91" spans="21:21" x14ac:dyDescent="0.25">
      <c r="U91" s="9">
        <f>IF(C91&lt;&gt;0,C91-Gear!$C$2,0)</f>
        <v>0</v>
      </c>
    </row>
    <row r="92" spans="21:21" x14ac:dyDescent="0.25">
      <c r="U92" s="9">
        <f>IF(C92&lt;&gt;0,C92-Gear!$C$2,0)</f>
        <v>0</v>
      </c>
    </row>
    <row r="93" spans="21:21" x14ac:dyDescent="0.25">
      <c r="U93" s="9">
        <f>IF(C93&lt;&gt;0,C93-Gear!$C$2,0)</f>
        <v>0</v>
      </c>
    </row>
    <row r="94" spans="21:21" x14ac:dyDescent="0.25">
      <c r="U94" s="9">
        <f>IF(C94&lt;&gt;0,C94-Gear!$C$2,0)</f>
        <v>0</v>
      </c>
    </row>
    <row r="95" spans="21:21" x14ac:dyDescent="0.25">
      <c r="U95" s="9">
        <f>IF(C95&lt;&gt;0,C95-Gear!$C$2,0)</f>
        <v>0</v>
      </c>
    </row>
    <row r="96" spans="21:21" x14ac:dyDescent="0.25">
      <c r="U96" s="9">
        <f>IF(C96&lt;&gt;0,C96-Gear!$C$2,0)</f>
        <v>0</v>
      </c>
    </row>
    <row r="97" spans="21:21" x14ac:dyDescent="0.25">
      <c r="U97" s="9">
        <f>IF(C97&lt;&gt;0,C97-Gear!$C$2,0)</f>
        <v>0</v>
      </c>
    </row>
    <row r="98" spans="21:21" x14ac:dyDescent="0.25">
      <c r="U98" s="9">
        <f>IF(C98&lt;&gt;0,C98-Gear!$C$2,0)</f>
        <v>0</v>
      </c>
    </row>
    <row r="99" spans="21:21" x14ac:dyDescent="0.25">
      <c r="U99" s="9">
        <f>IF(C99&lt;&gt;0,C99-Gear!$C$2,0)</f>
        <v>0</v>
      </c>
    </row>
    <row r="100" spans="21:21" x14ac:dyDescent="0.25">
      <c r="U100" s="9">
        <f>IF(C100&lt;&gt;0,C100-Gear!$C$2,0)</f>
        <v>0</v>
      </c>
    </row>
    <row r="101" spans="21:21" x14ac:dyDescent="0.25">
      <c r="U101" s="9">
        <f>IF(C101&lt;&gt;0,C101-Gear!$C$2,0)</f>
        <v>0</v>
      </c>
    </row>
    <row r="102" spans="21:21" x14ac:dyDescent="0.25">
      <c r="U102" s="9">
        <f>IF(C102&lt;&gt;0,C102-Gear!$C$2,0)</f>
        <v>0</v>
      </c>
    </row>
    <row r="103" spans="21:21" x14ac:dyDescent="0.25">
      <c r="U103" s="9">
        <f>IF(C103&lt;&gt;0,C103-Gear!$C$2,0)</f>
        <v>0</v>
      </c>
    </row>
    <row r="104" spans="21:21" x14ac:dyDescent="0.25">
      <c r="U104" s="9">
        <f>IF(C104&lt;&gt;0,C104-Gear!$C$2,0)</f>
        <v>0</v>
      </c>
    </row>
    <row r="105" spans="21:21" x14ac:dyDescent="0.25">
      <c r="U105" s="9">
        <f>IF(C105&lt;&gt;0,C105-Gear!$C$2,0)</f>
        <v>0</v>
      </c>
    </row>
    <row r="106" spans="21:21" x14ac:dyDescent="0.25">
      <c r="U106" s="9">
        <f>IF(C106&lt;&gt;0,C106-Gear!$C$2,0)</f>
        <v>0</v>
      </c>
    </row>
    <row r="107" spans="21:21" x14ac:dyDescent="0.25">
      <c r="U107" s="9">
        <f>IF(C107&lt;&gt;0,C107-Gear!$C$2,0)</f>
        <v>0</v>
      </c>
    </row>
    <row r="108" spans="21:21" x14ac:dyDescent="0.25">
      <c r="U108" s="9">
        <f>IF(C108&lt;&gt;0,C108-Gear!$C$2,0)</f>
        <v>0</v>
      </c>
    </row>
    <row r="109" spans="21:21" x14ac:dyDescent="0.25">
      <c r="U109" s="9">
        <f>IF(C109&lt;&gt;0,C109-Gear!$C$2,0)</f>
        <v>0</v>
      </c>
    </row>
    <row r="110" spans="21:21" x14ac:dyDescent="0.25">
      <c r="U110" s="9">
        <f>IF(C110&lt;&gt;0,C110-Gear!$C$2,0)</f>
        <v>0</v>
      </c>
    </row>
    <row r="111" spans="21:21" x14ac:dyDescent="0.25">
      <c r="U111" s="9">
        <f>IF(C111&lt;&gt;0,C111-Gear!$C$2,0)</f>
        <v>0</v>
      </c>
    </row>
    <row r="112" spans="21:21" x14ac:dyDescent="0.25">
      <c r="U112" s="9">
        <f>IF(C112&lt;&gt;0,C112-Gear!$C$2,0)</f>
        <v>0</v>
      </c>
    </row>
    <row r="113" spans="21:21" x14ac:dyDescent="0.25">
      <c r="U113" s="9">
        <f>IF(C113&lt;&gt;0,C113-Gear!$C$2,0)</f>
        <v>0</v>
      </c>
    </row>
    <row r="114" spans="21:21" x14ac:dyDescent="0.25">
      <c r="U114" s="9">
        <f>IF(C114&lt;&gt;0,C114-Gear!$C$2,0)</f>
        <v>0</v>
      </c>
    </row>
    <row r="115" spans="21:21" x14ac:dyDescent="0.25">
      <c r="U115" s="9">
        <f>IF(C115&lt;&gt;0,C115-Gear!$C$2,0)</f>
        <v>0</v>
      </c>
    </row>
    <row r="116" spans="21:21" x14ac:dyDescent="0.25">
      <c r="U116" s="9">
        <f>IF(C116&lt;&gt;0,C116-Gear!$C$2,0)</f>
        <v>0</v>
      </c>
    </row>
    <row r="117" spans="21:21" x14ac:dyDescent="0.25">
      <c r="U117" s="9">
        <f>IF(C117&lt;&gt;0,C117-Gear!$C$2,0)</f>
        <v>0</v>
      </c>
    </row>
    <row r="118" spans="21:21" x14ac:dyDescent="0.25">
      <c r="U118" s="9">
        <f>IF(C118&lt;&gt;0,C118-Gear!$C$2,0)</f>
        <v>0</v>
      </c>
    </row>
    <row r="119" spans="21:21" x14ac:dyDescent="0.25">
      <c r="U119" s="9">
        <f>IF(C119&lt;&gt;0,C119-Gear!$C$2,0)</f>
        <v>0</v>
      </c>
    </row>
    <row r="120" spans="21:21" x14ac:dyDescent="0.25">
      <c r="U120" s="9">
        <f>IF(C120&lt;&gt;0,C120-Gear!$C$2,0)</f>
        <v>0</v>
      </c>
    </row>
    <row r="121" spans="21:21" x14ac:dyDescent="0.25">
      <c r="U121" s="9">
        <f>IF(C121&lt;&gt;0,C121-Gear!$C$2,0)</f>
        <v>0</v>
      </c>
    </row>
    <row r="122" spans="21:21" x14ac:dyDescent="0.25">
      <c r="U122" s="9">
        <f>IF(C122&lt;&gt;0,C122-Gear!$C$2,0)</f>
        <v>0</v>
      </c>
    </row>
    <row r="123" spans="21:21" x14ac:dyDescent="0.25">
      <c r="U123" s="9">
        <f>IF(C123&lt;&gt;0,C123-Gear!$C$2,0)</f>
        <v>0</v>
      </c>
    </row>
    <row r="124" spans="21:21" x14ac:dyDescent="0.25">
      <c r="U124" s="9">
        <f>IF(C124&lt;&gt;0,C124-Gear!$C$2,0)</f>
        <v>0</v>
      </c>
    </row>
    <row r="125" spans="21:21" x14ac:dyDescent="0.25">
      <c r="U125" s="9">
        <f>IF(C125&lt;&gt;0,C125-Gear!$C$2,0)</f>
        <v>0</v>
      </c>
    </row>
    <row r="126" spans="21:21" x14ac:dyDescent="0.25">
      <c r="U126" s="9">
        <f>IF(C126&lt;&gt;0,C126-Gear!$C$2,0)</f>
        <v>0</v>
      </c>
    </row>
    <row r="127" spans="21:21" x14ac:dyDescent="0.25">
      <c r="U127" s="9">
        <f>IF(C127&lt;&gt;0,C127-Gear!$C$2,0)</f>
        <v>0</v>
      </c>
    </row>
    <row r="128" spans="21:21" x14ac:dyDescent="0.25">
      <c r="U128" s="9">
        <f>IF(C128&lt;&gt;0,C128-Gear!$C$2,0)</f>
        <v>0</v>
      </c>
    </row>
    <row r="129" spans="21:21" x14ac:dyDescent="0.25">
      <c r="U129" s="9">
        <f>IF(C129&lt;&gt;0,C129-Gear!$C$2,0)</f>
        <v>0</v>
      </c>
    </row>
    <row r="130" spans="21:21" x14ac:dyDescent="0.25">
      <c r="U130" s="9">
        <f>IF(C130&lt;&gt;0,C130-Gear!$C$2,0)</f>
        <v>0</v>
      </c>
    </row>
    <row r="131" spans="21:21" x14ac:dyDescent="0.25">
      <c r="U131" s="9">
        <f>IF(C131&lt;&gt;0,C131-Gear!$C$2,0)</f>
        <v>0</v>
      </c>
    </row>
    <row r="132" spans="21:21" x14ac:dyDescent="0.25">
      <c r="U132" s="9">
        <f>IF(C132&lt;&gt;0,C132-Gear!$C$2,0)</f>
        <v>0</v>
      </c>
    </row>
    <row r="133" spans="21:21" x14ac:dyDescent="0.25">
      <c r="U133" s="9">
        <f>IF(C133&lt;&gt;0,C133-Gear!$C$2,0)</f>
        <v>0</v>
      </c>
    </row>
    <row r="134" spans="21:21" x14ac:dyDescent="0.25">
      <c r="U134" s="9">
        <f>IF(C134&lt;&gt;0,C134-Gear!$C$2,0)</f>
        <v>0</v>
      </c>
    </row>
    <row r="135" spans="21:21" x14ac:dyDescent="0.25">
      <c r="U135" s="9">
        <f>IF(C135&lt;&gt;0,C135-Gear!$C$2,0)</f>
        <v>0</v>
      </c>
    </row>
    <row r="136" spans="21:21" x14ac:dyDescent="0.25">
      <c r="U136" s="9">
        <f>IF(C136&lt;&gt;0,C136-Gear!$C$2,0)</f>
        <v>0</v>
      </c>
    </row>
    <row r="137" spans="21:21" x14ac:dyDescent="0.25">
      <c r="U137" s="9">
        <f>IF(C137&lt;&gt;0,C137-Gear!$C$2,0)</f>
        <v>0</v>
      </c>
    </row>
    <row r="138" spans="21:21" x14ac:dyDescent="0.25">
      <c r="U138" s="9">
        <f>IF(C138&lt;&gt;0,C138-Gear!$C$2,0)</f>
        <v>0</v>
      </c>
    </row>
    <row r="139" spans="21:21" x14ac:dyDescent="0.25">
      <c r="U139" s="9">
        <f>IF(C139&lt;&gt;0,C139-Gear!$C$2,0)</f>
        <v>0</v>
      </c>
    </row>
    <row r="140" spans="21:21" x14ac:dyDescent="0.25">
      <c r="U140" s="9">
        <f>IF(C140&lt;&gt;0,C140-Gear!$C$2,0)</f>
        <v>0</v>
      </c>
    </row>
    <row r="141" spans="21:21" x14ac:dyDescent="0.25">
      <c r="U141" s="9">
        <f>IF(C141&lt;&gt;0,C141-Gear!$C$2,0)</f>
        <v>0</v>
      </c>
    </row>
    <row r="142" spans="21:21" x14ac:dyDescent="0.25">
      <c r="U142" s="9">
        <f>IF(C142&lt;&gt;0,C142-Gear!$C$2,0)</f>
        <v>0</v>
      </c>
    </row>
    <row r="143" spans="21:21" x14ac:dyDescent="0.25">
      <c r="U143" s="9">
        <f>IF(C143&lt;&gt;0,C143-Gear!$C$2,0)</f>
        <v>0</v>
      </c>
    </row>
    <row r="144" spans="21:21" x14ac:dyDescent="0.25">
      <c r="U144" s="9">
        <f>IF(C144&lt;&gt;0,C144-Gear!$C$2,0)</f>
        <v>0</v>
      </c>
    </row>
    <row r="145" spans="21:21" x14ac:dyDescent="0.25">
      <c r="U145" s="9">
        <f>IF(C145&lt;&gt;0,C145-Gear!$C$2,0)</f>
        <v>0</v>
      </c>
    </row>
    <row r="146" spans="21:21" x14ac:dyDescent="0.25">
      <c r="U146" s="9">
        <f>IF(C146&lt;&gt;0,C146-Gear!$C$2,0)</f>
        <v>0</v>
      </c>
    </row>
    <row r="147" spans="21:21" x14ac:dyDescent="0.25">
      <c r="U147" s="9">
        <f>IF(C147&lt;&gt;0,C147-Gear!$C$2,0)</f>
        <v>0</v>
      </c>
    </row>
    <row r="148" spans="21:21" x14ac:dyDescent="0.25">
      <c r="U148" s="9">
        <f>IF(C148&lt;&gt;0,C148-Gear!$C$2,0)</f>
        <v>0</v>
      </c>
    </row>
    <row r="149" spans="21:21" x14ac:dyDescent="0.25">
      <c r="U149" s="9">
        <f>IF(C149&lt;&gt;0,C149-Gear!$C$2,0)</f>
        <v>0</v>
      </c>
    </row>
    <row r="150" spans="21:21" x14ac:dyDescent="0.25">
      <c r="U150" s="9">
        <f>IF(C150&lt;&gt;0,C150-Gear!$C$2,0)</f>
        <v>0</v>
      </c>
    </row>
    <row r="151" spans="21:21" x14ac:dyDescent="0.25">
      <c r="U151" s="9">
        <f>IF(C151&lt;&gt;0,C151-Gear!$C$2,0)</f>
        <v>0</v>
      </c>
    </row>
    <row r="152" spans="21:21" x14ac:dyDescent="0.25">
      <c r="U152" s="9">
        <f>IF(C152&lt;&gt;0,C152-Gear!$C$2,0)</f>
        <v>0</v>
      </c>
    </row>
    <row r="153" spans="21:21" x14ac:dyDescent="0.25">
      <c r="U153" s="9">
        <f>IF(C153&lt;&gt;0,C153-Gear!$C$2,0)</f>
        <v>0</v>
      </c>
    </row>
    <row r="154" spans="21:21" x14ac:dyDescent="0.25">
      <c r="U154" s="9">
        <f>IF(C154&lt;&gt;0,C154-Gear!$C$2,0)</f>
        <v>0</v>
      </c>
    </row>
    <row r="155" spans="21:21" x14ac:dyDescent="0.25">
      <c r="U155" s="9">
        <f>IF(C155&lt;&gt;0,C155-Gear!$C$2,0)</f>
        <v>0</v>
      </c>
    </row>
    <row r="156" spans="21:21" x14ac:dyDescent="0.25">
      <c r="U156" s="9">
        <f>IF(C156&lt;&gt;0,C156-Gear!$C$2,0)</f>
        <v>0</v>
      </c>
    </row>
    <row r="157" spans="21:21" x14ac:dyDescent="0.25">
      <c r="U157" s="9">
        <f>IF(C157&lt;&gt;0,C157-Gear!$C$2,0)</f>
        <v>0</v>
      </c>
    </row>
    <row r="158" spans="21:21" x14ac:dyDescent="0.25">
      <c r="U158" s="9">
        <f>IF(C158&lt;&gt;0,C158-Gear!$C$2,0)</f>
        <v>0</v>
      </c>
    </row>
    <row r="159" spans="21:21" x14ac:dyDescent="0.25">
      <c r="U159" s="9">
        <f>IF(C159&lt;&gt;0,C159-Gear!$C$2,0)</f>
        <v>0</v>
      </c>
    </row>
    <row r="160" spans="21:21" x14ac:dyDescent="0.25">
      <c r="U160" s="9">
        <f>IF(C160&lt;&gt;0,C160-Gear!$C$2,0)</f>
        <v>0</v>
      </c>
    </row>
    <row r="161" spans="21:21" x14ac:dyDescent="0.25">
      <c r="U161" s="9">
        <f>IF(C161&lt;&gt;0,C161-Gear!$C$2,0)</f>
        <v>0</v>
      </c>
    </row>
    <row r="162" spans="21:21" x14ac:dyDescent="0.25">
      <c r="U162" s="9">
        <f>IF(C162&lt;&gt;0,C162-Gear!$C$2,0)</f>
        <v>0</v>
      </c>
    </row>
    <row r="163" spans="21:21" x14ac:dyDescent="0.25">
      <c r="U163" s="9">
        <f>IF(C163&lt;&gt;0,C163-Gear!$C$2,0)</f>
        <v>0</v>
      </c>
    </row>
    <row r="164" spans="21:21" x14ac:dyDescent="0.25">
      <c r="U164" s="9">
        <f>IF(C164&lt;&gt;0,C164-Gear!$C$2,0)</f>
        <v>0</v>
      </c>
    </row>
    <row r="165" spans="21:21" x14ac:dyDescent="0.25">
      <c r="U165" s="9">
        <f>IF(C165&lt;&gt;0,C165-Gear!$C$2,0)</f>
        <v>0</v>
      </c>
    </row>
    <row r="166" spans="21:21" x14ac:dyDescent="0.25">
      <c r="U166" s="9">
        <f>IF(C166&lt;&gt;0,C166-Gear!$C$2,0)</f>
        <v>0</v>
      </c>
    </row>
    <row r="167" spans="21:21" x14ac:dyDescent="0.25">
      <c r="U167" s="9">
        <f>IF(C167&lt;&gt;0,C167-Gear!$C$2,0)</f>
        <v>0</v>
      </c>
    </row>
    <row r="168" spans="21:21" x14ac:dyDescent="0.25">
      <c r="U168" s="9">
        <f>IF(C168&lt;&gt;0,C168-Gear!$C$2,0)</f>
        <v>0</v>
      </c>
    </row>
    <row r="169" spans="21:21" x14ac:dyDescent="0.25">
      <c r="U169" s="9">
        <f>IF(C169&lt;&gt;0,C169-Gear!$C$2,0)</f>
        <v>0</v>
      </c>
    </row>
    <row r="170" spans="21:21" x14ac:dyDescent="0.25">
      <c r="U170" s="9">
        <f>IF(C170&lt;&gt;0,C170-Gear!$C$2,0)</f>
        <v>0</v>
      </c>
    </row>
    <row r="171" spans="21:21" x14ac:dyDescent="0.25">
      <c r="U171" s="9">
        <f>IF(C171&lt;&gt;0,C171-Gear!$C$2,0)</f>
        <v>0</v>
      </c>
    </row>
    <row r="172" spans="21:21" x14ac:dyDescent="0.25">
      <c r="U172" s="9">
        <f>IF(C172&lt;&gt;0,C172-Gear!$C$2,0)</f>
        <v>0</v>
      </c>
    </row>
    <row r="173" spans="21:21" x14ac:dyDescent="0.25">
      <c r="U173" s="9">
        <f>IF(C173&lt;&gt;0,C173-Gear!$C$2,0)</f>
        <v>0</v>
      </c>
    </row>
    <row r="174" spans="21:21" x14ac:dyDescent="0.25">
      <c r="U174" s="9">
        <f>IF(C174&lt;&gt;0,C174-Gear!$C$2,0)</f>
        <v>0</v>
      </c>
    </row>
    <row r="175" spans="21:21" x14ac:dyDescent="0.25">
      <c r="U175" s="9">
        <f>IF(C175&lt;&gt;0,C175-Gear!$C$2,0)</f>
        <v>0</v>
      </c>
    </row>
    <row r="176" spans="21:21" x14ac:dyDescent="0.25">
      <c r="U176" s="9">
        <f>IF(C176&lt;&gt;0,C176-Gear!$C$2,0)</f>
        <v>0</v>
      </c>
    </row>
    <row r="177" spans="21:21" x14ac:dyDescent="0.25">
      <c r="U177" s="9">
        <f>IF(C177&lt;&gt;0,C177-Gear!$C$2,0)</f>
        <v>0</v>
      </c>
    </row>
    <row r="178" spans="21:21" x14ac:dyDescent="0.25">
      <c r="U178" s="9">
        <f>IF(C178&lt;&gt;0,C178-Gear!$C$2,0)</f>
        <v>0</v>
      </c>
    </row>
    <row r="179" spans="21:21" x14ac:dyDescent="0.25">
      <c r="U179" s="9">
        <f>IF(C179&lt;&gt;0,C179-Gear!$C$2,0)</f>
        <v>0</v>
      </c>
    </row>
    <row r="180" spans="21:21" x14ac:dyDescent="0.25">
      <c r="U180" s="9">
        <f>IF(C180&lt;&gt;0,C180-Gear!$C$2,0)</f>
        <v>0</v>
      </c>
    </row>
    <row r="181" spans="21:21" x14ac:dyDescent="0.25">
      <c r="U181" s="9">
        <f>IF(C181&lt;&gt;0,C181-Gear!$C$2,0)</f>
        <v>0</v>
      </c>
    </row>
    <row r="182" spans="21:21" x14ac:dyDescent="0.25">
      <c r="U182" s="9">
        <f>IF(C182&lt;&gt;0,C182-Gear!$C$2,0)</f>
        <v>0</v>
      </c>
    </row>
    <row r="183" spans="21:21" x14ac:dyDescent="0.25">
      <c r="U183" s="9">
        <f>IF(C183&lt;&gt;0,C183-Gear!$C$2,0)</f>
        <v>0</v>
      </c>
    </row>
    <row r="184" spans="21:21" x14ac:dyDescent="0.25">
      <c r="U184" s="9">
        <f>IF(C184&lt;&gt;0,C184-Gear!$C$2,0)</f>
        <v>0</v>
      </c>
    </row>
    <row r="185" spans="21:21" x14ac:dyDescent="0.25">
      <c r="U185" s="9">
        <f>IF(C185&lt;&gt;0,C185-Gear!$C$2,0)</f>
        <v>0</v>
      </c>
    </row>
    <row r="186" spans="21:21" x14ac:dyDescent="0.25">
      <c r="U186" s="9">
        <f>IF(C186&lt;&gt;0,C186-Gear!$C$2,0)</f>
        <v>0</v>
      </c>
    </row>
    <row r="187" spans="21:21" x14ac:dyDescent="0.25">
      <c r="U187" s="9">
        <f>IF(C187&lt;&gt;0,C187-Gear!$C$2,0)</f>
        <v>0</v>
      </c>
    </row>
    <row r="188" spans="21:21" x14ac:dyDescent="0.25">
      <c r="U188" s="9">
        <f>IF(C188&lt;&gt;0,C188-Gear!$C$2,0)</f>
        <v>0</v>
      </c>
    </row>
    <row r="189" spans="21:21" x14ac:dyDescent="0.25">
      <c r="U189" s="9">
        <f>IF(C189&lt;&gt;0,C189-Gear!$C$2,0)</f>
        <v>0</v>
      </c>
    </row>
    <row r="190" spans="21:21" x14ac:dyDescent="0.25">
      <c r="U190" s="9">
        <f>IF(C190&lt;&gt;0,C190-Gear!$C$2,0)</f>
        <v>0</v>
      </c>
    </row>
    <row r="191" spans="21:21" x14ac:dyDescent="0.25">
      <c r="U191" s="9">
        <f>IF(C191&lt;&gt;0,C191-Gear!$C$2,0)</f>
        <v>0</v>
      </c>
    </row>
    <row r="192" spans="21:21" x14ac:dyDescent="0.25">
      <c r="U192" s="9">
        <f>IF(C192&lt;&gt;0,C192-Gear!$C$2,0)</f>
        <v>0</v>
      </c>
    </row>
    <row r="193" spans="21:21" x14ac:dyDescent="0.25">
      <c r="U193" s="9">
        <f>IF(C193&lt;&gt;0,C193-Gear!$C$2,0)</f>
        <v>0</v>
      </c>
    </row>
    <row r="194" spans="21:21" x14ac:dyDescent="0.25">
      <c r="U194" s="9">
        <f>IF(C194&lt;&gt;0,C194-Gear!$C$2,0)</f>
        <v>0</v>
      </c>
    </row>
    <row r="195" spans="21:21" x14ac:dyDescent="0.25">
      <c r="U195" s="9">
        <f>IF(C195&lt;&gt;0,C195-Gear!$C$2,0)</f>
        <v>0</v>
      </c>
    </row>
    <row r="196" spans="21:21" x14ac:dyDescent="0.25">
      <c r="U196" s="9">
        <f>IF(C196&lt;&gt;0,C196-Gear!$C$2,0)</f>
        <v>0</v>
      </c>
    </row>
    <row r="197" spans="21:21" x14ac:dyDescent="0.25">
      <c r="U197" s="9">
        <f>IF(C197&lt;&gt;0,C197-Gear!$C$2,0)</f>
        <v>0</v>
      </c>
    </row>
    <row r="198" spans="21:21" x14ac:dyDescent="0.25">
      <c r="U198" s="9">
        <f>IF(C198&lt;&gt;0,C198-Gear!$C$2,0)</f>
        <v>0</v>
      </c>
    </row>
    <row r="199" spans="21:21" x14ac:dyDescent="0.25">
      <c r="U199" s="9">
        <f>IF(C199&lt;&gt;0,C199-Gear!$C$2,0)</f>
        <v>0</v>
      </c>
    </row>
    <row r="200" spans="21:21" x14ac:dyDescent="0.25">
      <c r="U200" s="9">
        <f>IF(C200&lt;&gt;0,C200-Gear!$C$2,0)</f>
        <v>0</v>
      </c>
    </row>
    <row r="201" spans="21:21" x14ac:dyDescent="0.25">
      <c r="U201" s="9">
        <f>IF(C201&lt;&gt;0,C201-Gear!$C$2,0)</f>
        <v>0</v>
      </c>
    </row>
    <row r="202" spans="21:21" x14ac:dyDescent="0.25">
      <c r="U202" s="9">
        <f>IF(C202&lt;&gt;0,C202-Gear!$C$2,0)</f>
        <v>0</v>
      </c>
    </row>
    <row r="203" spans="21:21" x14ac:dyDescent="0.25">
      <c r="U203" s="9">
        <f>IF(C203&lt;&gt;0,C203-Gear!$C$2,0)</f>
        <v>0</v>
      </c>
    </row>
    <row r="204" spans="21:21" x14ac:dyDescent="0.25">
      <c r="U204" s="9">
        <f>IF(C204&lt;&gt;0,C204-Gear!$C$2,0)</f>
        <v>0</v>
      </c>
    </row>
    <row r="205" spans="21:21" x14ac:dyDescent="0.25">
      <c r="U205" s="9">
        <f>IF(C205&lt;&gt;0,C205-Gear!$C$2,0)</f>
        <v>0</v>
      </c>
    </row>
    <row r="206" spans="21:21" x14ac:dyDescent="0.25">
      <c r="U206" s="9">
        <f>IF(C206&lt;&gt;0,C206-Gear!$C$2,0)</f>
        <v>0</v>
      </c>
    </row>
    <row r="207" spans="21:21" x14ac:dyDescent="0.25">
      <c r="U207" s="9">
        <f>IF(C207&lt;&gt;0,C207-Gear!$C$2,0)</f>
        <v>0</v>
      </c>
    </row>
    <row r="208" spans="21:21" x14ac:dyDescent="0.25">
      <c r="U208" s="9">
        <f>IF(C208&lt;&gt;0,C208-Gear!$C$2,0)</f>
        <v>0</v>
      </c>
    </row>
    <row r="209" spans="21:21" x14ac:dyDescent="0.25">
      <c r="U209" s="9">
        <f>IF(C209&lt;&gt;0,C209-Gear!$C$2,0)</f>
        <v>0</v>
      </c>
    </row>
    <row r="210" spans="21:21" x14ac:dyDescent="0.25">
      <c r="U210" s="9">
        <f>IF(C210&lt;&gt;0,C210-Gear!$C$2,0)</f>
        <v>0</v>
      </c>
    </row>
    <row r="211" spans="21:21" x14ac:dyDescent="0.25">
      <c r="U211" s="9">
        <f>IF(C211&lt;&gt;0,C211-Gear!$C$2,0)</f>
        <v>0</v>
      </c>
    </row>
    <row r="212" spans="21:21" x14ac:dyDescent="0.25">
      <c r="U212" s="9">
        <f>IF(C212&lt;&gt;0,C212-Gear!$C$2,0)</f>
        <v>0</v>
      </c>
    </row>
    <row r="213" spans="21:21" x14ac:dyDescent="0.25">
      <c r="U213" s="9">
        <f>IF(C213&lt;&gt;0,C213-Gear!$C$2,0)</f>
        <v>0</v>
      </c>
    </row>
    <row r="214" spans="21:21" x14ac:dyDescent="0.25">
      <c r="U214" s="9">
        <f>IF(C214&lt;&gt;0,C214-Gear!$C$2,0)</f>
        <v>0</v>
      </c>
    </row>
    <row r="215" spans="21:21" x14ac:dyDescent="0.25">
      <c r="U215" s="9">
        <f>IF(C215&lt;&gt;0,C215-Gear!$C$2,0)</f>
        <v>0</v>
      </c>
    </row>
    <row r="216" spans="21:21" x14ac:dyDescent="0.25">
      <c r="U216" s="9">
        <f>IF(C216&lt;&gt;0,C216-Gear!$C$2,0)</f>
        <v>0</v>
      </c>
    </row>
    <row r="217" spans="21:21" x14ac:dyDescent="0.25">
      <c r="U217" s="9">
        <f>IF(C217&lt;&gt;0,C217-Gear!$C$2,0)</f>
        <v>0</v>
      </c>
    </row>
    <row r="218" spans="21:21" x14ac:dyDescent="0.25">
      <c r="U218" s="9">
        <f>IF(C218&lt;&gt;0,C218-Gear!$C$2,0)</f>
        <v>0</v>
      </c>
    </row>
    <row r="219" spans="21:21" x14ac:dyDescent="0.25">
      <c r="U219" s="9">
        <f>IF(C219&lt;&gt;0,C219-Gear!$C$2,0)</f>
        <v>0</v>
      </c>
    </row>
    <row r="220" spans="21:21" x14ac:dyDescent="0.25">
      <c r="U220" s="9">
        <f>IF(C220&lt;&gt;0,C220-Gear!$C$2,0)</f>
        <v>0</v>
      </c>
    </row>
    <row r="221" spans="21:21" x14ac:dyDescent="0.25">
      <c r="U221" s="9">
        <f>IF(C221&lt;&gt;0,C221-Gear!$C$2,0)</f>
        <v>0</v>
      </c>
    </row>
    <row r="222" spans="21:21" x14ac:dyDescent="0.25">
      <c r="U222" s="9">
        <f>IF(C222&lt;&gt;0,C222-Gear!$C$2,0)</f>
        <v>0</v>
      </c>
    </row>
    <row r="223" spans="21:21" x14ac:dyDescent="0.25">
      <c r="U223" s="9">
        <f>IF(C223&lt;&gt;0,C223-Gear!$C$2,0)</f>
        <v>0</v>
      </c>
    </row>
    <row r="224" spans="21:21" x14ac:dyDescent="0.25">
      <c r="U224" s="9">
        <f>IF(C224&lt;&gt;0,C224-Gear!$C$2,0)</f>
        <v>0</v>
      </c>
    </row>
    <row r="225" spans="21:21" x14ac:dyDescent="0.25">
      <c r="U225" s="9">
        <f>IF(C225&lt;&gt;0,C225-Gear!$C$2,0)</f>
        <v>0</v>
      </c>
    </row>
    <row r="226" spans="21:21" x14ac:dyDescent="0.25">
      <c r="U226" s="9">
        <f>IF(C226&lt;&gt;0,C226-Gear!$C$2,0)</f>
        <v>0</v>
      </c>
    </row>
    <row r="227" spans="21:21" x14ac:dyDescent="0.25">
      <c r="U227" s="9">
        <f>IF(C227&lt;&gt;0,C227-Gear!$C$2,0)</f>
        <v>0</v>
      </c>
    </row>
    <row r="228" spans="21:21" x14ac:dyDescent="0.25">
      <c r="U228" s="9">
        <f>IF(C228&lt;&gt;0,C228-Gear!$C$2,0)</f>
        <v>0</v>
      </c>
    </row>
    <row r="229" spans="21:21" x14ac:dyDescent="0.25">
      <c r="U229" s="9">
        <f>IF(C229&lt;&gt;0,C229-Gear!$C$2,0)</f>
        <v>0</v>
      </c>
    </row>
    <row r="230" spans="21:21" x14ac:dyDescent="0.25">
      <c r="U230" s="9">
        <f>IF(C230&lt;&gt;0,C230-Gear!$C$2,0)</f>
        <v>0</v>
      </c>
    </row>
    <row r="231" spans="21:21" x14ac:dyDescent="0.25">
      <c r="U231" s="9">
        <f>IF(C231&lt;&gt;0,C231-Gear!$C$2,0)</f>
        <v>0</v>
      </c>
    </row>
    <row r="232" spans="21:21" x14ac:dyDescent="0.25">
      <c r="U232" s="9">
        <f>IF(C232&lt;&gt;0,C232-Gear!$C$2,0)</f>
        <v>0</v>
      </c>
    </row>
    <row r="233" spans="21:21" x14ac:dyDescent="0.25">
      <c r="U233" s="9">
        <f>IF(C233&lt;&gt;0,C233-Gear!$C$2,0)</f>
        <v>0</v>
      </c>
    </row>
    <row r="234" spans="21:21" x14ac:dyDescent="0.25">
      <c r="U234" s="9">
        <f>IF(C234&lt;&gt;0,C234-Gear!$C$2,0)</f>
        <v>0</v>
      </c>
    </row>
    <row r="235" spans="21:21" x14ac:dyDescent="0.25">
      <c r="U235" s="9">
        <f>IF(C235&lt;&gt;0,C235-Gear!$C$2,0)</f>
        <v>0</v>
      </c>
    </row>
    <row r="236" spans="21:21" x14ac:dyDescent="0.25">
      <c r="U236" s="9">
        <f>IF(C236&lt;&gt;0,C236-Gear!$C$2,0)</f>
        <v>0</v>
      </c>
    </row>
    <row r="237" spans="21:21" x14ac:dyDescent="0.25">
      <c r="U237" s="9">
        <f>IF(C237&lt;&gt;0,C237-Gear!$C$2,0)</f>
        <v>0</v>
      </c>
    </row>
    <row r="238" spans="21:21" x14ac:dyDescent="0.25">
      <c r="U238" s="9">
        <f>IF(C238&lt;&gt;0,C238-Gear!$C$2,0)</f>
        <v>0</v>
      </c>
    </row>
    <row r="239" spans="21:21" x14ac:dyDescent="0.25">
      <c r="U239" s="9">
        <f>IF(C239&lt;&gt;0,C239-Gear!$C$2,0)</f>
        <v>0</v>
      </c>
    </row>
    <row r="240" spans="21:21" x14ac:dyDescent="0.25">
      <c r="U240" s="9">
        <f>IF(C240&lt;&gt;0,C240-Gear!$C$2,0)</f>
        <v>0</v>
      </c>
    </row>
    <row r="241" spans="21:21" x14ac:dyDescent="0.25">
      <c r="U241" s="9">
        <f>IF(C241&lt;&gt;0,C241-Gear!$C$2,0)</f>
        <v>0</v>
      </c>
    </row>
    <row r="242" spans="21:21" x14ac:dyDescent="0.25">
      <c r="U242" s="9">
        <f>IF(C242&lt;&gt;0,C242-Gear!$C$2,0)</f>
        <v>0</v>
      </c>
    </row>
    <row r="243" spans="21:21" x14ac:dyDescent="0.25">
      <c r="U243" s="9">
        <f>IF(C243&lt;&gt;0,C243-Gear!$C$2,0)</f>
        <v>0</v>
      </c>
    </row>
    <row r="244" spans="21:21" x14ac:dyDescent="0.25">
      <c r="U244" s="9">
        <f>IF(C244&lt;&gt;0,C244-Gear!$C$2,0)</f>
        <v>0</v>
      </c>
    </row>
    <row r="245" spans="21:21" x14ac:dyDescent="0.25">
      <c r="U245" s="9">
        <f>IF(C245&lt;&gt;0,C245-Gear!$C$2,0)</f>
        <v>0</v>
      </c>
    </row>
    <row r="246" spans="21:21" x14ac:dyDescent="0.25">
      <c r="U246" s="9">
        <f>IF(C246&lt;&gt;0,C246-Gear!$C$2,0)</f>
        <v>0</v>
      </c>
    </row>
    <row r="247" spans="21:21" x14ac:dyDescent="0.25">
      <c r="U247" s="9">
        <f>IF(C247&lt;&gt;0,C247-Gear!$C$2,0)</f>
        <v>0</v>
      </c>
    </row>
    <row r="248" spans="21:21" x14ac:dyDescent="0.25">
      <c r="U248" s="9">
        <f>IF(C248&lt;&gt;0,C248-Gear!$C$2,0)</f>
        <v>0</v>
      </c>
    </row>
    <row r="249" spans="21:21" x14ac:dyDescent="0.25">
      <c r="U249" s="9">
        <f>IF(C249&lt;&gt;0,C249-Gear!$C$2,0)</f>
        <v>0</v>
      </c>
    </row>
    <row r="250" spans="21:21" x14ac:dyDescent="0.25">
      <c r="U250" s="9">
        <f>IF(C250&lt;&gt;0,C250-Gear!$C$2,0)</f>
        <v>0</v>
      </c>
    </row>
    <row r="251" spans="21:21" x14ac:dyDescent="0.25">
      <c r="U251" s="9">
        <f>IF(C251&lt;&gt;0,C251-Gear!$C$2,0)</f>
        <v>0</v>
      </c>
    </row>
    <row r="252" spans="21:21" x14ac:dyDescent="0.25">
      <c r="U252" s="9">
        <f>IF(C252&lt;&gt;0,C252-Gear!$C$2,0)</f>
        <v>0</v>
      </c>
    </row>
    <row r="253" spans="21:21" x14ac:dyDescent="0.25">
      <c r="U253" s="9">
        <f>IF(C253&lt;&gt;0,C253-Gear!$C$2,0)</f>
        <v>0</v>
      </c>
    </row>
    <row r="254" spans="21:21" x14ac:dyDescent="0.25">
      <c r="U254" s="9">
        <f>IF(C254&lt;&gt;0,C254-Gear!$C$2,0)</f>
        <v>0</v>
      </c>
    </row>
    <row r="255" spans="21:21" x14ac:dyDescent="0.25">
      <c r="U255" s="9">
        <f>IF(C255&lt;&gt;0,C255-Gear!$C$2,0)</f>
        <v>0</v>
      </c>
    </row>
    <row r="256" spans="21:21" x14ac:dyDescent="0.25">
      <c r="U256" s="9">
        <f>IF(C256&lt;&gt;0,C256-Gear!$C$2,0)</f>
        <v>0</v>
      </c>
    </row>
    <row r="257" spans="21:21" x14ac:dyDescent="0.25">
      <c r="U257" s="9">
        <f>IF(C257&lt;&gt;0,C257-Gear!$C$2,0)</f>
        <v>0</v>
      </c>
    </row>
    <row r="258" spans="21:21" x14ac:dyDescent="0.25">
      <c r="U258" s="9">
        <f>IF(C258&lt;&gt;0,C258-Gear!$C$2,0)</f>
        <v>0</v>
      </c>
    </row>
    <row r="259" spans="21:21" x14ac:dyDescent="0.25">
      <c r="U259" s="9">
        <f>IF(C259&lt;&gt;0,C259-Gear!$C$2,0)</f>
        <v>0</v>
      </c>
    </row>
    <row r="260" spans="21:21" x14ac:dyDescent="0.25">
      <c r="U260" s="9">
        <f>IF(C260&lt;&gt;0,C260-Gear!$C$2,0)</f>
        <v>0</v>
      </c>
    </row>
    <row r="261" spans="21:21" x14ac:dyDescent="0.25">
      <c r="U261" s="9">
        <f>IF(C261&lt;&gt;0,C261-Gear!$C$2,0)</f>
        <v>0</v>
      </c>
    </row>
    <row r="262" spans="21:21" x14ac:dyDescent="0.25">
      <c r="U262" s="9">
        <f>IF(C262&lt;&gt;0,C262-Gear!$C$2,0)</f>
        <v>0</v>
      </c>
    </row>
    <row r="263" spans="21:21" x14ac:dyDescent="0.25">
      <c r="U263" s="9">
        <f>IF(C263&lt;&gt;0,C263-Gear!$C$2,0)</f>
        <v>0</v>
      </c>
    </row>
    <row r="264" spans="21:21" x14ac:dyDescent="0.25">
      <c r="U264" s="9">
        <f>IF(C264&lt;&gt;0,C264-Gear!$C$2,0)</f>
        <v>0</v>
      </c>
    </row>
    <row r="265" spans="21:21" x14ac:dyDescent="0.25">
      <c r="U265" s="9">
        <f>IF(C265&lt;&gt;0,C265-Gear!$C$2,0)</f>
        <v>0</v>
      </c>
    </row>
    <row r="266" spans="21:21" x14ac:dyDescent="0.25">
      <c r="U266" s="9">
        <f>IF(C266&lt;&gt;0,C266-Gear!$C$2,0)</f>
        <v>0</v>
      </c>
    </row>
    <row r="267" spans="21:21" x14ac:dyDescent="0.25">
      <c r="U267" s="9">
        <f>IF(C267&lt;&gt;0,C267-Gear!$C$2,0)</f>
        <v>0</v>
      </c>
    </row>
    <row r="268" spans="21:21" x14ac:dyDescent="0.25">
      <c r="U268" s="9">
        <f>IF(C268&lt;&gt;0,C268-Gear!$C$2,0)</f>
        <v>0</v>
      </c>
    </row>
    <row r="269" spans="21:21" x14ac:dyDescent="0.25">
      <c r="U269" s="9">
        <f>IF(C269&lt;&gt;0,C269-Gear!$C$2,0)</f>
        <v>0</v>
      </c>
    </row>
    <row r="270" spans="21:21" x14ac:dyDescent="0.25">
      <c r="U270" s="9">
        <f>IF(C270&lt;&gt;0,C270-Gear!$C$2,0)</f>
        <v>0</v>
      </c>
    </row>
    <row r="271" spans="21:21" x14ac:dyDescent="0.25">
      <c r="U271" s="9">
        <f>IF(C271&lt;&gt;0,C271-Gear!$C$2,0)</f>
        <v>0</v>
      </c>
    </row>
    <row r="272" spans="21:21" x14ac:dyDescent="0.25">
      <c r="U272" s="9">
        <f>IF(C272&lt;&gt;0,C272-Gear!$C$2,0)</f>
        <v>0</v>
      </c>
    </row>
    <row r="273" spans="21:21" x14ac:dyDescent="0.25">
      <c r="U273" s="9">
        <f>IF(C273&lt;&gt;0,C273-Gear!$C$2,0)</f>
        <v>0</v>
      </c>
    </row>
    <row r="274" spans="21:21" x14ac:dyDescent="0.25">
      <c r="U274" s="9">
        <f>IF(C274&lt;&gt;0,C274-Gear!$C$2,0)</f>
        <v>0</v>
      </c>
    </row>
    <row r="275" spans="21:21" x14ac:dyDescent="0.25">
      <c r="U275" s="9">
        <f>IF(C275&lt;&gt;0,C275-Gear!$C$2,0)</f>
        <v>0</v>
      </c>
    </row>
    <row r="276" spans="21:21" x14ac:dyDescent="0.25">
      <c r="U276" s="9">
        <f>IF(C276&lt;&gt;0,C276-Gear!$C$2,0)</f>
        <v>0</v>
      </c>
    </row>
    <row r="277" spans="21:21" x14ac:dyDescent="0.25">
      <c r="U277" s="9">
        <f>IF(C277&lt;&gt;0,C277-Gear!$C$2,0)</f>
        <v>0</v>
      </c>
    </row>
    <row r="278" spans="21:21" x14ac:dyDescent="0.25">
      <c r="U278" s="9">
        <f>IF(C278&lt;&gt;0,C278-Gear!$C$2,0)</f>
        <v>0</v>
      </c>
    </row>
    <row r="279" spans="21:21" x14ac:dyDescent="0.25">
      <c r="U279" s="9">
        <f>IF(C279&lt;&gt;0,C279-Gear!$C$2,0)</f>
        <v>0</v>
      </c>
    </row>
    <row r="280" spans="21:21" x14ac:dyDescent="0.25">
      <c r="U280" s="9">
        <f>IF(C280&lt;&gt;0,C280-Gear!$C$2,0)</f>
        <v>0</v>
      </c>
    </row>
    <row r="281" spans="21:21" x14ac:dyDescent="0.25">
      <c r="U281" s="9">
        <f>IF(C281&lt;&gt;0,C281-Gear!$C$2,0)</f>
        <v>0</v>
      </c>
    </row>
    <row r="282" spans="21:21" x14ac:dyDescent="0.25">
      <c r="U282" s="9">
        <f>IF(C282&lt;&gt;0,C282-Gear!$C$2,0)</f>
        <v>0</v>
      </c>
    </row>
    <row r="283" spans="21:21" x14ac:dyDescent="0.25">
      <c r="U283" s="9">
        <f>IF(C283&lt;&gt;0,C283-Gear!$C$2,0)</f>
        <v>0</v>
      </c>
    </row>
    <row r="284" spans="21:21" x14ac:dyDescent="0.25">
      <c r="U284" s="9">
        <f>IF(C284&lt;&gt;0,C284-Gear!$C$2,0)</f>
        <v>0</v>
      </c>
    </row>
    <row r="285" spans="21:21" x14ac:dyDescent="0.25">
      <c r="U285" s="9">
        <f>IF(C285&lt;&gt;0,C285-Gear!$C$2,0)</f>
        <v>0</v>
      </c>
    </row>
    <row r="286" spans="21:21" x14ac:dyDescent="0.25">
      <c r="U286" s="9">
        <f>IF(C286&lt;&gt;0,C286-Gear!$C$2,0)</f>
        <v>0</v>
      </c>
    </row>
    <row r="287" spans="21:21" x14ac:dyDescent="0.25">
      <c r="U287" s="9">
        <f>IF(C287&lt;&gt;0,C287-Gear!$C$2,0)</f>
        <v>0</v>
      </c>
    </row>
    <row r="288" spans="21:21" x14ac:dyDescent="0.25">
      <c r="U288" s="9">
        <f>IF(C288&lt;&gt;0,C288-Gear!$C$2,0)</f>
        <v>0</v>
      </c>
    </row>
    <row r="289" spans="21:21" x14ac:dyDescent="0.25">
      <c r="U289" s="9">
        <f>IF(C289&lt;&gt;0,C289-Gear!$C$2,0)</f>
        <v>0</v>
      </c>
    </row>
    <row r="290" spans="21:21" x14ac:dyDescent="0.25">
      <c r="U290" s="9">
        <f>IF(C290&lt;&gt;0,C290-Gear!$C$2,0)</f>
        <v>0</v>
      </c>
    </row>
    <row r="291" spans="21:21" x14ac:dyDescent="0.25">
      <c r="U291" s="9">
        <f>IF(C291&lt;&gt;0,C291-Gear!$C$2,0)</f>
        <v>0</v>
      </c>
    </row>
    <row r="292" spans="21:21" x14ac:dyDescent="0.25">
      <c r="U292" s="9">
        <f>IF(C292&lt;&gt;0,C292-Gear!$C$2,0)</f>
        <v>0</v>
      </c>
    </row>
    <row r="293" spans="21:21" x14ac:dyDescent="0.25">
      <c r="U293" s="9">
        <f>IF(C293&lt;&gt;0,C293-Gear!$C$2,0)</f>
        <v>0</v>
      </c>
    </row>
    <row r="294" spans="21:21" x14ac:dyDescent="0.25">
      <c r="U294" s="9">
        <f>IF(C294&lt;&gt;0,C294-Gear!$C$2,0)</f>
        <v>0</v>
      </c>
    </row>
    <row r="295" spans="21:21" x14ac:dyDescent="0.25">
      <c r="U295" s="9">
        <f>IF(C295&lt;&gt;0,C295-Gear!$C$2,0)</f>
        <v>0</v>
      </c>
    </row>
    <row r="296" spans="21:21" x14ac:dyDescent="0.25">
      <c r="U296" s="9">
        <f>IF(C296&lt;&gt;0,C296-Gear!$C$2,0)</f>
        <v>0</v>
      </c>
    </row>
    <row r="297" spans="21:21" x14ac:dyDescent="0.25">
      <c r="U297" s="9">
        <f>IF(C297&lt;&gt;0,C297-Gear!$C$2,0)</f>
        <v>0</v>
      </c>
    </row>
    <row r="298" spans="21:21" x14ac:dyDescent="0.25">
      <c r="U298" s="9">
        <f>IF(C298&lt;&gt;0,C298-Gear!$C$2,0)</f>
        <v>0</v>
      </c>
    </row>
    <row r="299" spans="21:21" x14ac:dyDescent="0.25">
      <c r="U299" s="9">
        <f>IF(C299&lt;&gt;0,C299-Gear!$C$2,0)</f>
        <v>0</v>
      </c>
    </row>
    <row r="300" spans="21:21" x14ac:dyDescent="0.25">
      <c r="U300" s="9">
        <f>IF(C300&lt;&gt;0,C300-Gear!$C$2,0)</f>
        <v>0</v>
      </c>
    </row>
    <row r="301" spans="21:21" x14ac:dyDescent="0.25">
      <c r="U301" s="9">
        <f>IF(C301&lt;&gt;0,C301-Gear!$C$2,0)</f>
        <v>0</v>
      </c>
    </row>
    <row r="302" spans="21:21" x14ac:dyDescent="0.25">
      <c r="U302" s="9">
        <f>IF(C302&lt;&gt;0,C302-Gear!$C$2,0)</f>
        <v>0</v>
      </c>
    </row>
    <row r="303" spans="21:21" x14ac:dyDescent="0.25">
      <c r="U303" s="9">
        <f>IF(C303&lt;&gt;0,C303-Gear!$C$2,0)</f>
        <v>0</v>
      </c>
    </row>
    <row r="304" spans="21:21" x14ac:dyDescent="0.25">
      <c r="U304" s="9">
        <f>IF(C304&lt;&gt;0,C304-Gear!$C$2,0)</f>
        <v>0</v>
      </c>
    </row>
    <row r="305" spans="21:21" x14ac:dyDescent="0.25">
      <c r="U305" s="9">
        <f>IF(C305&lt;&gt;0,C305-Gear!$C$2,0)</f>
        <v>0</v>
      </c>
    </row>
    <row r="306" spans="21:21" x14ac:dyDescent="0.25">
      <c r="U306" s="9">
        <f>IF(C306&lt;&gt;0,C306-Gear!$C$2,0)</f>
        <v>0</v>
      </c>
    </row>
    <row r="307" spans="21:21" x14ac:dyDescent="0.25">
      <c r="U307" s="9">
        <f>IF(C307&lt;&gt;0,C307-Gear!$C$2,0)</f>
        <v>0</v>
      </c>
    </row>
    <row r="308" spans="21:21" x14ac:dyDescent="0.25">
      <c r="U308" s="9">
        <f>IF(C308&lt;&gt;0,C308-Gear!$C$2,0)</f>
        <v>0</v>
      </c>
    </row>
    <row r="309" spans="21:21" x14ac:dyDescent="0.25">
      <c r="U309" s="9">
        <f>IF(C309&lt;&gt;0,C309-Gear!$C$2,0)</f>
        <v>0</v>
      </c>
    </row>
    <row r="310" spans="21:21" x14ac:dyDescent="0.25">
      <c r="U310" s="9">
        <f>IF(C310&lt;&gt;0,C310-Gear!$C$2,0)</f>
        <v>0</v>
      </c>
    </row>
    <row r="311" spans="21:21" x14ac:dyDescent="0.25">
      <c r="U311" s="9">
        <f>IF(C311&lt;&gt;0,C311-Gear!$C$2,0)</f>
        <v>0</v>
      </c>
    </row>
    <row r="312" spans="21:21" x14ac:dyDescent="0.25">
      <c r="U312" s="9">
        <f>IF(C312&lt;&gt;0,C312-Gear!$C$2,0)</f>
        <v>0</v>
      </c>
    </row>
    <row r="313" spans="21:21" x14ac:dyDescent="0.25">
      <c r="U313" s="9">
        <f>IF(C313&lt;&gt;0,C313-Gear!$C$2,0)</f>
        <v>0</v>
      </c>
    </row>
    <row r="314" spans="21:21" x14ac:dyDescent="0.25">
      <c r="U314" s="9">
        <f>IF(C314&lt;&gt;0,C314-Gear!$C$2,0)</f>
        <v>0</v>
      </c>
    </row>
    <row r="315" spans="21:21" x14ac:dyDescent="0.25">
      <c r="U315" s="9">
        <f>IF(C315&lt;&gt;0,C315-Gear!$C$2,0)</f>
        <v>0</v>
      </c>
    </row>
    <row r="316" spans="21:21" x14ac:dyDescent="0.25">
      <c r="U316" s="9">
        <f>IF(C316&lt;&gt;0,C316-Gear!$C$2,0)</f>
        <v>0</v>
      </c>
    </row>
    <row r="317" spans="21:21" x14ac:dyDescent="0.25">
      <c r="U317" s="9">
        <f>IF(C317&lt;&gt;0,C317-Gear!$C$2,0)</f>
        <v>0</v>
      </c>
    </row>
    <row r="318" spans="21:21" x14ac:dyDescent="0.25">
      <c r="U318" s="9">
        <f>IF(C318&lt;&gt;0,C318-Gear!$C$2,0)</f>
        <v>0</v>
      </c>
    </row>
    <row r="319" spans="21:21" x14ac:dyDescent="0.25">
      <c r="U319" s="9">
        <f>IF(C319&lt;&gt;0,C319-Gear!$C$2,0)</f>
        <v>0</v>
      </c>
    </row>
    <row r="320" spans="21:21" x14ac:dyDescent="0.25">
      <c r="U320" s="9">
        <f>IF(C320&lt;&gt;0,C320-Gear!$C$2,0)</f>
        <v>0</v>
      </c>
    </row>
    <row r="321" spans="21:21" x14ac:dyDescent="0.25">
      <c r="U321" s="9">
        <f>IF(C321&lt;&gt;0,C321-Gear!$C$2,0)</f>
        <v>0</v>
      </c>
    </row>
    <row r="322" spans="21:21" x14ac:dyDescent="0.25">
      <c r="U322" s="9">
        <f>IF(C322&lt;&gt;0,C322-Gear!$C$2,0)</f>
        <v>0</v>
      </c>
    </row>
    <row r="323" spans="21:21" x14ac:dyDescent="0.25">
      <c r="U323" s="9">
        <f>IF(C323&lt;&gt;0,C323-Gear!$C$2,0)</f>
        <v>0</v>
      </c>
    </row>
    <row r="324" spans="21:21" x14ac:dyDescent="0.25">
      <c r="U324" s="9">
        <f>IF(C324&lt;&gt;0,C324-Gear!$C$2,0)</f>
        <v>0</v>
      </c>
    </row>
    <row r="325" spans="21:21" x14ac:dyDescent="0.25">
      <c r="U325" s="9">
        <f>IF(C325&lt;&gt;0,C325-Gear!$C$2,0)</f>
        <v>0</v>
      </c>
    </row>
    <row r="326" spans="21:21" x14ac:dyDescent="0.25">
      <c r="U326" s="9">
        <f>IF(C326&lt;&gt;0,C326-Gear!$C$2,0)</f>
        <v>0</v>
      </c>
    </row>
    <row r="327" spans="21:21" x14ac:dyDescent="0.25">
      <c r="U327" s="9">
        <f>IF(C327&lt;&gt;0,C327-Gear!$C$2,0)</f>
        <v>0</v>
      </c>
    </row>
    <row r="328" spans="21:21" x14ac:dyDescent="0.25">
      <c r="U328" s="9">
        <f>IF(C328&lt;&gt;0,C328-Gear!$C$2,0)</f>
        <v>0</v>
      </c>
    </row>
    <row r="329" spans="21:21" x14ac:dyDescent="0.25">
      <c r="U329" s="9">
        <f>IF(C329&lt;&gt;0,C329-Gear!$C$2,0)</f>
        <v>0</v>
      </c>
    </row>
    <row r="330" spans="21:21" x14ac:dyDescent="0.25">
      <c r="U330" s="9">
        <f>IF(C330&lt;&gt;0,C330-Gear!$C$2,0)</f>
        <v>0</v>
      </c>
    </row>
    <row r="331" spans="21:21" x14ac:dyDescent="0.25">
      <c r="U331" s="9">
        <f>IF(C331&lt;&gt;0,C331-Gear!$C$2,0)</f>
        <v>0</v>
      </c>
    </row>
    <row r="332" spans="21:21" x14ac:dyDescent="0.25">
      <c r="U332" s="9">
        <f>IF(C332&lt;&gt;0,C332-Gear!$C$2,0)</f>
        <v>0</v>
      </c>
    </row>
    <row r="333" spans="21:21" x14ac:dyDescent="0.25">
      <c r="U333" s="9">
        <f>IF(C333&lt;&gt;0,C333-Gear!$C$2,0)</f>
        <v>0</v>
      </c>
    </row>
    <row r="334" spans="21:21" x14ac:dyDescent="0.25">
      <c r="U334" s="9">
        <f>IF(C334&lt;&gt;0,C334-Gear!$C$2,0)</f>
        <v>0</v>
      </c>
    </row>
    <row r="335" spans="21:21" x14ac:dyDescent="0.25">
      <c r="U335" s="9">
        <f>IF(C335&lt;&gt;0,C335-Gear!$C$2,0)</f>
        <v>0</v>
      </c>
    </row>
    <row r="336" spans="21:21" x14ac:dyDescent="0.25">
      <c r="U336" s="9">
        <f>IF(C336&lt;&gt;0,C336-Gear!$C$2,0)</f>
        <v>0</v>
      </c>
    </row>
    <row r="337" spans="21:21" x14ac:dyDescent="0.25">
      <c r="U337" s="9">
        <f>IF(C337&lt;&gt;0,C337-Gear!$C$2,0)</f>
        <v>0</v>
      </c>
    </row>
    <row r="338" spans="21:21" x14ac:dyDescent="0.25">
      <c r="U338" s="9">
        <f>IF(C338&lt;&gt;0,C338-Gear!$C$2,0)</f>
        <v>0</v>
      </c>
    </row>
    <row r="339" spans="21:21" x14ac:dyDescent="0.25">
      <c r="U339" s="9">
        <f>IF(C339&lt;&gt;0,C339-Gear!$C$2,0)</f>
        <v>0</v>
      </c>
    </row>
    <row r="340" spans="21:21" x14ac:dyDescent="0.25">
      <c r="U340" s="9">
        <f>IF(C340&lt;&gt;0,C340-Gear!$C$2,0)</f>
        <v>0</v>
      </c>
    </row>
    <row r="341" spans="21:21" x14ac:dyDescent="0.25">
      <c r="U341" s="9">
        <f>IF(C341&lt;&gt;0,C341-Gear!$C$2,0)</f>
        <v>0</v>
      </c>
    </row>
    <row r="342" spans="21:21" x14ac:dyDescent="0.25">
      <c r="U342" s="9">
        <f>IF(C342&lt;&gt;0,C342-Gear!$C$2,0)</f>
        <v>0</v>
      </c>
    </row>
    <row r="343" spans="21:21" x14ac:dyDescent="0.25">
      <c r="U343" s="9">
        <f>IF(C343&lt;&gt;0,C343-Gear!$C$2,0)</f>
        <v>0</v>
      </c>
    </row>
    <row r="344" spans="21:21" x14ac:dyDescent="0.25">
      <c r="U344" s="9">
        <f>IF(C344&lt;&gt;0,C344-Gear!$C$2,0)</f>
        <v>0</v>
      </c>
    </row>
    <row r="345" spans="21:21" x14ac:dyDescent="0.25">
      <c r="U345" s="9">
        <f>IF(C345&lt;&gt;0,C345-Gear!$C$2,0)</f>
        <v>0</v>
      </c>
    </row>
    <row r="346" spans="21:21" x14ac:dyDescent="0.25">
      <c r="U346" s="9">
        <f>IF(C346&lt;&gt;0,C346-Gear!$C$2,0)</f>
        <v>0</v>
      </c>
    </row>
    <row r="347" spans="21:21" x14ac:dyDescent="0.25">
      <c r="U347" s="9">
        <f>IF(C347&lt;&gt;0,C347-Gear!$C$2,0)</f>
        <v>0</v>
      </c>
    </row>
    <row r="348" spans="21:21" x14ac:dyDescent="0.25">
      <c r="U348" s="9">
        <f>IF(C348&lt;&gt;0,C348-Gear!$C$2,0)</f>
        <v>0</v>
      </c>
    </row>
    <row r="349" spans="21:21" x14ac:dyDescent="0.25">
      <c r="U349" s="9">
        <f>IF(C349&lt;&gt;0,C349-Gear!$C$2,0)</f>
        <v>0</v>
      </c>
    </row>
    <row r="350" spans="21:21" x14ac:dyDescent="0.25">
      <c r="U350" s="9">
        <f>IF(C350&lt;&gt;0,C350-Gear!$C$2,0)</f>
        <v>0</v>
      </c>
    </row>
    <row r="351" spans="21:21" x14ac:dyDescent="0.25">
      <c r="U351" s="9">
        <f>IF(C351&lt;&gt;0,C351-Gear!$C$2,0)</f>
        <v>0</v>
      </c>
    </row>
    <row r="352" spans="21:21" x14ac:dyDescent="0.25">
      <c r="U352" s="9">
        <f>IF(C352&lt;&gt;0,C352-Gear!$C$2,0)</f>
        <v>0</v>
      </c>
    </row>
    <row r="353" spans="21:21" x14ac:dyDescent="0.25">
      <c r="U353" s="9">
        <f>IF(C353&lt;&gt;0,C353-Gear!$C$2,0)</f>
        <v>0</v>
      </c>
    </row>
    <row r="354" spans="21:21" x14ac:dyDescent="0.25">
      <c r="U354" s="9">
        <f>IF(C354&lt;&gt;0,C354-Gear!$C$2,0)</f>
        <v>0</v>
      </c>
    </row>
    <row r="355" spans="21:21" x14ac:dyDescent="0.25">
      <c r="U355" s="9">
        <f>IF(C355&lt;&gt;0,C355-Gear!$C$2,0)</f>
        <v>0</v>
      </c>
    </row>
    <row r="356" spans="21:21" x14ac:dyDescent="0.25">
      <c r="U356" s="9">
        <f>IF(C356&lt;&gt;0,C356-Gear!$C$2,0)</f>
        <v>0</v>
      </c>
    </row>
    <row r="357" spans="21:21" x14ac:dyDescent="0.25">
      <c r="U357" s="9">
        <f>IF(C357&lt;&gt;0,C357-Gear!$C$2,0)</f>
        <v>0</v>
      </c>
    </row>
    <row r="358" spans="21:21" x14ac:dyDescent="0.25">
      <c r="U358" s="9">
        <f>IF(C358&lt;&gt;0,C358-Gear!$C$2,0)</f>
        <v>0</v>
      </c>
    </row>
    <row r="359" spans="21:21" x14ac:dyDescent="0.25">
      <c r="U359" s="9">
        <f>IF(C359&lt;&gt;0,C359-Gear!$C$2,0)</f>
        <v>0</v>
      </c>
    </row>
    <row r="360" spans="21:21" x14ac:dyDescent="0.25">
      <c r="U360" s="9">
        <f>IF(C360&lt;&gt;0,C360-Gear!$C$2,0)</f>
        <v>0</v>
      </c>
    </row>
    <row r="361" spans="21:21" x14ac:dyDescent="0.25">
      <c r="U361" s="9">
        <f>IF(C361&lt;&gt;0,C361-Gear!$C$2,0)</f>
        <v>0</v>
      </c>
    </row>
    <row r="362" spans="21:21" x14ac:dyDescent="0.25">
      <c r="U362" s="9">
        <f>IF(C362&lt;&gt;0,C362-Gear!$C$2,0)</f>
        <v>0</v>
      </c>
    </row>
    <row r="363" spans="21:21" x14ac:dyDescent="0.25">
      <c r="U363" s="9">
        <f>IF(C363&lt;&gt;0,C363-Gear!$C$2,0)</f>
        <v>0</v>
      </c>
    </row>
    <row r="364" spans="21:21" x14ac:dyDescent="0.25">
      <c r="U364" s="9">
        <f>IF(C364&lt;&gt;0,C364-Gear!$C$2,0)</f>
        <v>0</v>
      </c>
    </row>
    <row r="365" spans="21:21" x14ac:dyDescent="0.25">
      <c r="U365" s="9">
        <f>IF(C365&lt;&gt;0,C365-Gear!$C$2,0)</f>
        <v>0</v>
      </c>
    </row>
    <row r="366" spans="21:21" x14ac:dyDescent="0.25">
      <c r="U366" s="9">
        <f>IF(C366&lt;&gt;0,C366-Gear!$C$2,0)</f>
        <v>0</v>
      </c>
    </row>
    <row r="367" spans="21:21" x14ac:dyDescent="0.25">
      <c r="U367" s="9">
        <f>IF(C367&lt;&gt;0,C367-Gear!$C$2,0)</f>
        <v>0</v>
      </c>
    </row>
    <row r="368" spans="21:21" x14ac:dyDescent="0.25">
      <c r="U368" s="9">
        <f>IF(C368&lt;&gt;0,C368-Gear!$C$2,0)</f>
        <v>0</v>
      </c>
    </row>
    <row r="369" spans="21:21" x14ac:dyDescent="0.25">
      <c r="U369" s="9">
        <f>IF(C369&lt;&gt;0,C369-Gear!$C$2,0)</f>
        <v>0</v>
      </c>
    </row>
    <row r="370" spans="21:21" x14ac:dyDescent="0.25">
      <c r="U370" s="9">
        <f>IF(C370&lt;&gt;0,C370-Gear!$C$2,0)</f>
        <v>0</v>
      </c>
    </row>
    <row r="371" spans="21:21" x14ac:dyDescent="0.25">
      <c r="U371" s="9">
        <f>IF(C371&lt;&gt;0,C371-Gear!$C$2,0)</f>
        <v>0</v>
      </c>
    </row>
    <row r="372" spans="21:21" x14ac:dyDescent="0.25">
      <c r="U372" s="9">
        <f>IF(C372&lt;&gt;0,C372-Gear!$C$2,0)</f>
        <v>0</v>
      </c>
    </row>
    <row r="373" spans="21:21" x14ac:dyDescent="0.25">
      <c r="U373" s="9">
        <f>IF(C373&lt;&gt;0,C373-Gear!$C$2,0)</f>
        <v>0</v>
      </c>
    </row>
    <row r="374" spans="21:21" x14ac:dyDescent="0.25">
      <c r="U374" s="9">
        <f>IF(C374&lt;&gt;0,C374-Gear!$C$2,0)</f>
        <v>0</v>
      </c>
    </row>
    <row r="375" spans="21:21" x14ac:dyDescent="0.25">
      <c r="U375" s="9">
        <f>IF(C375&lt;&gt;0,C375-Gear!$C$2,0)</f>
        <v>0</v>
      </c>
    </row>
    <row r="376" spans="21:21" x14ac:dyDescent="0.25">
      <c r="U376" s="9">
        <f>IF(C376&lt;&gt;0,C376-Gear!$C$2,0)</f>
        <v>0</v>
      </c>
    </row>
    <row r="377" spans="21:21" x14ac:dyDescent="0.25">
      <c r="U377" s="9">
        <f>IF(C377&lt;&gt;0,C377-Gear!$C$2,0)</f>
        <v>0</v>
      </c>
    </row>
    <row r="378" spans="21:21" x14ac:dyDescent="0.25">
      <c r="U378" s="9">
        <f>IF(C378&lt;&gt;0,C378-Gear!$C$2,0)</f>
        <v>0</v>
      </c>
    </row>
    <row r="379" spans="21:21" x14ac:dyDescent="0.25">
      <c r="U379" s="9">
        <f>IF(C379&lt;&gt;0,C379-Gear!$C$2,0)</f>
        <v>0</v>
      </c>
    </row>
    <row r="380" spans="21:21" x14ac:dyDescent="0.25">
      <c r="U380" s="9">
        <f>IF(C380&lt;&gt;0,C380-Gear!$C$2,0)</f>
        <v>0</v>
      </c>
    </row>
    <row r="381" spans="21:21" x14ac:dyDescent="0.25">
      <c r="U381" s="9">
        <f>IF(C381&lt;&gt;0,C381-Gear!$C$2,0)</f>
        <v>0</v>
      </c>
    </row>
    <row r="382" spans="21:21" x14ac:dyDescent="0.25">
      <c r="U382" s="9">
        <f>IF(C382&lt;&gt;0,C382-Gear!$C$2,0)</f>
        <v>0</v>
      </c>
    </row>
    <row r="383" spans="21:21" x14ac:dyDescent="0.25">
      <c r="U383" s="9">
        <f>IF(C383&lt;&gt;0,C383-Gear!$C$2,0)</f>
        <v>0</v>
      </c>
    </row>
    <row r="384" spans="21:21" x14ac:dyDescent="0.25">
      <c r="U384" s="9">
        <f>IF(C384&lt;&gt;0,C384-Gear!$C$2,0)</f>
        <v>0</v>
      </c>
    </row>
    <row r="385" spans="21:21" x14ac:dyDescent="0.25">
      <c r="U385" s="9">
        <f>IF(C385&lt;&gt;0,C385-Gear!$C$2,0)</f>
        <v>0</v>
      </c>
    </row>
    <row r="386" spans="21:21" x14ac:dyDescent="0.25">
      <c r="U386" s="9">
        <f>IF(C386&lt;&gt;0,C386-Gear!$C$2,0)</f>
        <v>0</v>
      </c>
    </row>
    <row r="387" spans="21:21" x14ac:dyDescent="0.25">
      <c r="U387" s="9">
        <f>IF(C387&lt;&gt;0,C387-Gear!$C$2,0)</f>
        <v>0</v>
      </c>
    </row>
    <row r="388" spans="21:21" x14ac:dyDescent="0.25">
      <c r="U388" s="9">
        <f>IF(C388&lt;&gt;0,C388-Gear!$C$2,0)</f>
        <v>0</v>
      </c>
    </row>
    <row r="389" spans="21:21" x14ac:dyDescent="0.25">
      <c r="U389" s="9">
        <f>IF(C389&lt;&gt;0,C389-Gear!$C$2,0)</f>
        <v>0</v>
      </c>
    </row>
    <row r="390" spans="21:21" x14ac:dyDescent="0.25">
      <c r="U390" s="9">
        <f>IF(C390&lt;&gt;0,C390-Gear!$C$2,0)</f>
        <v>0</v>
      </c>
    </row>
    <row r="391" spans="21:21" x14ac:dyDescent="0.25">
      <c r="U391" s="9">
        <f>IF(C391&lt;&gt;0,C391-Gear!$C$2,0)</f>
        <v>0</v>
      </c>
    </row>
    <row r="392" spans="21:21" x14ac:dyDescent="0.25">
      <c r="U392" s="9">
        <f>IF(C392&lt;&gt;0,C392-Gear!$C$2,0)</f>
        <v>0</v>
      </c>
    </row>
    <row r="393" spans="21:21" x14ac:dyDescent="0.25">
      <c r="U393" s="9">
        <f>IF(C393&lt;&gt;0,C393-Gear!$C$2,0)</f>
        <v>0</v>
      </c>
    </row>
    <row r="394" spans="21:21" x14ac:dyDescent="0.25">
      <c r="U394" s="9">
        <f>IF(C394&lt;&gt;0,C394-Gear!$C$2,0)</f>
        <v>0</v>
      </c>
    </row>
    <row r="395" spans="21:21" x14ac:dyDescent="0.25">
      <c r="U395" s="9">
        <f>IF(C395&lt;&gt;0,C395-Gear!$C$2,0)</f>
        <v>0</v>
      </c>
    </row>
    <row r="396" spans="21:21" x14ac:dyDescent="0.25">
      <c r="U396" s="9">
        <f>IF(C396&lt;&gt;0,C396-Gear!$C$2,0)</f>
        <v>0</v>
      </c>
    </row>
    <row r="397" spans="21:21" x14ac:dyDescent="0.25">
      <c r="U397" s="9">
        <f>IF(C397&lt;&gt;0,C397-Gear!$C$2,0)</f>
        <v>0</v>
      </c>
    </row>
    <row r="398" spans="21:21" x14ac:dyDescent="0.25">
      <c r="U398" s="9">
        <f>IF(C398&lt;&gt;0,C398-Gear!$C$2,0)</f>
        <v>0</v>
      </c>
    </row>
    <row r="399" spans="21:21" x14ac:dyDescent="0.25">
      <c r="U399" s="9">
        <f>IF(C399&lt;&gt;0,C399-Gear!$C$2,0)</f>
        <v>0</v>
      </c>
    </row>
    <row r="400" spans="21:21" x14ac:dyDescent="0.25">
      <c r="U400" s="9">
        <f>IF(C400&lt;&gt;0,C400-Gear!$C$2,0)</f>
        <v>0</v>
      </c>
    </row>
    <row r="401" spans="21:21" x14ac:dyDescent="0.25">
      <c r="U401" s="9">
        <f>IF(C401&lt;&gt;0,C401-Gear!$C$2,0)</f>
        <v>0</v>
      </c>
    </row>
    <row r="402" spans="21:21" x14ac:dyDescent="0.25">
      <c r="U402" s="9">
        <f>IF(C402&lt;&gt;0,C402-Gear!$C$2,0)</f>
        <v>0</v>
      </c>
    </row>
    <row r="403" spans="21:21" x14ac:dyDescent="0.25">
      <c r="U403" s="9">
        <f>IF(C403&lt;&gt;0,C403-Gear!$C$2,0)</f>
        <v>0</v>
      </c>
    </row>
    <row r="404" spans="21:21" x14ac:dyDescent="0.25">
      <c r="U404" s="9">
        <f>IF(C404&lt;&gt;0,C404-Gear!$C$2,0)</f>
        <v>0</v>
      </c>
    </row>
    <row r="405" spans="21:21" x14ac:dyDescent="0.25">
      <c r="U405" s="9">
        <f>IF(C405&lt;&gt;0,C405-Gear!$C$2,0)</f>
        <v>0</v>
      </c>
    </row>
    <row r="406" spans="21:21" x14ac:dyDescent="0.25">
      <c r="U406" s="9">
        <f>IF(C406&lt;&gt;0,C406-Gear!$C$2,0)</f>
        <v>0</v>
      </c>
    </row>
    <row r="407" spans="21:21" x14ac:dyDescent="0.25">
      <c r="U407" s="9">
        <f>IF(C407&lt;&gt;0,C407-Gear!$C$2,0)</f>
        <v>0</v>
      </c>
    </row>
    <row r="408" spans="21:21" x14ac:dyDescent="0.25">
      <c r="U408" s="9">
        <f>IF(C408&lt;&gt;0,C408-Gear!$C$2,0)</f>
        <v>0</v>
      </c>
    </row>
    <row r="409" spans="21:21" x14ac:dyDescent="0.25">
      <c r="U409" s="9">
        <f>IF(C409&lt;&gt;0,C409-Gear!$C$2,0)</f>
        <v>0</v>
      </c>
    </row>
    <row r="410" spans="21:21" x14ac:dyDescent="0.25">
      <c r="U410" s="9">
        <f>IF(C410&lt;&gt;0,C410-Gear!$C$2,0)</f>
        <v>0</v>
      </c>
    </row>
    <row r="411" spans="21:21" x14ac:dyDescent="0.25">
      <c r="U411" s="9">
        <f>IF(C411&lt;&gt;0,C411-Gear!$C$2,0)</f>
        <v>0</v>
      </c>
    </row>
    <row r="412" spans="21:21" x14ac:dyDescent="0.25">
      <c r="U412" s="9">
        <f>IF(C412&lt;&gt;0,C412-Gear!$C$2,0)</f>
        <v>0</v>
      </c>
    </row>
    <row r="413" spans="21:21" x14ac:dyDescent="0.25">
      <c r="U413" s="9">
        <f>IF(C413&lt;&gt;0,C413-Gear!$C$2,0)</f>
        <v>0</v>
      </c>
    </row>
    <row r="414" spans="21:21" x14ac:dyDescent="0.25">
      <c r="U414" s="9">
        <f>IF(C414&lt;&gt;0,C414-Gear!$C$2,0)</f>
        <v>0</v>
      </c>
    </row>
    <row r="415" spans="21:21" x14ac:dyDescent="0.25">
      <c r="U415" s="9">
        <f>IF(C415&lt;&gt;0,C415-Gear!$C$2,0)</f>
        <v>0</v>
      </c>
    </row>
    <row r="416" spans="21:21" x14ac:dyDescent="0.25">
      <c r="U416" s="9">
        <f>IF(C416&lt;&gt;0,C416-Gear!$C$2,0)</f>
        <v>0</v>
      </c>
    </row>
    <row r="417" spans="21:21" x14ac:dyDescent="0.25">
      <c r="U417" s="9">
        <f>IF(C417&lt;&gt;0,C417-Gear!$C$2,0)</f>
        <v>0</v>
      </c>
    </row>
    <row r="418" spans="21:21" x14ac:dyDescent="0.25">
      <c r="U418" s="9">
        <f>IF(C418&lt;&gt;0,C418-Gear!$C$2,0)</f>
        <v>0</v>
      </c>
    </row>
    <row r="419" spans="21:21" x14ac:dyDescent="0.25">
      <c r="U419" s="9">
        <f>IF(C419&lt;&gt;0,C419-Gear!$C$2,0)</f>
        <v>0</v>
      </c>
    </row>
    <row r="420" spans="21:21" x14ac:dyDescent="0.25">
      <c r="U420" s="9">
        <f>IF(C420&lt;&gt;0,C420-Gear!$C$2,0)</f>
        <v>0</v>
      </c>
    </row>
    <row r="421" spans="21:21" x14ac:dyDescent="0.25">
      <c r="U421" s="9">
        <f>IF(C421&lt;&gt;0,C421-Gear!$C$2,0)</f>
        <v>0</v>
      </c>
    </row>
    <row r="422" spans="21:21" x14ac:dyDescent="0.25">
      <c r="U422" s="9">
        <f>IF(C422&lt;&gt;0,C422-Gear!$C$2,0)</f>
        <v>0</v>
      </c>
    </row>
    <row r="423" spans="21:21" x14ac:dyDescent="0.25">
      <c r="U423" s="9">
        <f>IF(C423&lt;&gt;0,C423-Gear!$C$2,0)</f>
        <v>0</v>
      </c>
    </row>
    <row r="424" spans="21:21" x14ac:dyDescent="0.25">
      <c r="U424" s="9">
        <f>IF(C424&lt;&gt;0,C424-Gear!$C$2,0)</f>
        <v>0</v>
      </c>
    </row>
    <row r="425" spans="21:21" x14ac:dyDescent="0.25">
      <c r="U425" s="9">
        <f>IF(C425&lt;&gt;0,C425-Gear!$C$2,0)</f>
        <v>0</v>
      </c>
    </row>
    <row r="426" spans="21:21" x14ac:dyDescent="0.25">
      <c r="U426" s="9">
        <f>IF(C426&lt;&gt;0,C426-Gear!$C$2,0)</f>
        <v>0</v>
      </c>
    </row>
    <row r="427" spans="21:21" x14ac:dyDescent="0.25">
      <c r="U427" s="9">
        <f>IF(C427&lt;&gt;0,C427-Gear!$C$2,0)</f>
        <v>0</v>
      </c>
    </row>
    <row r="428" spans="21:21" x14ac:dyDescent="0.25">
      <c r="U428" s="9">
        <f>IF(C428&lt;&gt;0,C428-Gear!$C$2,0)</f>
        <v>0</v>
      </c>
    </row>
    <row r="429" spans="21:21" x14ac:dyDescent="0.25">
      <c r="U429" s="9">
        <f>IF(C429&lt;&gt;0,C429-Gear!$C$2,0)</f>
        <v>0</v>
      </c>
    </row>
    <row r="430" spans="21:21" x14ac:dyDescent="0.25">
      <c r="U430" s="9">
        <f>IF(C430&lt;&gt;0,C430-Gear!$C$2,0)</f>
        <v>0</v>
      </c>
    </row>
    <row r="431" spans="21:21" x14ac:dyDescent="0.25">
      <c r="U431" s="9">
        <f>IF(C431&lt;&gt;0,C431-Gear!$C$2,0)</f>
        <v>0</v>
      </c>
    </row>
    <row r="432" spans="21:21" x14ac:dyDescent="0.25">
      <c r="U432" s="9">
        <f>IF(C432&lt;&gt;0,C432-Gear!$C$2,0)</f>
        <v>0</v>
      </c>
    </row>
    <row r="433" spans="21:21" x14ac:dyDescent="0.25">
      <c r="U433" s="9">
        <f>IF(C433&lt;&gt;0,C433-Gear!$C$2,0)</f>
        <v>0</v>
      </c>
    </row>
    <row r="434" spans="21:21" x14ac:dyDescent="0.25">
      <c r="U434" s="9">
        <f>IF(C434&lt;&gt;0,C434-Gear!$C$2,0)</f>
        <v>0</v>
      </c>
    </row>
    <row r="435" spans="21:21" x14ac:dyDescent="0.25">
      <c r="U435" s="9">
        <f>IF(C435&lt;&gt;0,C435-Gear!$C$2,0)</f>
        <v>0</v>
      </c>
    </row>
    <row r="436" spans="21:21" x14ac:dyDescent="0.25">
      <c r="U436" s="9">
        <f>IF(C436&lt;&gt;0,C436-Gear!$C$2,0)</f>
        <v>0</v>
      </c>
    </row>
    <row r="437" spans="21:21" x14ac:dyDescent="0.25">
      <c r="U437" s="9">
        <f>IF(C437&lt;&gt;0,C437-Gear!$C$2,0)</f>
        <v>0</v>
      </c>
    </row>
    <row r="438" spans="21:21" x14ac:dyDescent="0.25">
      <c r="U438" s="9">
        <f>IF(C438&lt;&gt;0,C438-Gear!$C$2,0)</f>
        <v>0</v>
      </c>
    </row>
    <row r="439" spans="21:21" x14ac:dyDescent="0.25">
      <c r="U439" s="9">
        <f>IF(C439&lt;&gt;0,C439-Gear!$C$2,0)</f>
        <v>0</v>
      </c>
    </row>
    <row r="440" spans="21:21" x14ac:dyDescent="0.25">
      <c r="U440" s="9">
        <f>IF(C440&lt;&gt;0,C440-Gear!$C$2,0)</f>
        <v>0</v>
      </c>
    </row>
    <row r="441" spans="21:21" x14ac:dyDescent="0.25">
      <c r="U441" s="9">
        <f>IF(C441&lt;&gt;0,C441-Gear!$C$2,0)</f>
        <v>0</v>
      </c>
    </row>
    <row r="442" spans="21:21" x14ac:dyDescent="0.25">
      <c r="U442" s="9">
        <f>IF(C442&lt;&gt;0,C442-Gear!$C$2,0)</f>
        <v>0</v>
      </c>
    </row>
    <row r="443" spans="21:21" x14ac:dyDescent="0.25">
      <c r="U443" s="9">
        <f>IF(C443&lt;&gt;0,C443-Gear!$C$2,0)</f>
        <v>0</v>
      </c>
    </row>
    <row r="444" spans="21:21" x14ac:dyDescent="0.25">
      <c r="U444" s="9">
        <f>IF(C444&lt;&gt;0,C444-Gear!$C$2,0)</f>
        <v>0</v>
      </c>
    </row>
    <row r="445" spans="21:21" x14ac:dyDescent="0.25">
      <c r="U445" s="9">
        <f>IF(C445&lt;&gt;0,C445-Gear!$C$2,0)</f>
        <v>0</v>
      </c>
    </row>
    <row r="446" spans="21:21" x14ac:dyDescent="0.25">
      <c r="U446" s="9">
        <f>IF(C446&lt;&gt;0,C446-Gear!$C$2,0)</f>
        <v>0</v>
      </c>
    </row>
    <row r="447" spans="21:21" x14ac:dyDescent="0.25">
      <c r="U447" s="9">
        <f>IF(C447&lt;&gt;0,C447-Gear!$C$2,0)</f>
        <v>0</v>
      </c>
    </row>
    <row r="448" spans="21:21" x14ac:dyDescent="0.25">
      <c r="U448" s="9">
        <f>IF(C448&lt;&gt;0,C448-Gear!$C$2,0)</f>
        <v>0</v>
      </c>
    </row>
    <row r="449" spans="21:21" x14ac:dyDescent="0.25">
      <c r="U449" s="9">
        <f>IF(C449&lt;&gt;0,C449-Gear!$C$2,0)</f>
        <v>0</v>
      </c>
    </row>
    <row r="450" spans="21:21" x14ac:dyDescent="0.25">
      <c r="U450" s="9">
        <f>IF(C450&lt;&gt;0,C450-Gear!$C$2,0)</f>
        <v>0</v>
      </c>
    </row>
    <row r="451" spans="21:21" x14ac:dyDescent="0.25">
      <c r="U451" s="9">
        <f>IF(C451&lt;&gt;0,C451-Gear!$C$2,0)</f>
        <v>0</v>
      </c>
    </row>
    <row r="452" spans="21:21" x14ac:dyDescent="0.25">
      <c r="U452" s="9">
        <f>IF(C452&lt;&gt;0,C452-Gear!$C$2,0)</f>
        <v>0</v>
      </c>
    </row>
    <row r="453" spans="21:21" x14ac:dyDescent="0.25">
      <c r="U453" s="9">
        <f>IF(C453&lt;&gt;0,C453-Gear!$C$2,0)</f>
        <v>0</v>
      </c>
    </row>
    <row r="454" spans="21:21" x14ac:dyDescent="0.25">
      <c r="U454" s="9">
        <f>IF(C454&lt;&gt;0,C454-Gear!$C$2,0)</f>
        <v>0</v>
      </c>
    </row>
    <row r="455" spans="21:21" x14ac:dyDescent="0.25">
      <c r="U455" s="9">
        <f>IF(C455&lt;&gt;0,C455-Gear!$C$2,0)</f>
        <v>0</v>
      </c>
    </row>
    <row r="456" spans="21:21" x14ac:dyDescent="0.25">
      <c r="U456" s="9">
        <f>IF(C456&lt;&gt;0,C456-Gear!$C$2,0)</f>
        <v>0</v>
      </c>
    </row>
    <row r="457" spans="21:21" x14ac:dyDescent="0.25">
      <c r="U457" s="9">
        <f>IF(C457&lt;&gt;0,C457-Gear!$C$2,0)</f>
        <v>0</v>
      </c>
    </row>
    <row r="458" spans="21:21" x14ac:dyDescent="0.25">
      <c r="U458" s="9">
        <f>IF(C458&lt;&gt;0,C458-Gear!$C$2,0)</f>
        <v>0</v>
      </c>
    </row>
    <row r="459" spans="21:21" x14ac:dyDescent="0.25">
      <c r="U459" s="9">
        <f>IF(C459&lt;&gt;0,C459-Gear!$C$2,0)</f>
        <v>0</v>
      </c>
    </row>
    <row r="460" spans="21:21" x14ac:dyDescent="0.25">
      <c r="U460" s="9">
        <f>IF(C460&lt;&gt;0,C460-Gear!$C$2,0)</f>
        <v>0</v>
      </c>
    </row>
    <row r="461" spans="21:21" x14ac:dyDescent="0.25">
      <c r="U461" s="9">
        <f>IF(C461&lt;&gt;0,C461-Gear!$C$2,0)</f>
        <v>0</v>
      </c>
    </row>
    <row r="462" spans="21:21" x14ac:dyDescent="0.25">
      <c r="U462" s="9">
        <f>IF(C462&lt;&gt;0,C462-Gear!$C$2,0)</f>
        <v>0</v>
      </c>
    </row>
    <row r="463" spans="21:21" x14ac:dyDescent="0.25">
      <c r="U463" s="9">
        <f>IF(C463&lt;&gt;0,C463-Gear!$C$2,0)</f>
        <v>0</v>
      </c>
    </row>
    <row r="464" spans="21:21" x14ac:dyDescent="0.25">
      <c r="U464" s="9">
        <f>IF(C464&lt;&gt;0,C464-Gear!$C$2,0)</f>
        <v>0</v>
      </c>
    </row>
    <row r="465" spans="21:21" x14ac:dyDescent="0.25">
      <c r="U465" s="9">
        <f>IF(C465&lt;&gt;0,C465-Gear!$C$2,0)</f>
        <v>0</v>
      </c>
    </row>
    <row r="466" spans="21:21" x14ac:dyDescent="0.25">
      <c r="U466" s="9">
        <f>IF(C466&lt;&gt;0,C466-Gear!$C$2,0)</f>
        <v>0</v>
      </c>
    </row>
    <row r="467" spans="21:21" x14ac:dyDescent="0.25">
      <c r="U467" s="9">
        <f>IF(C467&lt;&gt;0,C467-Gear!$C$2,0)</f>
        <v>0</v>
      </c>
    </row>
    <row r="468" spans="21:21" x14ac:dyDescent="0.25">
      <c r="U468" s="9">
        <f>IF(C468&lt;&gt;0,C468-Gear!$C$2,0)</f>
        <v>0</v>
      </c>
    </row>
    <row r="469" spans="21:21" x14ac:dyDescent="0.25">
      <c r="U469" s="9">
        <f>IF(C469&lt;&gt;0,C469-Gear!$C$2,0)</f>
        <v>0</v>
      </c>
    </row>
    <row r="470" spans="21:21" x14ac:dyDescent="0.25">
      <c r="U470" s="9">
        <f>IF(C470&lt;&gt;0,C470-Gear!$C$2,0)</f>
        <v>0</v>
      </c>
    </row>
    <row r="471" spans="21:21" x14ac:dyDescent="0.25">
      <c r="U471" s="9">
        <f>IF(C471&lt;&gt;0,C471-Gear!$C$2,0)</f>
        <v>0</v>
      </c>
    </row>
    <row r="472" spans="21:21" x14ac:dyDescent="0.25">
      <c r="U472" s="9">
        <f>IF(C472&lt;&gt;0,C472-Gear!$C$2,0)</f>
        <v>0</v>
      </c>
    </row>
    <row r="473" spans="21:21" x14ac:dyDescent="0.25">
      <c r="U473" s="9">
        <f>IF(C473&lt;&gt;0,C473-Gear!$C$2,0)</f>
        <v>0</v>
      </c>
    </row>
    <row r="474" spans="21:21" x14ac:dyDescent="0.25">
      <c r="U474" s="9">
        <f>IF(C474&lt;&gt;0,C474-Gear!$C$2,0)</f>
        <v>0</v>
      </c>
    </row>
    <row r="475" spans="21:21" x14ac:dyDescent="0.25">
      <c r="U475" s="9">
        <f>IF(C475&lt;&gt;0,C475-Gear!$C$2,0)</f>
        <v>0</v>
      </c>
    </row>
    <row r="476" spans="21:21" x14ac:dyDescent="0.25">
      <c r="U476" s="9">
        <f>IF(C476&lt;&gt;0,C476-Gear!$C$2,0)</f>
        <v>0</v>
      </c>
    </row>
    <row r="477" spans="21:21" x14ac:dyDescent="0.25">
      <c r="U477" s="9">
        <f>IF(C477&lt;&gt;0,C477-Gear!$C$2,0)</f>
        <v>0</v>
      </c>
    </row>
    <row r="478" spans="21:21" x14ac:dyDescent="0.25">
      <c r="U478" s="9">
        <f>IF(C478&lt;&gt;0,C478-Gear!$C$2,0)</f>
        <v>0</v>
      </c>
    </row>
    <row r="479" spans="21:21" x14ac:dyDescent="0.25">
      <c r="U479" s="9">
        <f>IF(C479&lt;&gt;0,C479-Gear!$C$2,0)</f>
        <v>0</v>
      </c>
    </row>
    <row r="480" spans="21:21" x14ac:dyDescent="0.25">
      <c r="U480" s="9">
        <f>IF(C480&lt;&gt;0,C480-Gear!$C$2,0)</f>
        <v>0</v>
      </c>
    </row>
    <row r="481" spans="21:21" x14ac:dyDescent="0.25">
      <c r="U481" s="9">
        <f>IF(C481&lt;&gt;0,C481-Gear!$C$2,0)</f>
        <v>0</v>
      </c>
    </row>
    <row r="482" spans="21:21" x14ac:dyDescent="0.25">
      <c r="U482" s="9">
        <f>IF(C482&lt;&gt;0,C482-Gear!$C$2,0)</f>
        <v>0</v>
      </c>
    </row>
    <row r="483" spans="21:21" x14ac:dyDescent="0.25">
      <c r="U483" s="9">
        <f>IF(C483&lt;&gt;0,C483-Gear!$C$2,0)</f>
        <v>0</v>
      </c>
    </row>
    <row r="484" spans="21:21" x14ac:dyDescent="0.25">
      <c r="U484" s="9">
        <f>IF(C484&lt;&gt;0,C484-Gear!$C$2,0)</f>
        <v>0</v>
      </c>
    </row>
    <row r="485" spans="21:21" x14ac:dyDescent="0.25">
      <c r="U485" s="9">
        <f>IF(C485&lt;&gt;0,C485-Gear!$C$2,0)</f>
        <v>0</v>
      </c>
    </row>
    <row r="486" spans="21:21" x14ac:dyDescent="0.25">
      <c r="U486" s="9">
        <f>IF(C486&lt;&gt;0,C486-Gear!$C$2,0)</f>
        <v>0</v>
      </c>
    </row>
    <row r="487" spans="21:21" x14ac:dyDescent="0.25">
      <c r="U487" s="9">
        <f>IF(C487&lt;&gt;0,C487-Gear!$C$2,0)</f>
        <v>0</v>
      </c>
    </row>
    <row r="488" spans="21:21" x14ac:dyDescent="0.25">
      <c r="U488" s="9">
        <f>IF(C488&lt;&gt;0,C488-Gear!$C$2,0)</f>
        <v>0</v>
      </c>
    </row>
    <row r="489" spans="21:21" x14ac:dyDescent="0.25">
      <c r="U489" s="9">
        <f>IF(C489&lt;&gt;0,C489-Gear!$C$2,0)</f>
        <v>0</v>
      </c>
    </row>
    <row r="490" spans="21:21" x14ac:dyDescent="0.25">
      <c r="U490" s="9">
        <f>IF(C490&lt;&gt;0,C490-Gear!$C$2,0)</f>
        <v>0</v>
      </c>
    </row>
    <row r="491" spans="21:21" x14ac:dyDescent="0.25">
      <c r="U491" s="9">
        <f>IF(C491&lt;&gt;0,C491-Gear!$C$2,0)</f>
        <v>0</v>
      </c>
    </row>
    <row r="492" spans="21:21" x14ac:dyDescent="0.25">
      <c r="U492" s="9">
        <f>IF(C492&lt;&gt;0,C492-Gear!$C$2,0)</f>
        <v>0</v>
      </c>
    </row>
    <row r="493" spans="21:21" x14ac:dyDescent="0.25">
      <c r="U493" s="9">
        <f>IF(C493&lt;&gt;0,C493-Gear!$C$2,0)</f>
        <v>0</v>
      </c>
    </row>
    <row r="494" spans="21:21" x14ac:dyDescent="0.25">
      <c r="U494" s="9">
        <f>IF(C494&lt;&gt;0,C494-Gear!$C$2,0)</f>
        <v>0</v>
      </c>
    </row>
    <row r="495" spans="21:21" x14ac:dyDescent="0.25">
      <c r="U495" s="9">
        <f>IF(C495&lt;&gt;0,C495-Gear!$C$2,0)</f>
        <v>0</v>
      </c>
    </row>
    <row r="496" spans="21:21" x14ac:dyDescent="0.25">
      <c r="U496" s="9">
        <f>IF(C496&lt;&gt;0,C496-Gear!$C$2,0)</f>
        <v>0</v>
      </c>
    </row>
    <row r="497" spans="21:21" x14ac:dyDescent="0.25">
      <c r="U497" s="9">
        <f>IF(C497&lt;&gt;0,C497-Gear!$C$2,0)</f>
        <v>0</v>
      </c>
    </row>
    <row r="498" spans="21:21" x14ac:dyDescent="0.25">
      <c r="U498" s="9">
        <f>IF(C498&lt;&gt;0,C498-Gear!$C$2,0)</f>
        <v>0</v>
      </c>
    </row>
    <row r="499" spans="21:21" x14ac:dyDescent="0.25">
      <c r="U499" s="9">
        <f>IF(C499&lt;&gt;0,C499-Gear!$C$2,0)</f>
        <v>0</v>
      </c>
    </row>
    <row r="500" spans="21:21" x14ac:dyDescent="0.25">
      <c r="U500" s="9">
        <f>IF(C500&lt;&gt;0,C500-Gear!$C$2,0)</f>
        <v>0</v>
      </c>
    </row>
    <row r="501" spans="21:21" x14ac:dyDescent="0.25">
      <c r="U501" s="9">
        <f>IF(C501&lt;&gt;0,C501-Gear!$C$2,0)</f>
        <v>0</v>
      </c>
    </row>
    <row r="502" spans="21:21" x14ac:dyDescent="0.25">
      <c r="U502" s="9">
        <f>IF(C502&lt;&gt;0,C502-Gear!$C$2,0)</f>
        <v>0</v>
      </c>
    </row>
    <row r="503" spans="21:21" x14ac:dyDescent="0.25">
      <c r="U503" s="9">
        <f>IF(C503&lt;&gt;0,C503-Gear!$C$2,0)</f>
        <v>0</v>
      </c>
    </row>
    <row r="504" spans="21:21" x14ac:dyDescent="0.25">
      <c r="U504" s="9">
        <f>IF(C504&lt;&gt;0,C504-Gear!$C$2,0)</f>
        <v>0</v>
      </c>
    </row>
    <row r="505" spans="21:21" x14ac:dyDescent="0.25">
      <c r="U505" s="9">
        <f>IF(C505&lt;&gt;0,C505-Gear!$C$2,0)</f>
        <v>0</v>
      </c>
    </row>
    <row r="506" spans="21:21" x14ac:dyDescent="0.25">
      <c r="U506" s="9">
        <f>IF(C506&lt;&gt;0,C506-Gear!$C$2,0)</f>
        <v>0</v>
      </c>
    </row>
    <row r="507" spans="21:21" x14ac:dyDescent="0.25">
      <c r="U507" s="9">
        <f>IF(C507&lt;&gt;0,C507-Gear!$C$2,0)</f>
        <v>0</v>
      </c>
    </row>
    <row r="508" spans="21:21" x14ac:dyDescent="0.25">
      <c r="U508" s="9">
        <f>IF(C508&lt;&gt;0,C508-Gear!$C$2,0)</f>
        <v>0</v>
      </c>
    </row>
    <row r="509" spans="21:21" x14ac:dyDescent="0.25">
      <c r="U509" s="9">
        <f>IF(C509&lt;&gt;0,C509-Gear!$C$2,0)</f>
        <v>0</v>
      </c>
    </row>
    <row r="510" spans="21:21" x14ac:dyDescent="0.25">
      <c r="U510" s="9">
        <f>IF(C510&lt;&gt;0,C510-Gear!$C$2,0)</f>
        <v>0</v>
      </c>
    </row>
    <row r="511" spans="21:21" x14ac:dyDescent="0.25">
      <c r="U511" s="9">
        <f>IF(C511&lt;&gt;0,C511-Gear!$C$2,0)</f>
        <v>0</v>
      </c>
    </row>
    <row r="512" spans="21:21" x14ac:dyDescent="0.25">
      <c r="U512" s="9">
        <f>IF(C512&lt;&gt;0,C512-Gear!$C$2,0)</f>
        <v>0</v>
      </c>
    </row>
    <row r="513" spans="21:21" x14ac:dyDescent="0.25">
      <c r="U513" s="9">
        <f>IF(C513&lt;&gt;0,C513-Gear!$C$2,0)</f>
        <v>0</v>
      </c>
    </row>
    <row r="514" spans="21:21" x14ac:dyDescent="0.25">
      <c r="U514" s="9">
        <f>IF(C514&lt;&gt;0,C514-Gear!$C$2,0)</f>
        <v>0</v>
      </c>
    </row>
    <row r="515" spans="21:21" x14ac:dyDescent="0.25">
      <c r="U515" s="9">
        <f>IF(C515&lt;&gt;0,C515-Gear!$C$2,0)</f>
        <v>0</v>
      </c>
    </row>
    <row r="516" spans="21:21" x14ac:dyDescent="0.25">
      <c r="U516" s="9">
        <f>IF(C516&lt;&gt;0,C516-Gear!$C$2,0)</f>
        <v>0</v>
      </c>
    </row>
    <row r="517" spans="21:21" x14ac:dyDescent="0.25">
      <c r="U517" s="9">
        <f>IF(C517&lt;&gt;0,C517-Gear!$C$2,0)</f>
        <v>0</v>
      </c>
    </row>
    <row r="518" spans="21:21" x14ac:dyDescent="0.25">
      <c r="U518" s="9">
        <f>IF(C518&lt;&gt;0,C518-Gear!$C$2,0)</f>
        <v>0</v>
      </c>
    </row>
    <row r="519" spans="21:21" x14ac:dyDescent="0.25">
      <c r="U519" s="9">
        <f>IF(C519&lt;&gt;0,C519-Gear!$C$2,0)</f>
        <v>0</v>
      </c>
    </row>
    <row r="520" spans="21:21" x14ac:dyDescent="0.25">
      <c r="U520" s="9">
        <f>IF(C520&lt;&gt;0,C520-Gear!$C$2,0)</f>
        <v>0</v>
      </c>
    </row>
    <row r="521" spans="21:21" x14ac:dyDescent="0.25">
      <c r="U521" s="9">
        <f>IF(C521&lt;&gt;0,C521-Gear!$C$2,0)</f>
        <v>0</v>
      </c>
    </row>
    <row r="522" spans="21:21" x14ac:dyDescent="0.25">
      <c r="U522" s="9">
        <f>IF(C522&lt;&gt;0,C522-Gear!$C$2,0)</f>
        <v>0</v>
      </c>
    </row>
    <row r="523" spans="21:21" x14ac:dyDescent="0.25">
      <c r="U523" s="9">
        <f>IF(C523&lt;&gt;0,C523-Gear!$C$2,0)</f>
        <v>0</v>
      </c>
    </row>
    <row r="524" spans="21:21" x14ac:dyDescent="0.25">
      <c r="U524" s="9">
        <f>IF(C524&lt;&gt;0,C524-Gear!$C$2,0)</f>
        <v>0</v>
      </c>
    </row>
    <row r="525" spans="21:21" x14ac:dyDescent="0.25">
      <c r="U525" s="9">
        <f>IF(C525&lt;&gt;0,C525-Gear!$C$2,0)</f>
        <v>0</v>
      </c>
    </row>
    <row r="526" spans="21:21" x14ac:dyDescent="0.25">
      <c r="U526" s="9">
        <f>IF(C526&lt;&gt;0,C526-Gear!$C$2,0)</f>
        <v>0</v>
      </c>
    </row>
    <row r="527" spans="21:21" x14ac:dyDescent="0.25">
      <c r="U527" s="9">
        <f>IF(C527&lt;&gt;0,C527-Gear!$C$2,0)</f>
        <v>0</v>
      </c>
    </row>
    <row r="528" spans="21:21" x14ac:dyDescent="0.25">
      <c r="U528" s="9">
        <f>IF(C528&lt;&gt;0,C528-Gear!$C$2,0)</f>
        <v>0</v>
      </c>
    </row>
    <row r="529" spans="21:21" x14ac:dyDescent="0.25">
      <c r="U529" s="9">
        <f>IF(C529&lt;&gt;0,C529-Gear!$C$2,0)</f>
        <v>0</v>
      </c>
    </row>
    <row r="530" spans="21:21" x14ac:dyDescent="0.25">
      <c r="U530" s="9">
        <f>IF(C530&lt;&gt;0,C530-Gear!$C$2,0)</f>
        <v>0</v>
      </c>
    </row>
    <row r="531" spans="21:21" x14ac:dyDescent="0.25">
      <c r="U531" s="9">
        <f>IF(C531&lt;&gt;0,C531-Gear!$C$2,0)</f>
        <v>0</v>
      </c>
    </row>
    <row r="532" spans="21:21" x14ac:dyDescent="0.25">
      <c r="U532" s="9">
        <f>IF(C532&lt;&gt;0,C532-Gear!$C$2,0)</f>
        <v>0</v>
      </c>
    </row>
    <row r="533" spans="21:21" x14ac:dyDescent="0.25">
      <c r="U533" s="9">
        <f>IF(C533&lt;&gt;0,C533-Gear!$C$2,0)</f>
        <v>0</v>
      </c>
    </row>
    <row r="534" spans="21:21" x14ac:dyDescent="0.25">
      <c r="U534" s="9">
        <f>IF(C534&lt;&gt;0,C534-Gear!$C$2,0)</f>
        <v>0</v>
      </c>
    </row>
    <row r="535" spans="21:21" x14ac:dyDescent="0.25">
      <c r="U535" s="9">
        <f>IF(C535&lt;&gt;0,C535-Gear!$C$2,0)</f>
        <v>0</v>
      </c>
    </row>
    <row r="536" spans="21:21" x14ac:dyDescent="0.25">
      <c r="U536" s="9">
        <f>IF(C536&lt;&gt;0,C536-Gear!$C$2,0)</f>
        <v>0</v>
      </c>
    </row>
    <row r="537" spans="21:21" x14ac:dyDescent="0.25">
      <c r="U537" s="9">
        <f>IF(C537&lt;&gt;0,C537-Gear!$C$2,0)</f>
        <v>0</v>
      </c>
    </row>
    <row r="538" spans="21:21" x14ac:dyDescent="0.25">
      <c r="U538" s="9">
        <f>IF(C538&lt;&gt;0,C538-Gear!$C$2,0)</f>
        <v>0</v>
      </c>
    </row>
    <row r="539" spans="21:21" x14ac:dyDescent="0.25">
      <c r="U539" s="9">
        <f>IF(C539&lt;&gt;0,C539-Gear!$C$2,0)</f>
        <v>0</v>
      </c>
    </row>
    <row r="540" spans="21:21" x14ac:dyDescent="0.25">
      <c r="U540" s="9">
        <f>IF(C540&lt;&gt;0,C540-Gear!$C$2,0)</f>
        <v>0</v>
      </c>
    </row>
    <row r="541" spans="21:21" x14ac:dyDescent="0.25">
      <c r="U541" s="9">
        <f>IF(C541&lt;&gt;0,C541-Gear!$C$2,0)</f>
        <v>0</v>
      </c>
    </row>
    <row r="542" spans="21:21" x14ac:dyDescent="0.25">
      <c r="U542" s="9">
        <f>IF(C542&lt;&gt;0,C542-Gear!$C$2,0)</f>
        <v>0</v>
      </c>
    </row>
    <row r="543" spans="21:21" x14ac:dyDescent="0.25">
      <c r="U543" s="9">
        <f>IF(C543&lt;&gt;0,C543-Gear!$C$2,0)</f>
        <v>0</v>
      </c>
    </row>
    <row r="544" spans="21:21" x14ac:dyDescent="0.25">
      <c r="U544" s="9">
        <f>IF(C544&lt;&gt;0,C544-Gear!$C$2,0)</f>
        <v>0</v>
      </c>
    </row>
    <row r="545" spans="21:21" x14ac:dyDescent="0.25">
      <c r="U545" s="9">
        <f>IF(C545&lt;&gt;0,C545-Gear!$C$2,0)</f>
        <v>0</v>
      </c>
    </row>
    <row r="546" spans="21:21" x14ac:dyDescent="0.25">
      <c r="U546" s="9">
        <f>IF(C546&lt;&gt;0,C546-Gear!$C$2,0)</f>
        <v>0</v>
      </c>
    </row>
    <row r="547" spans="21:21" x14ac:dyDescent="0.25">
      <c r="U547" s="9">
        <f>IF(C547&lt;&gt;0,C547-Gear!$C$2,0)</f>
        <v>0</v>
      </c>
    </row>
    <row r="548" spans="21:21" x14ac:dyDescent="0.25">
      <c r="U548" s="9">
        <f>IF(C548&lt;&gt;0,C548-Gear!$C$2,0)</f>
        <v>0</v>
      </c>
    </row>
    <row r="549" spans="21:21" x14ac:dyDescent="0.25">
      <c r="U549" s="9">
        <f>IF(C549&lt;&gt;0,C549-Gear!$C$2,0)</f>
        <v>0</v>
      </c>
    </row>
    <row r="550" spans="21:21" x14ac:dyDescent="0.25">
      <c r="U550" s="9">
        <f>IF(C550&lt;&gt;0,C550-Gear!$C$2,0)</f>
        <v>0</v>
      </c>
    </row>
    <row r="551" spans="21:21" x14ac:dyDescent="0.25">
      <c r="U551" s="9">
        <f>IF(C551&lt;&gt;0,C551-Gear!$C$2,0)</f>
        <v>0</v>
      </c>
    </row>
    <row r="552" spans="21:21" x14ac:dyDescent="0.25">
      <c r="U552" s="9">
        <f>IF(C552&lt;&gt;0,C552-Gear!$C$2,0)</f>
        <v>0</v>
      </c>
    </row>
    <row r="553" spans="21:21" x14ac:dyDescent="0.25">
      <c r="U553" s="9">
        <f>IF(C553&lt;&gt;0,C553-Gear!$C$2,0)</f>
        <v>0</v>
      </c>
    </row>
    <row r="554" spans="21:21" x14ac:dyDescent="0.25">
      <c r="U554" s="9">
        <f>IF(C554&lt;&gt;0,C554-Gear!$C$2,0)</f>
        <v>0</v>
      </c>
    </row>
  </sheetData>
  <conditionalFormatting sqref="U2:U580">
    <cfRule type="cellIs" dxfId="14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903-795D-4A33-ADC5-D0BD769BDC78}">
  <sheetPr codeName="Tabelle7"/>
  <dimension ref="A1:U378"/>
  <sheetViews>
    <sheetView showGridLines="0" workbookViewId="0">
      <selection activeCell="T3" sqref="T3"/>
    </sheetView>
  </sheetViews>
  <sheetFormatPr baseColWidth="10" defaultRowHeight="15" x14ac:dyDescent="0.25"/>
  <cols>
    <col min="1" max="1" width="6" style="9" bestFit="1" customWidth="1"/>
    <col min="2" max="2" width="21.42578125" style="9" bestFit="1" customWidth="1"/>
    <col min="3" max="3" width="5.85546875" style="9" bestFit="1" customWidth="1"/>
    <col min="4" max="4" width="5.425781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53" bestFit="1" customWidth="1"/>
    <col min="21" max="21" width="12.7109375" style="9" bestFit="1" customWidth="1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54" t="str">
        <f>Head!T1</f>
        <v>Link</v>
      </c>
      <c r="U1" s="31" t="str">
        <f>Head!U1</f>
        <v>Delta</v>
      </c>
    </row>
    <row r="2" spans="1:21" x14ac:dyDescent="0.25">
      <c r="A2" s="24">
        <f>'Item Database'!A61</f>
        <v>21608</v>
      </c>
      <c r="B2" s="9" t="str">
        <f>'Item Database'!B61</f>
        <v>Amulet of Vek'nilash</v>
      </c>
      <c r="C2" s="12">
        <f>'Item Database'!C61</f>
        <v>12.349931909624727</v>
      </c>
      <c r="D2" s="9" t="str">
        <f>'Item Database'!D61</f>
        <v>Neck</v>
      </c>
      <c r="E2" s="9">
        <f>'Item Database'!E61</f>
        <v>0</v>
      </c>
      <c r="F2" s="9">
        <f>'Item Database'!F61</f>
        <v>0</v>
      </c>
      <c r="G2" s="9">
        <f>'Item Database'!G61</f>
        <v>9</v>
      </c>
      <c r="H2" s="9">
        <f>'Item Database'!H61</f>
        <v>0</v>
      </c>
      <c r="I2" s="9">
        <f>'Item Database'!I61</f>
        <v>5</v>
      </c>
      <c r="J2" s="9">
        <f>'Item Database'!J61</f>
        <v>0</v>
      </c>
      <c r="K2" s="9">
        <f>'Item Database'!K61</f>
        <v>27</v>
      </c>
      <c r="L2" s="35">
        <f>'Item Database'!L61</f>
        <v>0.01</v>
      </c>
      <c r="M2" s="35">
        <f>'Item Database'!M61</f>
        <v>0</v>
      </c>
      <c r="N2" s="9">
        <f>'Item Database'!N61</f>
        <v>0</v>
      </c>
      <c r="O2" s="9">
        <f>'Item Database'!O61</f>
        <v>0</v>
      </c>
      <c r="P2" s="9">
        <f>'Item Database'!P61</f>
        <v>0</v>
      </c>
      <c r="Q2" s="9">
        <f>'Item Database'!Q61</f>
        <v>0</v>
      </c>
      <c r="R2" s="9">
        <f>'Item Database'!R61</f>
        <v>0</v>
      </c>
      <c r="S2" s="9">
        <f>'Item Database'!S61</f>
        <v>0</v>
      </c>
      <c r="T2" s="53" t="str">
        <f>HYPERLINK('Item Database'!T61)</f>
        <v>https://classic.wowhead.com/item=21608</v>
      </c>
      <c r="U2" s="9">
        <f>IF(C2&lt;&gt;0,C2-Gear!$C$3,0)</f>
        <v>12.349931909624727</v>
      </c>
    </row>
    <row r="3" spans="1:21" x14ac:dyDescent="0.25">
      <c r="A3" s="24">
        <f>'Item Database'!A74</f>
        <v>18534</v>
      </c>
      <c r="B3" s="9" t="str">
        <f>'Item Database'!B74</f>
        <v>Rod of the Ogre Magi</v>
      </c>
      <c r="C3" s="12">
        <f>'Item Database'!C74</f>
        <v>11.284565296355581</v>
      </c>
      <c r="D3" s="9" t="str">
        <f>'Item Database'!D74</f>
        <v>Two-Hand</v>
      </c>
      <c r="E3" s="9">
        <f>'Item Database'!E74</f>
        <v>0</v>
      </c>
      <c r="F3" s="9">
        <f>'Item Database'!F74</f>
        <v>0</v>
      </c>
      <c r="G3" s="9">
        <f>'Item Database'!G74</f>
        <v>11</v>
      </c>
      <c r="H3" s="9">
        <f>'Item Database'!H74</f>
        <v>0</v>
      </c>
      <c r="I3" s="9">
        <f>'Item Database'!I74</f>
        <v>14</v>
      </c>
      <c r="J3" s="9">
        <f>'Item Database'!J74</f>
        <v>7</v>
      </c>
      <c r="K3" s="9">
        <f>'Item Database'!K74</f>
        <v>23</v>
      </c>
      <c r="L3" s="35">
        <f>'Item Database'!L74</f>
        <v>0.01</v>
      </c>
      <c r="M3" s="35">
        <f>'Item Database'!M74</f>
        <v>0</v>
      </c>
      <c r="N3" s="9">
        <f>'Item Database'!N74</f>
        <v>0</v>
      </c>
      <c r="O3" s="9">
        <f>'Item Database'!O74</f>
        <v>0</v>
      </c>
      <c r="P3" s="9">
        <f>'Item Database'!P74</f>
        <v>0</v>
      </c>
      <c r="Q3" s="9">
        <f>'Item Database'!Q74</f>
        <v>0</v>
      </c>
      <c r="R3" s="9">
        <f>'Item Database'!R74</f>
        <v>0</v>
      </c>
      <c r="S3" s="9">
        <f>'Item Database'!S74</f>
        <v>0</v>
      </c>
      <c r="T3" s="53" t="str">
        <f>HYPERLINK('Item Database'!T74)</f>
        <v>https://classic.wowhead.com/item=18534</v>
      </c>
      <c r="U3" s="9">
        <f>IF(C3&lt;&gt;0,C3-Gear!$C$3,0)</f>
        <v>11.284565296355581</v>
      </c>
    </row>
    <row r="4" spans="1:21" x14ac:dyDescent="0.25">
      <c r="A4" s="24">
        <f>'Item Database'!A75</f>
        <v>13170</v>
      </c>
      <c r="B4" s="9" t="str">
        <f>'Item Database'!B75</f>
        <v>Skyshroud Leggings</v>
      </c>
      <c r="C4" s="12">
        <f>'Item Database'!C75</f>
        <v>12.535941676419686</v>
      </c>
      <c r="D4" s="9" t="str">
        <f>'Item Database'!D75</f>
        <v>Legs</v>
      </c>
      <c r="E4" s="9">
        <f>'Item Database'!E75</f>
        <v>75</v>
      </c>
      <c r="F4" s="9">
        <f>'Item Database'!F75</f>
        <v>0</v>
      </c>
      <c r="G4" s="9">
        <f>'Item Database'!G75</f>
        <v>8</v>
      </c>
      <c r="H4" s="9">
        <f>'Item Database'!H75</f>
        <v>0</v>
      </c>
      <c r="I4" s="9">
        <f>'Item Database'!I75</f>
        <v>8</v>
      </c>
      <c r="J4" s="9">
        <f>'Item Database'!J75</f>
        <v>0</v>
      </c>
      <c r="K4" s="9">
        <f>'Item Database'!K75</f>
        <v>34</v>
      </c>
      <c r="L4" s="35">
        <f>'Item Database'!L75</f>
        <v>0</v>
      </c>
      <c r="M4" s="35">
        <f>'Item Database'!M75</f>
        <v>0</v>
      </c>
      <c r="N4" s="9">
        <f>'Item Database'!N75</f>
        <v>0</v>
      </c>
      <c r="O4" s="9">
        <f>'Item Database'!O75</f>
        <v>0</v>
      </c>
      <c r="P4" s="9">
        <f>'Item Database'!P75</f>
        <v>0</v>
      </c>
      <c r="Q4" s="9">
        <f>'Item Database'!Q75</f>
        <v>0</v>
      </c>
      <c r="R4" s="9">
        <f>'Item Database'!R75</f>
        <v>0</v>
      </c>
      <c r="S4" s="9">
        <f>'Item Database'!S75</f>
        <v>0</v>
      </c>
      <c r="T4" s="53" t="str">
        <f>HYPERLINK('Item Database'!T75)</f>
        <v>https://classic.wowhead.com/item=13170</v>
      </c>
      <c r="U4" s="9">
        <f>IF(C4&lt;&gt;0,C4-Gear!$C$3,0)</f>
        <v>12.535941676419686</v>
      </c>
    </row>
    <row r="5" spans="1:21" x14ac:dyDescent="0.25">
      <c r="A5" s="9">
        <f>'Item Database'!A107</f>
        <v>16798</v>
      </c>
      <c r="B5" s="9" t="str">
        <f>'Item Database'!B107</f>
        <v>Arcanist Robes</v>
      </c>
      <c r="C5" s="12">
        <f>'Item Database'!C107</f>
        <v>9.2869820420816307</v>
      </c>
      <c r="D5" s="9" t="str">
        <f>'Item Database'!D107</f>
        <v>Chest</v>
      </c>
      <c r="E5" s="9">
        <f>'Item Database'!E107</f>
        <v>102</v>
      </c>
      <c r="F5" s="9">
        <f>'Item Database'!F107</f>
        <v>0</v>
      </c>
      <c r="G5" s="9">
        <f>'Item Database'!G107</f>
        <v>19</v>
      </c>
      <c r="H5" s="9">
        <f>'Item Database'!H107</f>
        <v>0</v>
      </c>
      <c r="I5" s="9">
        <f>'Item Database'!I107</f>
        <v>25</v>
      </c>
      <c r="J5" s="9">
        <f>'Item Database'!J107</f>
        <v>10</v>
      </c>
      <c r="K5" s="9">
        <f>'Item Database'!K107</f>
        <v>23</v>
      </c>
      <c r="L5" s="35">
        <f>'Item Database'!L107</f>
        <v>0</v>
      </c>
      <c r="M5" s="35">
        <f>'Item Database'!M107</f>
        <v>0</v>
      </c>
      <c r="N5" s="9">
        <f>'Item Database'!N107</f>
        <v>0</v>
      </c>
      <c r="O5" s="9">
        <f>'Item Database'!O107</f>
        <v>10</v>
      </c>
      <c r="P5" s="9">
        <f>'Item Database'!P107</f>
        <v>0</v>
      </c>
      <c r="Q5" s="9">
        <f>'Item Database'!Q107</f>
        <v>0</v>
      </c>
      <c r="R5" s="9">
        <f>'Item Database'!R107</f>
        <v>0</v>
      </c>
      <c r="S5" s="9">
        <f>'Item Database'!S107</f>
        <v>0</v>
      </c>
      <c r="T5" s="53" t="str">
        <f>HYPERLINK('Item Database'!T107)</f>
        <v>https://classic.wowhead.com/item=16798</v>
      </c>
      <c r="U5" s="9">
        <f>IF(C5&lt;&gt;0,C5-Gear!$C$3,0)</f>
        <v>9.2869820420816307</v>
      </c>
    </row>
    <row r="6" spans="1:21" x14ac:dyDescent="0.25">
      <c r="A6" s="9">
        <f>'Item Database'!A132</f>
        <v>13870</v>
      </c>
      <c r="B6" s="9" t="str">
        <f>'Item Database'!B132</f>
        <v>Frostweave Gloves</v>
      </c>
      <c r="C6" s="12">
        <f>'Item Database'!C132</f>
        <v>7.7863975710050406</v>
      </c>
      <c r="D6" s="9" t="str">
        <f>'Item Database'!D132</f>
        <v>Hands</v>
      </c>
      <c r="E6" s="9">
        <f>'Item Database'!E132</f>
        <v>43</v>
      </c>
      <c r="F6" s="9">
        <f>'Item Database'!F132</f>
        <v>0</v>
      </c>
      <c r="G6" s="9">
        <f>'Item Database'!G132</f>
        <v>0</v>
      </c>
      <c r="H6" s="9">
        <f>'Item Database'!H132</f>
        <v>0</v>
      </c>
      <c r="I6" s="9">
        <f>'Item Database'!I132</f>
        <v>6</v>
      </c>
      <c r="J6" s="9">
        <f>'Item Database'!J132</f>
        <v>0</v>
      </c>
      <c r="K6" s="9">
        <f>'Item Database'!K132</f>
        <v>21</v>
      </c>
      <c r="L6" s="35">
        <f>'Item Database'!L132</f>
        <v>0</v>
      </c>
      <c r="M6" s="35">
        <f>'Item Database'!M132</f>
        <v>0</v>
      </c>
      <c r="N6" s="9">
        <f>'Item Database'!N132</f>
        <v>0</v>
      </c>
      <c r="O6" s="9">
        <f>'Item Database'!O132</f>
        <v>0</v>
      </c>
      <c r="P6" s="9">
        <f>'Item Database'!P132</f>
        <v>0</v>
      </c>
      <c r="Q6" s="9">
        <f>'Item Database'!Q132</f>
        <v>0</v>
      </c>
      <c r="R6" s="9">
        <f>'Item Database'!R132</f>
        <v>0</v>
      </c>
      <c r="S6" s="9">
        <f>'Item Database'!S132</f>
        <v>0</v>
      </c>
      <c r="T6" s="53" t="str">
        <f>HYPERLINK('Item Database'!T132)</f>
        <v>https://classic.wowhead.com/item=13870</v>
      </c>
      <c r="U6" s="9">
        <f>IF(C6&lt;&gt;0,C6-Gear!$C$3,0)</f>
        <v>7.7863975710050406</v>
      </c>
    </row>
    <row r="7" spans="1:21" x14ac:dyDescent="0.25">
      <c r="A7" s="9">
        <f>'Item Database'!A139</f>
        <v>23001</v>
      </c>
      <c r="B7" s="9" t="str">
        <f>'Item Database'!B139</f>
        <v>Eye of Diminution</v>
      </c>
      <c r="C7" s="12">
        <f>'Item Database'!C139</f>
        <v>4.9012867475999995</v>
      </c>
      <c r="D7" s="9" t="str">
        <f>'Item Database'!D139</f>
        <v>Trinket</v>
      </c>
      <c r="E7" s="9">
        <f>'Item Database'!E139</f>
        <v>0</v>
      </c>
      <c r="F7" s="9">
        <f>'Item Database'!F139</f>
        <v>0</v>
      </c>
      <c r="G7" s="9">
        <f>'Item Database'!G139</f>
        <v>0</v>
      </c>
      <c r="H7" s="9">
        <f>'Item Database'!H139</f>
        <v>0</v>
      </c>
      <c r="I7" s="9">
        <f>'Item Database'!I139</f>
        <v>0</v>
      </c>
      <c r="J7" s="9">
        <f>'Item Database'!J139</f>
        <v>0</v>
      </c>
      <c r="K7" s="9">
        <f>'Item Database'!K139</f>
        <v>0</v>
      </c>
      <c r="L7" s="35">
        <f>'Item Database'!L139</f>
        <v>0.02</v>
      </c>
      <c r="M7" s="35">
        <f>'Item Database'!M139</f>
        <v>0</v>
      </c>
      <c r="N7" s="9">
        <f>'Item Database'!N139</f>
        <v>0</v>
      </c>
      <c r="O7" s="9">
        <f>'Item Database'!O139</f>
        <v>0</v>
      </c>
      <c r="P7" s="9">
        <f>'Item Database'!P139</f>
        <v>0</v>
      </c>
      <c r="Q7" s="9">
        <f>'Item Database'!Q139</f>
        <v>0</v>
      </c>
      <c r="R7" s="9">
        <f>'Item Database'!R139</f>
        <v>0</v>
      </c>
      <c r="S7" s="9">
        <f>'Item Database'!S139</f>
        <v>0</v>
      </c>
      <c r="T7" s="53" t="str">
        <f>HYPERLINK('Item Database'!T139)</f>
        <v>https://classic.wowhead.com/item=23001</v>
      </c>
      <c r="U7" s="9">
        <f>IF(C7&lt;&gt;0,C7-Gear!$C$3,0)</f>
        <v>4.9012867475999995</v>
      </c>
    </row>
    <row r="8" spans="1:21" x14ac:dyDescent="0.25">
      <c r="A8" s="9">
        <f>'Item Database'!A164</f>
        <v>19846</v>
      </c>
      <c r="B8" s="9" t="str">
        <f>'Item Database'!B164</f>
        <v>Zandalar Illusionist's Wraps</v>
      </c>
      <c r="C8" s="12">
        <f>'Item Database'!C164</f>
        <v>5.479242699156301</v>
      </c>
      <c r="D8" s="9" t="str">
        <f>'Item Database'!D164</f>
        <v>Wrist</v>
      </c>
      <c r="E8" s="9">
        <f>'Item Database'!E164</f>
        <v>41</v>
      </c>
      <c r="F8" s="9">
        <f>'Item Database'!F164</f>
        <v>0</v>
      </c>
      <c r="G8" s="9">
        <f>'Item Database'!G164</f>
        <v>11</v>
      </c>
      <c r="H8" s="9">
        <f>'Item Database'!H164</f>
        <v>0</v>
      </c>
      <c r="I8" s="9">
        <f>'Item Database'!I164</f>
        <v>11</v>
      </c>
      <c r="J8" s="9">
        <f>'Item Database'!J164</f>
        <v>9</v>
      </c>
      <c r="K8" s="9">
        <f>'Item Database'!K164</f>
        <v>14</v>
      </c>
      <c r="L8" s="35">
        <f>'Item Database'!L164</f>
        <v>0</v>
      </c>
      <c r="M8" s="35">
        <f>'Item Database'!M164</f>
        <v>0</v>
      </c>
      <c r="N8" s="9">
        <f>'Item Database'!N164</f>
        <v>0</v>
      </c>
      <c r="O8" s="9">
        <f>'Item Database'!O164</f>
        <v>0</v>
      </c>
      <c r="P8" s="9">
        <f>'Item Database'!P164</f>
        <v>0</v>
      </c>
      <c r="Q8" s="9">
        <f>'Item Database'!Q164</f>
        <v>0</v>
      </c>
      <c r="R8" s="9">
        <f>'Item Database'!R164</f>
        <v>0</v>
      </c>
      <c r="S8" s="9">
        <f>'Item Database'!S164</f>
        <v>0</v>
      </c>
      <c r="T8" s="53" t="str">
        <f>HYPERLINK('Item Database'!T164)</f>
        <v>https://classic.wowhead.com/item=19846</v>
      </c>
      <c r="U8" s="9">
        <f>IF(C8&lt;&gt;0,C8-Gear!$C$3,0)</f>
        <v>5.479242699156301</v>
      </c>
    </row>
    <row r="9" spans="1:21" x14ac:dyDescent="0.25">
      <c r="A9" s="24">
        <f>'Item Database'!A168</f>
        <v>20061</v>
      </c>
      <c r="B9" s="9" t="str">
        <f>'Item Database'!B168</f>
        <v>Highlander's Epaulets</v>
      </c>
      <c r="C9" s="12">
        <f>'Item Database'!C168</f>
        <v>5.0083403179116432</v>
      </c>
      <c r="D9" s="9" t="str">
        <f>'Item Database'!D168</f>
        <v>Shoulder</v>
      </c>
      <c r="E9" s="9">
        <f>'Item Database'!E168</f>
        <v>185</v>
      </c>
      <c r="F9" s="9">
        <f>'Item Database'!F168</f>
        <v>0</v>
      </c>
      <c r="G9" s="9">
        <f>'Item Database'!G168</f>
        <v>18</v>
      </c>
      <c r="H9" s="9">
        <f>'Item Database'!H168</f>
        <v>0</v>
      </c>
      <c r="I9" s="9">
        <f>'Item Database'!I168</f>
        <v>17</v>
      </c>
      <c r="J9" s="9">
        <f>'Item Database'!J168</f>
        <v>0</v>
      </c>
      <c r="K9" s="9">
        <f>'Item Database'!K168</f>
        <v>12</v>
      </c>
      <c r="L9" s="35">
        <f>'Item Database'!L168</f>
        <v>0</v>
      </c>
      <c r="M9" s="35">
        <f>'Item Database'!M168</f>
        <v>0</v>
      </c>
      <c r="N9" s="9">
        <f>'Item Database'!N168</f>
        <v>4</v>
      </c>
      <c r="O9" s="9">
        <f>'Item Database'!O168</f>
        <v>0</v>
      </c>
      <c r="P9" s="9">
        <f>'Item Database'!P168</f>
        <v>0</v>
      </c>
      <c r="Q9" s="9">
        <f>'Item Database'!Q168</f>
        <v>0</v>
      </c>
      <c r="R9" s="9">
        <f>'Item Database'!R168</f>
        <v>0</v>
      </c>
      <c r="S9" s="9">
        <f>'Item Database'!S168</f>
        <v>0</v>
      </c>
      <c r="T9" s="53" t="str">
        <f>HYPERLINK('Item Database'!T168)</f>
        <v>https://classic.wowhead.com/item=20061</v>
      </c>
      <c r="U9" s="9">
        <f>IF(C9&lt;&gt;0,C9-Gear!$C$3,0)</f>
        <v>5.0083403179116432</v>
      </c>
    </row>
    <row r="10" spans="1:21" x14ac:dyDescent="0.25">
      <c r="A10" s="24">
        <f>'Item Database'!A189</f>
        <v>23178</v>
      </c>
      <c r="B10" s="9" t="str">
        <f>'Item Database'!B189</f>
        <v>Mantle of Lady Falther'ess</v>
      </c>
      <c r="C10" s="12">
        <f>'Item Database'!C189</f>
        <v>3.6018029249589429</v>
      </c>
      <c r="D10" s="9" t="str">
        <f>'Item Database'!D189</f>
        <v>Back</v>
      </c>
      <c r="E10" s="9">
        <f>'Item Database'!E189</f>
        <v>30</v>
      </c>
      <c r="F10" s="9">
        <f>'Item Database'!F189</f>
        <v>0</v>
      </c>
      <c r="G10" s="9">
        <f>'Item Database'!G189</f>
        <v>0</v>
      </c>
      <c r="H10" s="9">
        <f>'Item Database'!H189</f>
        <v>0</v>
      </c>
      <c r="I10" s="9">
        <f>'Item Database'!I189</f>
        <v>9</v>
      </c>
      <c r="J10" s="9">
        <f>'Item Database'!J189</f>
        <v>0</v>
      </c>
      <c r="K10" s="9">
        <f>'Item Database'!K189</f>
        <v>9</v>
      </c>
      <c r="L10" s="35">
        <f>'Item Database'!L189</f>
        <v>0</v>
      </c>
      <c r="M10" s="35">
        <f>'Item Database'!M189</f>
        <v>0</v>
      </c>
      <c r="N10" s="9">
        <f>'Item Database'!N189</f>
        <v>0</v>
      </c>
      <c r="O10" s="9">
        <f>'Item Database'!O189</f>
        <v>0</v>
      </c>
      <c r="P10" s="9">
        <f>'Item Database'!P189</f>
        <v>0</v>
      </c>
      <c r="Q10" s="9">
        <f>'Item Database'!Q189</f>
        <v>0</v>
      </c>
      <c r="R10" s="9">
        <f>'Item Database'!R189</f>
        <v>0</v>
      </c>
      <c r="S10" s="9">
        <f>'Item Database'!S189</f>
        <v>0</v>
      </c>
      <c r="T10" s="53" t="str">
        <f>HYPERLINK('Item Database'!T189)</f>
        <v>https://classic.wowhead.com/item=23178</v>
      </c>
      <c r="U10" s="9">
        <f>IF(C10&lt;&gt;0,C10-Gear!$C$3,0)</f>
        <v>3.6018029249589429</v>
      </c>
    </row>
    <row r="11" spans="1:21" x14ac:dyDescent="0.25">
      <c r="A11" s="24">
        <f>'Item Database'!A193</f>
        <v>11824</v>
      </c>
      <c r="B11" s="9" t="str">
        <f>'Item Database'!B193</f>
        <v>Cyclopean Band</v>
      </c>
      <c r="C11" s="12">
        <f>'Item Database'!C193</f>
        <v>3.5194283577723882</v>
      </c>
      <c r="D11" s="9" t="str">
        <f>'Item Database'!D193</f>
        <v>Ring</v>
      </c>
      <c r="E11" s="9">
        <f>'Item Database'!E193</f>
        <v>0</v>
      </c>
      <c r="F11" s="9">
        <f>'Item Database'!F193</f>
        <v>0</v>
      </c>
      <c r="G11" s="9">
        <f>'Item Database'!G193</f>
        <v>8</v>
      </c>
      <c r="H11" s="9">
        <f>'Item Database'!H193</f>
        <v>0</v>
      </c>
      <c r="I11" s="9">
        <f>'Item Database'!I193</f>
        <v>7</v>
      </c>
      <c r="J11" s="9">
        <f>'Item Database'!J193</f>
        <v>4</v>
      </c>
      <c r="K11" s="9">
        <f>'Item Database'!K193</f>
        <v>9</v>
      </c>
      <c r="L11" s="35">
        <f>'Item Database'!L193</f>
        <v>0</v>
      </c>
      <c r="M11" s="35">
        <f>'Item Database'!M193</f>
        <v>0</v>
      </c>
      <c r="N11" s="9">
        <f>'Item Database'!N193</f>
        <v>0</v>
      </c>
      <c r="O11" s="9">
        <f>'Item Database'!O193</f>
        <v>0</v>
      </c>
      <c r="P11" s="9">
        <f>'Item Database'!P193</f>
        <v>0</v>
      </c>
      <c r="Q11" s="9">
        <f>'Item Database'!Q193</f>
        <v>0</v>
      </c>
      <c r="R11" s="9">
        <f>'Item Database'!R193</f>
        <v>0</v>
      </c>
      <c r="S11" s="9">
        <f>'Item Database'!S193</f>
        <v>0</v>
      </c>
      <c r="T11" s="53" t="str">
        <f>HYPERLINK('Item Database'!T193)</f>
        <v>https://classic.wowhead.com/item=11824</v>
      </c>
      <c r="U11" s="9">
        <f>IF(C11&lt;&gt;0,C11-Gear!$C$3,0)</f>
        <v>3.5194283577723882</v>
      </c>
    </row>
    <row r="12" spans="1:21" x14ac:dyDescent="0.25">
      <c r="A12" s="9">
        <f>'Item Database'!A237</f>
        <v>13141</v>
      </c>
      <c r="B12" s="9" t="str">
        <f>'Item Database'!B237</f>
        <v>Tooth of Gnarr</v>
      </c>
      <c r="C12" s="12">
        <f>'Item Database'!C237</f>
        <v>0.57662197030588236</v>
      </c>
      <c r="D12" s="9" t="str">
        <f>'Item Database'!D237</f>
        <v>Neck</v>
      </c>
      <c r="E12" s="9">
        <f>'Item Database'!E237</f>
        <v>0</v>
      </c>
      <c r="F12" s="9">
        <f>'Item Database'!F237</f>
        <v>0</v>
      </c>
      <c r="G12" s="9">
        <f>'Item Database'!G237</f>
        <v>8</v>
      </c>
      <c r="H12" s="9">
        <f>'Item Database'!H237</f>
        <v>0</v>
      </c>
      <c r="I12" s="9">
        <f>'Item Database'!I237</f>
        <v>14</v>
      </c>
      <c r="J12" s="9">
        <f>'Item Database'!J237</f>
        <v>0</v>
      </c>
      <c r="K12" s="9">
        <f>'Item Database'!K237</f>
        <v>0</v>
      </c>
      <c r="L12" s="35">
        <f>'Item Database'!L237</f>
        <v>0</v>
      </c>
      <c r="M12" s="35">
        <f>'Item Database'!M237</f>
        <v>0</v>
      </c>
      <c r="N12" s="9">
        <f>'Item Database'!N237</f>
        <v>3</v>
      </c>
      <c r="O12" s="9">
        <f>'Item Database'!O237</f>
        <v>0</v>
      </c>
      <c r="P12" s="9">
        <f>'Item Database'!P237</f>
        <v>0</v>
      </c>
      <c r="Q12" s="9">
        <f>'Item Database'!Q237</f>
        <v>0</v>
      </c>
      <c r="R12" s="9">
        <f>'Item Database'!R237</f>
        <v>0</v>
      </c>
      <c r="S12" s="9">
        <f>'Item Database'!S237</f>
        <v>0</v>
      </c>
      <c r="T12" s="53" t="str">
        <f>HYPERLINK('Item Database'!T237)</f>
        <v>https://classic.wowhead.com/item=13141</v>
      </c>
      <c r="U12" s="9">
        <f>IF(C12&lt;&gt;0,C12-Gear!$C$3,0)</f>
        <v>0.57662197030588236</v>
      </c>
    </row>
    <row r="13" spans="1:21" x14ac:dyDescent="0.25">
      <c r="A13" s="9">
        <f>'Item Database'!A256</f>
        <v>17707</v>
      </c>
      <c r="B13" s="9" t="str">
        <f>'Item Database'!B256</f>
        <v>Gemshard Heart</v>
      </c>
      <c r="C13" s="12">
        <f>'Item Database'!C256</f>
        <v>0.41187283593277307</v>
      </c>
      <c r="D13" s="9" t="str">
        <f>'Item Database'!D256</f>
        <v>Neck</v>
      </c>
      <c r="E13" s="9">
        <f>'Item Database'!E256</f>
        <v>0</v>
      </c>
      <c r="F13" s="9">
        <f>'Item Database'!F256</f>
        <v>0</v>
      </c>
      <c r="G13" s="9">
        <f>'Item Database'!G256</f>
        <v>10</v>
      </c>
      <c r="H13" s="9">
        <f>'Item Database'!H256</f>
        <v>0</v>
      </c>
      <c r="I13" s="9">
        <f>'Item Database'!I256</f>
        <v>10</v>
      </c>
      <c r="J13" s="9">
        <f>'Item Database'!J256</f>
        <v>6</v>
      </c>
      <c r="K13" s="9">
        <f>'Item Database'!K256</f>
        <v>0</v>
      </c>
      <c r="L13" s="35">
        <f>'Item Database'!L256</f>
        <v>0</v>
      </c>
      <c r="M13" s="35">
        <f>'Item Database'!M256</f>
        <v>0</v>
      </c>
      <c r="N13" s="9">
        <f>'Item Database'!N256</f>
        <v>0</v>
      </c>
      <c r="O13" s="9">
        <f>'Item Database'!O256</f>
        <v>0</v>
      </c>
      <c r="P13" s="9">
        <f>'Item Database'!P256</f>
        <v>0</v>
      </c>
      <c r="Q13" s="9">
        <f>'Item Database'!Q256</f>
        <v>0</v>
      </c>
      <c r="R13" s="9">
        <f>'Item Database'!R256</f>
        <v>0</v>
      </c>
      <c r="S13" s="9">
        <f>'Item Database'!S256</f>
        <v>0</v>
      </c>
      <c r="T13" s="53" t="str">
        <f>HYPERLINK('Item Database'!T256)</f>
        <v>https://classic.wowhead.com/item=17707</v>
      </c>
      <c r="U13" s="9">
        <f>IF(C13&lt;&gt;0,C13-Gear!$C$3,0)</f>
        <v>0.41187283593277307</v>
      </c>
    </row>
    <row r="14" spans="1:21" x14ac:dyDescent="0.25">
      <c r="A14" s="9">
        <f>'Item Database'!A269</f>
        <v>13960</v>
      </c>
      <c r="B14" s="9" t="str">
        <f>'Item Database'!B269</f>
        <v>Heart of the Fiend</v>
      </c>
      <c r="C14" s="12">
        <f>'Item Database'!C269</f>
        <v>0.20593641796638654</v>
      </c>
      <c r="D14" s="9" t="str">
        <f>'Item Database'!D269</f>
        <v>Neck</v>
      </c>
      <c r="E14" s="9">
        <f>'Item Database'!E269</f>
        <v>0</v>
      </c>
      <c r="F14" s="9">
        <f>'Item Database'!F269</f>
        <v>0</v>
      </c>
      <c r="G14" s="9">
        <f>'Item Database'!G269</f>
        <v>5</v>
      </c>
      <c r="H14" s="9">
        <f>'Item Database'!H269</f>
        <v>0</v>
      </c>
      <c r="I14" s="9">
        <f>'Item Database'!I269</f>
        <v>5</v>
      </c>
      <c r="J14" s="9">
        <f>'Item Database'!J269</f>
        <v>15</v>
      </c>
      <c r="K14" s="9">
        <f>'Item Database'!K269</f>
        <v>0</v>
      </c>
      <c r="L14" s="35">
        <f>'Item Database'!L269</f>
        <v>0</v>
      </c>
      <c r="M14" s="35">
        <f>'Item Database'!M269</f>
        <v>0</v>
      </c>
      <c r="N14" s="9">
        <f>'Item Database'!N269</f>
        <v>0</v>
      </c>
      <c r="O14" s="9">
        <f>'Item Database'!O269</f>
        <v>0</v>
      </c>
      <c r="P14" s="9">
        <f>'Item Database'!P269</f>
        <v>0</v>
      </c>
      <c r="Q14" s="9">
        <f>'Item Database'!Q269</f>
        <v>0</v>
      </c>
      <c r="R14" s="9">
        <f>'Item Database'!R269</f>
        <v>0</v>
      </c>
      <c r="S14" s="9">
        <f>'Item Database'!S269</f>
        <v>0</v>
      </c>
      <c r="T14" s="53" t="str">
        <f>HYPERLINK('Item Database'!T269)</f>
        <v>https://classic.wowhead.com/item=13960</v>
      </c>
      <c r="U14" s="9">
        <f>IF(C14&lt;&gt;0,C14-Gear!$C$3,0)</f>
        <v>0.20593641796638654</v>
      </c>
    </row>
    <row r="15" spans="1:21" x14ac:dyDescent="0.25">
      <c r="A15" s="9">
        <f>'Item Database'!A271</f>
        <v>10769</v>
      </c>
      <c r="B15" s="9" t="str">
        <f>'Item Database'!B271</f>
        <v>Glowing Eye of Mordresh</v>
      </c>
      <c r="C15" s="12">
        <f>'Item Database'!C271</f>
        <v>0.20593641796638654</v>
      </c>
      <c r="D15" s="9" t="str">
        <f>'Item Database'!D271</f>
        <v>Neck</v>
      </c>
      <c r="E15" s="9">
        <f>'Item Database'!E271</f>
        <v>0</v>
      </c>
      <c r="F15" s="9">
        <f>'Item Database'!F271</f>
        <v>0</v>
      </c>
      <c r="G15" s="9">
        <f>'Item Database'!G271</f>
        <v>0</v>
      </c>
      <c r="H15" s="9">
        <f>'Item Database'!H271</f>
        <v>0</v>
      </c>
      <c r="I15" s="9">
        <f>'Item Database'!I271</f>
        <v>5</v>
      </c>
      <c r="J15" s="9">
        <f>'Item Database'!J271</f>
        <v>11</v>
      </c>
      <c r="K15" s="9">
        <f>'Item Database'!K271</f>
        <v>0</v>
      </c>
      <c r="L15" s="35">
        <f>'Item Database'!L271</f>
        <v>0</v>
      </c>
      <c r="M15" s="35">
        <f>'Item Database'!M271</f>
        <v>0</v>
      </c>
      <c r="N15" s="9">
        <f>'Item Database'!N271</f>
        <v>0</v>
      </c>
      <c r="O15" s="9">
        <f>'Item Database'!O271</f>
        <v>0</v>
      </c>
      <c r="P15" s="9">
        <f>'Item Database'!P271</f>
        <v>0</v>
      </c>
      <c r="Q15" s="9">
        <f>'Item Database'!Q271</f>
        <v>0</v>
      </c>
      <c r="R15" s="9">
        <f>'Item Database'!R271</f>
        <v>0</v>
      </c>
      <c r="S15" s="9">
        <f>'Item Database'!S271</f>
        <v>0</v>
      </c>
      <c r="T15" s="53" t="str">
        <f>HYPERLINK('Item Database'!T271)</f>
        <v>https://classic.wowhead.com/item=10769</v>
      </c>
      <c r="U15" s="9">
        <f>IF(C15&lt;&gt;0,C15-Gear!$C$3,0)</f>
        <v>0.20593641796638654</v>
      </c>
    </row>
    <row r="16" spans="1:21" x14ac:dyDescent="0.25">
      <c r="A16" s="9">
        <f>'Item Database'!A287</f>
        <v>10829</v>
      </c>
      <c r="B16" s="9" t="str">
        <f>'Item Database'!B287</f>
        <v>Dragon's Eye</v>
      </c>
      <c r="C16" s="12">
        <f>'Item Database'!C287</f>
        <v>0</v>
      </c>
      <c r="D16" s="9" t="str">
        <f>'Item Database'!D287</f>
        <v>Neck</v>
      </c>
      <c r="E16" s="9">
        <f>'Item Database'!E287</f>
        <v>0</v>
      </c>
      <c r="F16" s="9">
        <f>'Item Database'!F287</f>
        <v>0</v>
      </c>
      <c r="G16" s="9">
        <f>'Item Database'!G287</f>
        <v>6</v>
      </c>
      <c r="H16" s="9">
        <f>'Item Database'!H287</f>
        <v>0</v>
      </c>
      <c r="I16" s="9">
        <f>'Item Database'!I287</f>
        <v>0</v>
      </c>
      <c r="J16" s="9">
        <f>'Item Database'!J287</f>
        <v>15</v>
      </c>
      <c r="K16" s="9">
        <f>'Item Database'!K287</f>
        <v>0</v>
      </c>
      <c r="L16" s="35">
        <f>'Item Database'!L287</f>
        <v>0</v>
      </c>
      <c r="M16" s="35">
        <f>'Item Database'!M287</f>
        <v>0</v>
      </c>
      <c r="N16" s="9">
        <f>'Item Database'!N287</f>
        <v>0</v>
      </c>
      <c r="O16" s="9">
        <f>'Item Database'!O287</f>
        <v>0</v>
      </c>
      <c r="P16" s="9">
        <f>'Item Database'!P287</f>
        <v>0</v>
      </c>
      <c r="Q16" s="9">
        <f>'Item Database'!Q287</f>
        <v>0</v>
      </c>
      <c r="R16" s="9">
        <f>'Item Database'!R287</f>
        <v>0</v>
      </c>
      <c r="S16" s="9">
        <f>'Item Database'!S287</f>
        <v>0</v>
      </c>
      <c r="T16" s="53" t="str">
        <f>HYPERLINK('Item Database'!T287)</f>
        <v>https://classic.wowhead.com/item=10829</v>
      </c>
      <c r="U16" s="9">
        <f>IF(C16&lt;&gt;0,C16-Gear!$C$3,0)</f>
        <v>0</v>
      </c>
    </row>
    <row r="17" spans="1:21" x14ac:dyDescent="0.25">
      <c r="A17" s="9">
        <f>'Item Database'!A288</f>
        <v>9641</v>
      </c>
      <c r="B17" s="9" t="str">
        <f>'Item Database'!B288</f>
        <v>Lifeblood Amulet</v>
      </c>
      <c r="C17" s="12">
        <f>'Item Database'!C288</f>
        <v>0</v>
      </c>
      <c r="D17" s="9" t="str">
        <f>'Item Database'!D288</f>
        <v>Neck</v>
      </c>
      <c r="E17" s="9">
        <f>'Item Database'!E288</f>
        <v>0</v>
      </c>
      <c r="F17" s="9">
        <f>'Item Database'!F288</f>
        <v>0</v>
      </c>
      <c r="G17" s="9">
        <f>'Item Database'!G288</f>
        <v>13</v>
      </c>
      <c r="H17" s="9">
        <f>'Item Database'!H288</f>
        <v>0</v>
      </c>
      <c r="I17" s="9">
        <f>'Item Database'!I288</f>
        <v>0</v>
      </c>
      <c r="J17" s="9">
        <f>'Item Database'!J288</f>
        <v>5</v>
      </c>
      <c r="K17" s="9">
        <f>'Item Database'!K288</f>
        <v>0</v>
      </c>
      <c r="L17" s="35">
        <f>'Item Database'!L288</f>
        <v>0</v>
      </c>
      <c r="M17" s="35">
        <f>'Item Database'!M288</f>
        <v>0</v>
      </c>
      <c r="N17" s="9">
        <f>'Item Database'!N288</f>
        <v>0</v>
      </c>
      <c r="O17" s="9">
        <f>'Item Database'!O288</f>
        <v>0</v>
      </c>
      <c r="P17" s="9">
        <f>'Item Database'!P288</f>
        <v>0</v>
      </c>
      <c r="Q17" s="9">
        <f>'Item Database'!Q288</f>
        <v>0</v>
      </c>
      <c r="R17" s="9">
        <f>'Item Database'!R288</f>
        <v>0</v>
      </c>
      <c r="S17" s="9">
        <f>'Item Database'!S288</f>
        <v>0</v>
      </c>
      <c r="T17" s="53" t="str">
        <f>HYPERLINK('Item Database'!T288)</f>
        <v>https://classic.wowhead.com/item=9641</v>
      </c>
      <c r="U17" s="9">
        <f>IF(C17&lt;&gt;0,C17-Gear!$C$3,0)</f>
        <v>0</v>
      </c>
    </row>
    <row r="18" spans="1:21" x14ac:dyDescent="0.25">
      <c r="U18" s="9">
        <f>IF(C18&lt;&gt;0,C18-Gear!$C$3,0)</f>
        <v>0</v>
      </c>
    </row>
    <row r="19" spans="1:21" x14ac:dyDescent="0.25">
      <c r="T19" s="53">
        <f>IF(C19&lt;&gt;0,C19-Gear!$C$3,0)</f>
        <v>0</v>
      </c>
    </row>
    <row r="20" spans="1:21" x14ac:dyDescent="0.25">
      <c r="T20" s="53">
        <f>IF(C20&lt;&gt;0,C20-Gear!$C$3,0)</f>
        <v>0</v>
      </c>
    </row>
    <row r="21" spans="1:21" x14ac:dyDescent="0.25">
      <c r="T21" s="53">
        <f>IF(C21&lt;&gt;0,C21-Gear!$C$3,0)</f>
        <v>0</v>
      </c>
    </row>
    <row r="22" spans="1:21" x14ac:dyDescent="0.25">
      <c r="T22" s="53">
        <f>IF(C22&lt;&gt;0,C22-Gear!$C$3,0)</f>
        <v>0</v>
      </c>
    </row>
    <row r="23" spans="1:21" x14ac:dyDescent="0.25">
      <c r="T23" s="53">
        <f>IF(C23&lt;&gt;0,C23-Gear!$C$3,0)</f>
        <v>0</v>
      </c>
    </row>
    <row r="24" spans="1:21" x14ac:dyDescent="0.25">
      <c r="T24" s="53">
        <f>IF(C24&lt;&gt;0,C24-Gear!$C$3,0)</f>
        <v>0</v>
      </c>
    </row>
    <row r="25" spans="1:21" x14ac:dyDescent="0.25">
      <c r="T25" s="53">
        <f>IF(C25&lt;&gt;0,C25-Gear!$C$3,0)</f>
        <v>0</v>
      </c>
    </row>
    <row r="26" spans="1:21" x14ac:dyDescent="0.25">
      <c r="T26" s="53">
        <f>IF(C26&lt;&gt;0,C26-Gear!$C$3,0)</f>
        <v>0</v>
      </c>
    </row>
    <row r="27" spans="1:21" x14ac:dyDescent="0.25">
      <c r="T27" s="53">
        <f>IF(C27&lt;&gt;0,C27-Gear!$C$3,0)</f>
        <v>0</v>
      </c>
    </row>
    <row r="28" spans="1:21" x14ac:dyDescent="0.25">
      <c r="T28" s="53">
        <f>IF(C28&lt;&gt;0,C28-Gear!$C$3,0)</f>
        <v>0</v>
      </c>
    </row>
    <row r="29" spans="1:21" x14ac:dyDescent="0.25">
      <c r="T29" s="53">
        <f>IF(C29&lt;&gt;0,C29-Gear!$C$3,0)</f>
        <v>0</v>
      </c>
    </row>
    <row r="30" spans="1:21" x14ac:dyDescent="0.25">
      <c r="T30" s="53">
        <f>IF(C30&lt;&gt;0,C30-Gear!$C$3,0)</f>
        <v>0</v>
      </c>
    </row>
    <row r="31" spans="1:21" x14ac:dyDescent="0.25">
      <c r="T31" s="53">
        <f>IF(C31&lt;&gt;0,C31-Gear!$C$3,0)</f>
        <v>0</v>
      </c>
    </row>
    <row r="32" spans="1:21" x14ac:dyDescent="0.25">
      <c r="T32" s="53">
        <f>IF(C32&lt;&gt;0,C32-Gear!$C$3,0)</f>
        <v>0</v>
      </c>
    </row>
    <row r="33" spans="20:20" x14ac:dyDescent="0.25">
      <c r="T33" s="53">
        <f>IF(C33&lt;&gt;0,C33-Gear!$C$3,0)</f>
        <v>0</v>
      </c>
    </row>
    <row r="34" spans="20:20" x14ac:dyDescent="0.25">
      <c r="T34" s="53">
        <f>IF(C34&lt;&gt;0,C34-Gear!$C$3,0)</f>
        <v>0</v>
      </c>
    </row>
    <row r="35" spans="20:20" x14ac:dyDescent="0.25">
      <c r="T35" s="53">
        <f>IF(C35&lt;&gt;0,C35-Gear!$C$3,0)</f>
        <v>0</v>
      </c>
    </row>
    <row r="36" spans="20:20" x14ac:dyDescent="0.25">
      <c r="T36" s="53">
        <f>IF(C36&lt;&gt;0,C36-Gear!$C$3,0)</f>
        <v>0</v>
      </c>
    </row>
    <row r="37" spans="20:20" x14ac:dyDescent="0.25">
      <c r="T37" s="53">
        <f>IF(C37&lt;&gt;0,C37-Gear!$C$3,0)</f>
        <v>0</v>
      </c>
    </row>
    <row r="38" spans="20:20" x14ac:dyDescent="0.25">
      <c r="T38" s="53">
        <f>IF(C38&lt;&gt;0,C38-Gear!$C$3,0)</f>
        <v>0</v>
      </c>
    </row>
    <row r="39" spans="20:20" x14ac:dyDescent="0.25">
      <c r="T39" s="53">
        <f>IF(C39&lt;&gt;0,C39-Gear!$C$3,0)</f>
        <v>0</v>
      </c>
    </row>
    <row r="40" spans="20:20" x14ac:dyDescent="0.25">
      <c r="T40" s="53">
        <f>IF(C40&lt;&gt;0,C40-Gear!$C$3,0)</f>
        <v>0</v>
      </c>
    </row>
    <row r="41" spans="20:20" x14ac:dyDescent="0.25">
      <c r="T41" s="53">
        <f>IF(C41&lt;&gt;0,C41-Gear!$C$3,0)</f>
        <v>0</v>
      </c>
    </row>
    <row r="42" spans="20:20" x14ac:dyDescent="0.25">
      <c r="T42" s="53">
        <f>IF(C42&lt;&gt;0,C42-Gear!$C$3,0)</f>
        <v>0</v>
      </c>
    </row>
    <row r="43" spans="20:20" x14ac:dyDescent="0.25">
      <c r="T43" s="53">
        <f>IF(C43&lt;&gt;0,C43-Gear!$C$3,0)</f>
        <v>0</v>
      </c>
    </row>
    <row r="44" spans="20:20" x14ac:dyDescent="0.25">
      <c r="T44" s="53">
        <f>IF(C44&lt;&gt;0,C44-Gear!$C$3,0)</f>
        <v>0</v>
      </c>
    </row>
    <row r="45" spans="20:20" x14ac:dyDescent="0.25">
      <c r="T45" s="53">
        <f>IF(C45&lt;&gt;0,C45-Gear!$C$3,0)</f>
        <v>0</v>
      </c>
    </row>
    <row r="46" spans="20:20" x14ac:dyDescent="0.25">
      <c r="T46" s="53">
        <f>IF(C46&lt;&gt;0,C46-Gear!$C$3,0)</f>
        <v>0</v>
      </c>
    </row>
    <row r="47" spans="20:20" x14ac:dyDescent="0.25">
      <c r="T47" s="53">
        <f>IF(C47&lt;&gt;0,C47-Gear!$C$3,0)</f>
        <v>0</v>
      </c>
    </row>
    <row r="48" spans="20:20" x14ac:dyDescent="0.25">
      <c r="T48" s="53">
        <f>IF(C48&lt;&gt;0,C48-Gear!$C$3,0)</f>
        <v>0</v>
      </c>
    </row>
    <row r="49" spans="20:20" x14ac:dyDescent="0.25">
      <c r="T49" s="53">
        <f>IF(C49&lt;&gt;0,C49-Gear!$C$3,0)</f>
        <v>0</v>
      </c>
    </row>
    <row r="50" spans="20:20" x14ac:dyDescent="0.25">
      <c r="T50" s="53">
        <f>IF(C50&lt;&gt;0,C50-Gear!$C$3,0)</f>
        <v>0</v>
      </c>
    </row>
    <row r="51" spans="20:20" x14ac:dyDescent="0.25">
      <c r="T51" s="53">
        <f>IF(C51&lt;&gt;0,C51-Gear!$C$3,0)</f>
        <v>0</v>
      </c>
    </row>
    <row r="52" spans="20:20" x14ac:dyDescent="0.25">
      <c r="T52" s="53">
        <f>IF(C52&lt;&gt;0,C52-Gear!$C$3,0)</f>
        <v>0</v>
      </c>
    </row>
    <row r="53" spans="20:20" x14ac:dyDescent="0.25">
      <c r="T53" s="53">
        <f>IF(C53&lt;&gt;0,C53-Gear!$C$3,0)</f>
        <v>0</v>
      </c>
    </row>
    <row r="54" spans="20:20" x14ac:dyDescent="0.25">
      <c r="T54" s="53">
        <f>IF(C54&lt;&gt;0,C54-Gear!$C$3,0)</f>
        <v>0</v>
      </c>
    </row>
    <row r="55" spans="20:20" x14ac:dyDescent="0.25">
      <c r="T55" s="53">
        <f>IF(C55&lt;&gt;0,C55-Gear!$C$3,0)</f>
        <v>0</v>
      </c>
    </row>
    <row r="56" spans="20:20" x14ac:dyDescent="0.25">
      <c r="T56" s="53">
        <f>IF(C56&lt;&gt;0,C56-Gear!$C$3,0)</f>
        <v>0</v>
      </c>
    </row>
    <row r="57" spans="20:20" x14ac:dyDescent="0.25">
      <c r="T57" s="53">
        <f>IF(C57&lt;&gt;0,C57-Gear!$C$3,0)</f>
        <v>0</v>
      </c>
    </row>
    <row r="58" spans="20:20" x14ac:dyDescent="0.25">
      <c r="T58" s="53">
        <f>IF(C58&lt;&gt;0,C58-Gear!$C$3,0)</f>
        <v>0</v>
      </c>
    </row>
    <row r="59" spans="20:20" x14ac:dyDescent="0.25">
      <c r="T59" s="53">
        <f>IF(C59&lt;&gt;0,C59-Gear!$C$3,0)</f>
        <v>0</v>
      </c>
    </row>
    <row r="60" spans="20:20" x14ac:dyDescent="0.25">
      <c r="T60" s="53">
        <f>IF(C60&lt;&gt;0,C60-Gear!$C$3,0)</f>
        <v>0</v>
      </c>
    </row>
    <row r="61" spans="20:20" x14ac:dyDescent="0.25">
      <c r="T61" s="53">
        <f>IF(C61&lt;&gt;0,C61-Gear!$C$3,0)</f>
        <v>0</v>
      </c>
    </row>
    <row r="62" spans="20:20" x14ac:dyDescent="0.25">
      <c r="T62" s="53">
        <f>IF(C62&lt;&gt;0,C62-Gear!$C$3,0)</f>
        <v>0</v>
      </c>
    </row>
    <row r="63" spans="20:20" x14ac:dyDescent="0.25">
      <c r="T63" s="53">
        <f>IF(C63&lt;&gt;0,C63-Gear!$C$3,0)</f>
        <v>0</v>
      </c>
    </row>
    <row r="64" spans="20:20" x14ac:dyDescent="0.25">
      <c r="T64" s="53">
        <f>IF(C64&lt;&gt;0,C64-Gear!$C$3,0)</f>
        <v>0</v>
      </c>
    </row>
    <row r="65" spans="20:20" x14ac:dyDescent="0.25">
      <c r="T65" s="53">
        <f>IF(C65&lt;&gt;0,C65-Gear!$C$3,0)</f>
        <v>0</v>
      </c>
    </row>
    <row r="66" spans="20:20" x14ac:dyDescent="0.25">
      <c r="T66" s="53">
        <f>IF(C66&lt;&gt;0,C66-Gear!$C$3,0)</f>
        <v>0</v>
      </c>
    </row>
    <row r="67" spans="20:20" x14ac:dyDescent="0.25">
      <c r="T67" s="53">
        <f>IF(C67&lt;&gt;0,C67-Gear!$C$3,0)</f>
        <v>0</v>
      </c>
    </row>
    <row r="68" spans="20:20" x14ac:dyDescent="0.25">
      <c r="T68" s="53">
        <f>IF(C68&lt;&gt;0,C68-Gear!$C$3,0)</f>
        <v>0</v>
      </c>
    </row>
    <row r="69" spans="20:20" x14ac:dyDescent="0.25">
      <c r="T69" s="53">
        <f>IF(C69&lt;&gt;0,C69-Gear!$C$3,0)</f>
        <v>0</v>
      </c>
    </row>
    <row r="70" spans="20:20" x14ac:dyDescent="0.25">
      <c r="T70" s="53">
        <f>IF(C70&lt;&gt;0,C70-Gear!$C$3,0)</f>
        <v>0</v>
      </c>
    </row>
    <row r="71" spans="20:20" x14ac:dyDescent="0.25">
      <c r="T71" s="53">
        <f>IF(C71&lt;&gt;0,C71-Gear!$C$3,0)</f>
        <v>0</v>
      </c>
    </row>
    <row r="72" spans="20:20" x14ac:dyDescent="0.25">
      <c r="T72" s="53">
        <f>IF(C72&lt;&gt;0,C72-Gear!$C$3,0)</f>
        <v>0</v>
      </c>
    </row>
    <row r="73" spans="20:20" x14ac:dyDescent="0.25">
      <c r="T73" s="53">
        <f>IF(C73&lt;&gt;0,C73-Gear!$C$3,0)</f>
        <v>0</v>
      </c>
    </row>
    <row r="74" spans="20:20" x14ac:dyDescent="0.25">
      <c r="T74" s="53">
        <f>IF(C74&lt;&gt;0,C74-Gear!$C$3,0)</f>
        <v>0</v>
      </c>
    </row>
    <row r="75" spans="20:20" x14ac:dyDescent="0.25">
      <c r="T75" s="53">
        <f>IF(C75&lt;&gt;0,C75-Gear!$C$3,0)</f>
        <v>0</v>
      </c>
    </row>
    <row r="76" spans="20:20" x14ac:dyDescent="0.25">
      <c r="T76" s="53">
        <f>IF(C76&lt;&gt;0,C76-Gear!$C$3,0)</f>
        <v>0</v>
      </c>
    </row>
    <row r="77" spans="20:20" x14ac:dyDescent="0.25">
      <c r="T77" s="53">
        <f>IF(C77&lt;&gt;0,C77-Gear!$C$3,0)</f>
        <v>0</v>
      </c>
    </row>
    <row r="78" spans="20:20" x14ac:dyDescent="0.25">
      <c r="T78" s="53">
        <f>IF(C78&lt;&gt;0,C78-Gear!$C$3,0)</f>
        <v>0</v>
      </c>
    </row>
    <row r="79" spans="20:20" x14ac:dyDescent="0.25">
      <c r="T79" s="53">
        <f>IF(C79&lt;&gt;0,C79-Gear!$C$3,0)</f>
        <v>0</v>
      </c>
    </row>
    <row r="80" spans="20:20" x14ac:dyDescent="0.25">
      <c r="T80" s="53">
        <f>IF(C80&lt;&gt;0,C80-Gear!$C$3,0)</f>
        <v>0</v>
      </c>
    </row>
    <row r="81" spans="20:20" x14ac:dyDescent="0.25">
      <c r="T81" s="53">
        <f>IF(C81&lt;&gt;0,C81-Gear!$C$3,0)</f>
        <v>0</v>
      </c>
    </row>
    <row r="82" spans="20:20" x14ac:dyDescent="0.25">
      <c r="T82" s="53">
        <f>IF(C82&lt;&gt;0,C82-Gear!$C$3,0)</f>
        <v>0</v>
      </c>
    </row>
    <row r="83" spans="20:20" x14ac:dyDescent="0.25">
      <c r="T83" s="53">
        <f>IF(C83&lt;&gt;0,C83-Gear!$C$3,0)</f>
        <v>0</v>
      </c>
    </row>
    <row r="84" spans="20:20" x14ac:dyDescent="0.25">
      <c r="T84" s="53">
        <f>IF(C84&lt;&gt;0,C84-Gear!$C$3,0)</f>
        <v>0</v>
      </c>
    </row>
    <row r="85" spans="20:20" x14ac:dyDescent="0.25">
      <c r="T85" s="53">
        <f>IF(C85&lt;&gt;0,C85-Gear!$C$3,0)</f>
        <v>0</v>
      </c>
    </row>
    <row r="86" spans="20:20" x14ac:dyDescent="0.25">
      <c r="T86" s="53">
        <f>IF(C86&lt;&gt;0,C86-Gear!$C$3,0)</f>
        <v>0</v>
      </c>
    </row>
    <row r="87" spans="20:20" x14ac:dyDescent="0.25">
      <c r="T87" s="53">
        <f>IF(C87&lt;&gt;0,C87-Gear!$C$3,0)</f>
        <v>0</v>
      </c>
    </row>
    <row r="88" spans="20:20" x14ac:dyDescent="0.25">
      <c r="T88" s="53">
        <f>IF(C88&lt;&gt;0,C88-Gear!$C$3,0)</f>
        <v>0</v>
      </c>
    </row>
    <row r="89" spans="20:20" x14ac:dyDescent="0.25">
      <c r="T89" s="53">
        <f>IF(C89&lt;&gt;0,C89-Gear!$C$3,0)</f>
        <v>0</v>
      </c>
    </row>
    <row r="90" spans="20:20" x14ac:dyDescent="0.25">
      <c r="T90" s="53">
        <f>IF(C90&lt;&gt;0,C90-Gear!$C$3,0)</f>
        <v>0</v>
      </c>
    </row>
    <row r="91" spans="20:20" x14ac:dyDescent="0.25">
      <c r="T91" s="53">
        <f>IF(C91&lt;&gt;0,C91-Gear!$C$3,0)</f>
        <v>0</v>
      </c>
    </row>
    <row r="92" spans="20:20" x14ac:dyDescent="0.25">
      <c r="T92" s="53">
        <f>IF(C92&lt;&gt;0,C92-Gear!$C$3,0)</f>
        <v>0</v>
      </c>
    </row>
    <row r="93" spans="20:20" x14ac:dyDescent="0.25">
      <c r="T93" s="53">
        <f>IF(C93&lt;&gt;0,C93-Gear!$C$3,0)</f>
        <v>0</v>
      </c>
    </row>
    <row r="94" spans="20:20" x14ac:dyDescent="0.25">
      <c r="T94" s="53">
        <f>IF(C94&lt;&gt;0,C94-Gear!$C$3,0)</f>
        <v>0</v>
      </c>
    </row>
    <row r="95" spans="20:20" x14ac:dyDescent="0.25">
      <c r="T95" s="53">
        <f>IF(C95&lt;&gt;0,C95-Gear!$C$3,0)</f>
        <v>0</v>
      </c>
    </row>
    <row r="96" spans="20:20" x14ac:dyDescent="0.25">
      <c r="T96" s="53">
        <f>IF(C96&lt;&gt;0,C96-Gear!$C$3,0)</f>
        <v>0</v>
      </c>
    </row>
    <row r="97" spans="20:20" x14ac:dyDescent="0.25">
      <c r="T97" s="53">
        <f>IF(C97&lt;&gt;0,C97-Gear!$C$3,0)</f>
        <v>0</v>
      </c>
    </row>
    <row r="98" spans="20:20" x14ac:dyDescent="0.25">
      <c r="T98" s="53">
        <f>IF(C98&lt;&gt;0,C98-Gear!$C$3,0)</f>
        <v>0</v>
      </c>
    </row>
    <row r="99" spans="20:20" x14ac:dyDescent="0.25">
      <c r="T99" s="53">
        <f>IF(C99&lt;&gt;0,C99-Gear!$C$3,0)</f>
        <v>0</v>
      </c>
    </row>
    <row r="100" spans="20:20" x14ac:dyDescent="0.25">
      <c r="T100" s="53">
        <f>IF(C100&lt;&gt;0,C100-Gear!$C$3,0)</f>
        <v>0</v>
      </c>
    </row>
    <row r="101" spans="20:20" x14ac:dyDescent="0.25">
      <c r="T101" s="53">
        <f>IF(C101&lt;&gt;0,C101-Gear!$C$3,0)</f>
        <v>0</v>
      </c>
    </row>
    <row r="102" spans="20:20" x14ac:dyDescent="0.25">
      <c r="T102" s="53">
        <f>IF(C102&lt;&gt;0,C102-Gear!$C$3,0)</f>
        <v>0</v>
      </c>
    </row>
    <row r="103" spans="20:20" x14ac:dyDescent="0.25">
      <c r="T103" s="53">
        <f>IF(C103&lt;&gt;0,C103-Gear!$C$3,0)</f>
        <v>0</v>
      </c>
    </row>
    <row r="104" spans="20:20" x14ac:dyDescent="0.25">
      <c r="T104" s="53">
        <f>IF(C104&lt;&gt;0,C104-Gear!$C$3,0)</f>
        <v>0</v>
      </c>
    </row>
    <row r="105" spans="20:20" x14ac:dyDescent="0.25">
      <c r="T105" s="53">
        <f>IF(C105&lt;&gt;0,C105-Gear!$C$3,0)</f>
        <v>0</v>
      </c>
    </row>
    <row r="106" spans="20:20" x14ac:dyDescent="0.25">
      <c r="T106" s="53">
        <f>IF(C106&lt;&gt;0,C106-Gear!$C$3,0)</f>
        <v>0</v>
      </c>
    </row>
    <row r="107" spans="20:20" x14ac:dyDescent="0.25">
      <c r="T107" s="53">
        <f>IF(C107&lt;&gt;0,C107-Gear!$C$3,0)</f>
        <v>0</v>
      </c>
    </row>
    <row r="108" spans="20:20" x14ac:dyDescent="0.25">
      <c r="T108" s="53">
        <f>IF(C108&lt;&gt;0,C108-Gear!$C$3,0)</f>
        <v>0</v>
      </c>
    </row>
    <row r="109" spans="20:20" x14ac:dyDescent="0.25">
      <c r="T109" s="53">
        <f>IF(C109&lt;&gt;0,C109-Gear!$C$3,0)</f>
        <v>0</v>
      </c>
    </row>
    <row r="110" spans="20:20" x14ac:dyDescent="0.25">
      <c r="T110" s="53">
        <f>IF(C110&lt;&gt;0,C110-Gear!$C$3,0)</f>
        <v>0</v>
      </c>
    </row>
    <row r="111" spans="20:20" x14ac:dyDescent="0.25">
      <c r="T111" s="53">
        <f>IF(C111&lt;&gt;0,C111-Gear!$C$3,0)</f>
        <v>0</v>
      </c>
    </row>
    <row r="112" spans="20:20" x14ac:dyDescent="0.25">
      <c r="T112" s="53">
        <f>IF(C112&lt;&gt;0,C112-Gear!$C$3,0)</f>
        <v>0</v>
      </c>
    </row>
    <row r="113" spans="20:20" x14ac:dyDescent="0.25">
      <c r="T113" s="53">
        <f>IF(C113&lt;&gt;0,C113-Gear!$C$3,0)</f>
        <v>0</v>
      </c>
    </row>
    <row r="114" spans="20:20" x14ac:dyDescent="0.25">
      <c r="T114" s="53">
        <f>IF(C114&lt;&gt;0,C114-Gear!$C$3,0)</f>
        <v>0</v>
      </c>
    </row>
    <row r="115" spans="20:20" x14ac:dyDescent="0.25">
      <c r="T115" s="53">
        <f>IF(C115&lt;&gt;0,C115-Gear!$C$3,0)</f>
        <v>0</v>
      </c>
    </row>
    <row r="116" spans="20:20" x14ac:dyDescent="0.25">
      <c r="T116" s="53">
        <f>IF(C116&lt;&gt;0,C116-Gear!$C$3,0)</f>
        <v>0</v>
      </c>
    </row>
    <row r="117" spans="20:20" x14ac:dyDescent="0.25">
      <c r="T117" s="53">
        <f>IF(C117&lt;&gt;0,C117-Gear!$C$3,0)</f>
        <v>0</v>
      </c>
    </row>
    <row r="118" spans="20:20" x14ac:dyDescent="0.25">
      <c r="T118" s="53">
        <f>IF(C118&lt;&gt;0,C118-Gear!$C$3,0)</f>
        <v>0</v>
      </c>
    </row>
    <row r="119" spans="20:20" x14ac:dyDescent="0.25">
      <c r="T119" s="53">
        <f>IF(C119&lt;&gt;0,C119-Gear!$C$3,0)</f>
        <v>0</v>
      </c>
    </row>
    <row r="120" spans="20:20" x14ac:dyDescent="0.25">
      <c r="T120" s="53">
        <f>IF(C120&lt;&gt;0,C120-Gear!$C$3,0)</f>
        <v>0</v>
      </c>
    </row>
    <row r="121" spans="20:20" x14ac:dyDescent="0.25">
      <c r="T121" s="53">
        <f>IF(C121&lt;&gt;0,C121-Gear!$C$3,0)</f>
        <v>0</v>
      </c>
    </row>
    <row r="122" spans="20:20" x14ac:dyDescent="0.25">
      <c r="T122" s="53">
        <f>IF(C122&lt;&gt;0,C122-Gear!$C$3,0)</f>
        <v>0</v>
      </c>
    </row>
    <row r="123" spans="20:20" x14ac:dyDescent="0.25">
      <c r="T123" s="53">
        <f>IF(C123&lt;&gt;0,C123-Gear!$C$3,0)</f>
        <v>0</v>
      </c>
    </row>
    <row r="124" spans="20:20" x14ac:dyDescent="0.25">
      <c r="T124" s="53">
        <f>IF(C124&lt;&gt;0,C124-Gear!$C$3,0)</f>
        <v>0</v>
      </c>
    </row>
    <row r="125" spans="20:20" x14ac:dyDescent="0.25">
      <c r="T125" s="53">
        <f>IF(C125&lt;&gt;0,C125-Gear!$C$3,0)</f>
        <v>0</v>
      </c>
    </row>
    <row r="126" spans="20:20" x14ac:dyDescent="0.25">
      <c r="T126" s="53">
        <f>IF(C126&lt;&gt;0,C126-Gear!$C$3,0)</f>
        <v>0</v>
      </c>
    </row>
    <row r="127" spans="20:20" x14ac:dyDescent="0.25">
      <c r="T127" s="53">
        <f>IF(C127&lt;&gt;0,C127-Gear!$C$3,0)</f>
        <v>0</v>
      </c>
    </row>
    <row r="128" spans="20:20" x14ac:dyDescent="0.25">
      <c r="T128" s="53">
        <f>IF(C128&lt;&gt;0,C128-Gear!$C$3,0)</f>
        <v>0</v>
      </c>
    </row>
    <row r="129" spans="20:20" x14ac:dyDescent="0.25">
      <c r="T129" s="53">
        <f>IF(C129&lt;&gt;0,C129-Gear!$C$3,0)</f>
        <v>0</v>
      </c>
    </row>
    <row r="130" spans="20:20" x14ac:dyDescent="0.25">
      <c r="T130" s="53">
        <f>IF(C130&lt;&gt;0,C130-Gear!$C$3,0)</f>
        <v>0</v>
      </c>
    </row>
    <row r="131" spans="20:20" x14ac:dyDescent="0.25">
      <c r="T131" s="53">
        <f>IF(C131&lt;&gt;0,C131-Gear!$C$3,0)</f>
        <v>0</v>
      </c>
    </row>
    <row r="132" spans="20:20" x14ac:dyDescent="0.25">
      <c r="T132" s="53">
        <f>IF(C132&lt;&gt;0,C132-Gear!$C$3,0)</f>
        <v>0</v>
      </c>
    </row>
    <row r="133" spans="20:20" x14ac:dyDescent="0.25">
      <c r="T133" s="53">
        <f>IF(C133&lt;&gt;0,C133-Gear!$C$3,0)</f>
        <v>0</v>
      </c>
    </row>
    <row r="134" spans="20:20" x14ac:dyDescent="0.25">
      <c r="T134" s="53">
        <f>IF(C134&lt;&gt;0,C134-Gear!$C$3,0)</f>
        <v>0</v>
      </c>
    </row>
    <row r="135" spans="20:20" x14ac:dyDescent="0.25">
      <c r="T135" s="53">
        <f>IF(C135&lt;&gt;0,C135-Gear!$C$3,0)</f>
        <v>0</v>
      </c>
    </row>
    <row r="136" spans="20:20" x14ac:dyDescent="0.25">
      <c r="T136" s="53">
        <f>IF(C136&lt;&gt;0,C136-Gear!$C$3,0)</f>
        <v>0</v>
      </c>
    </row>
    <row r="137" spans="20:20" x14ac:dyDescent="0.25">
      <c r="T137" s="53">
        <f>IF(C137&lt;&gt;0,C137-Gear!$C$3,0)</f>
        <v>0</v>
      </c>
    </row>
    <row r="138" spans="20:20" x14ac:dyDescent="0.25">
      <c r="T138" s="53">
        <f>IF(C138&lt;&gt;0,C138-Gear!$C$3,0)</f>
        <v>0</v>
      </c>
    </row>
    <row r="139" spans="20:20" x14ac:dyDescent="0.25">
      <c r="T139" s="53">
        <f>IF(C139&lt;&gt;0,C139-Gear!$C$3,0)</f>
        <v>0</v>
      </c>
    </row>
    <row r="140" spans="20:20" x14ac:dyDescent="0.25">
      <c r="T140" s="53">
        <f>IF(C140&lt;&gt;0,C140-Gear!$C$3,0)</f>
        <v>0</v>
      </c>
    </row>
    <row r="141" spans="20:20" x14ac:dyDescent="0.25">
      <c r="T141" s="53">
        <f>IF(C141&lt;&gt;0,C141-Gear!$C$3,0)</f>
        <v>0</v>
      </c>
    </row>
    <row r="142" spans="20:20" x14ac:dyDescent="0.25">
      <c r="T142" s="53">
        <f>IF(C142&lt;&gt;0,C142-Gear!$C$3,0)</f>
        <v>0</v>
      </c>
    </row>
    <row r="143" spans="20:20" x14ac:dyDescent="0.25">
      <c r="T143" s="53">
        <f>IF(C143&lt;&gt;0,C143-Gear!$C$3,0)</f>
        <v>0</v>
      </c>
    </row>
    <row r="144" spans="20:20" x14ac:dyDescent="0.25">
      <c r="T144" s="53">
        <f>IF(C144&lt;&gt;0,C144-Gear!$C$3,0)</f>
        <v>0</v>
      </c>
    </row>
    <row r="145" spans="20:20" x14ac:dyDescent="0.25">
      <c r="T145" s="53">
        <f>IF(C145&lt;&gt;0,C145-Gear!$C$3,0)</f>
        <v>0</v>
      </c>
    </row>
    <row r="146" spans="20:20" x14ac:dyDescent="0.25">
      <c r="T146" s="53">
        <f>IF(C146&lt;&gt;0,C146-Gear!$C$3,0)</f>
        <v>0</v>
      </c>
    </row>
    <row r="147" spans="20:20" x14ac:dyDescent="0.25">
      <c r="T147" s="53">
        <f>IF(C147&lt;&gt;0,C147-Gear!$C$3,0)</f>
        <v>0</v>
      </c>
    </row>
    <row r="148" spans="20:20" x14ac:dyDescent="0.25">
      <c r="T148" s="53">
        <f>IF(C148&lt;&gt;0,C148-Gear!$C$3,0)</f>
        <v>0</v>
      </c>
    </row>
    <row r="149" spans="20:20" x14ac:dyDescent="0.25">
      <c r="T149" s="53">
        <f>IF(C149&lt;&gt;0,C149-Gear!$C$3,0)</f>
        <v>0</v>
      </c>
    </row>
    <row r="150" spans="20:20" x14ac:dyDescent="0.25">
      <c r="T150" s="53">
        <f>IF(C150&lt;&gt;0,C150-Gear!$C$3,0)</f>
        <v>0</v>
      </c>
    </row>
    <row r="151" spans="20:20" x14ac:dyDescent="0.25">
      <c r="T151" s="53">
        <f>IF(C151&lt;&gt;0,C151-Gear!$C$3,0)</f>
        <v>0</v>
      </c>
    </row>
    <row r="152" spans="20:20" x14ac:dyDescent="0.25">
      <c r="T152" s="53">
        <f>IF(C152&lt;&gt;0,C152-Gear!$C$3,0)</f>
        <v>0</v>
      </c>
    </row>
    <row r="153" spans="20:20" x14ac:dyDescent="0.25">
      <c r="T153" s="53">
        <f>IF(C153&lt;&gt;0,C153-Gear!$C$3,0)</f>
        <v>0</v>
      </c>
    </row>
    <row r="154" spans="20:20" x14ac:dyDescent="0.25">
      <c r="T154" s="53">
        <f>IF(C154&lt;&gt;0,C154-Gear!$C$3,0)</f>
        <v>0</v>
      </c>
    </row>
    <row r="155" spans="20:20" x14ac:dyDescent="0.25">
      <c r="T155" s="53">
        <f>IF(C155&lt;&gt;0,C155-Gear!$C$3,0)</f>
        <v>0</v>
      </c>
    </row>
    <row r="156" spans="20:20" x14ac:dyDescent="0.25">
      <c r="T156" s="53">
        <f>IF(C156&lt;&gt;0,C156-Gear!$C$3,0)</f>
        <v>0</v>
      </c>
    </row>
    <row r="157" spans="20:20" x14ac:dyDescent="0.25">
      <c r="T157" s="53">
        <f>IF(C157&lt;&gt;0,C157-Gear!$C$3,0)</f>
        <v>0</v>
      </c>
    </row>
    <row r="158" spans="20:20" x14ac:dyDescent="0.25">
      <c r="T158" s="53">
        <f>IF(C158&lt;&gt;0,C158-Gear!$C$3,0)</f>
        <v>0</v>
      </c>
    </row>
    <row r="159" spans="20:20" x14ac:dyDescent="0.25">
      <c r="T159" s="53">
        <f>IF(C159&lt;&gt;0,C159-Gear!$C$3,0)</f>
        <v>0</v>
      </c>
    </row>
    <row r="160" spans="20:20" x14ac:dyDescent="0.25">
      <c r="T160" s="53">
        <f>IF(C160&lt;&gt;0,C160-Gear!$C$3,0)</f>
        <v>0</v>
      </c>
    </row>
    <row r="161" spans="20:20" x14ac:dyDescent="0.25">
      <c r="T161" s="53">
        <f>IF(C161&lt;&gt;0,C161-Gear!$C$3,0)</f>
        <v>0</v>
      </c>
    </row>
    <row r="162" spans="20:20" x14ac:dyDescent="0.25">
      <c r="T162" s="53">
        <f>IF(C162&lt;&gt;0,C162-Gear!$C$3,0)</f>
        <v>0</v>
      </c>
    </row>
    <row r="163" spans="20:20" x14ac:dyDescent="0.25">
      <c r="T163" s="53">
        <f>IF(C163&lt;&gt;0,C163-Gear!$C$3,0)</f>
        <v>0</v>
      </c>
    </row>
    <row r="164" spans="20:20" x14ac:dyDescent="0.25">
      <c r="T164" s="53">
        <f>IF(C164&lt;&gt;0,C164-Gear!$C$3,0)</f>
        <v>0</v>
      </c>
    </row>
    <row r="165" spans="20:20" x14ac:dyDescent="0.25">
      <c r="T165" s="53">
        <f>IF(C165&lt;&gt;0,C165-Gear!$C$3,0)</f>
        <v>0</v>
      </c>
    </row>
    <row r="166" spans="20:20" x14ac:dyDescent="0.25">
      <c r="T166" s="53">
        <f>IF(C166&lt;&gt;0,C166-Gear!$C$3,0)</f>
        <v>0</v>
      </c>
    </row>
    <row r="167" spans="20:20" x14ac:dyDescent="0.25">
      <c r="T167" s="53">
        <f>IF(C167&lt;&gt;0,C167-Gear!$C$3,0)</f>
        <v>0</v>
      </c>
    </row>
    <row r="168" spans="20:20" x14ac:dyDescent="0.25">
      <c r="T168" s="53">
        <f>IF(C168&lt;&gt;0,C168-Gear!$C$3,0)</f>
        <v>0</v>
      </c>
    </row>
    <row r="169" spans="20:20" x14ac:dyDescent="0.25">
      <c r="T169" s="53">
        <f>IF(C169&lt;&gt;0,C169-Gear!$C$3,0)</f>
        <v>0</v>
      </c>
    </row>
    <row r="170" spans="20:20" x14ac:dyDescent="0.25">
      <c r="T170" s="53">
        <f>IF(C170&lt;&gt;0,C170-Gear!$C$3,0)</f>
        <v>0</v>
      </c>
    </row>
    <row r="171" spans="20:20" x14ac:dyDescent="0.25">
      <c r="T171" s="53">
        <f>IF(C171&lt;&gt;0,C171-Gear!$C$3,0)</f>
        <v>0</v>
      </c>
    </row>
    <row r="172" spans="20:20" x14ac:dyDescent="0.25">
      <c r="T172" s="53">
        <f>IF(C172&lt;&gt;0,C172-Gear!$C$3,0)</f>
        <v>0</v>
      </c>
    </row>
    <row r="173" spans="20:20" x14ac:dyDescent="0.25">
      <c r="T173" s="53">
        <f>IF(C173&lt;&gt;0,C173-Gear!$C$3,0)</f>
        <v>0</v>
      </c>
    </row>
    <row r="174" spans="20:20" x14ac:dyDescent="0.25">
      <c r="T174" s="53">
        <f>IF(C174&lt;&gt;0,C174-Gear!$C$3,0)</f>
        <v>0</v>
      </c>
    </row>
    <row r="175" spans="20:20" x14ac:dyDescent="0.25">
      <c r="T175" s="53">
        <f>IF(C175&lt;&gt;0,C175-Gear!$C$3,0)</f>
        <v>0</v>
      </c>
    </row>
    <row r="176" spans="20:20" x14ac:dyDescent="0.25">
      <c r="T176" s="53">
        <f>IF(C176&lt;&gt;0,C176-Gear!$C$3,0)</f>
        <v>0</v>
      </c>
    </row>
    <row r="177" spans="20:20" x14ac:dyDescent="0.25">
      <c r="T177" s="53">
        <f>IF(C177&lt;&gt;0,C177-Gear!$C$3,0)</f>
        <v>0</v>
      </c>
    </row>
    <row r="178" spans="20:20" x14ac:dyDescent="0.25">
      <c r="T178" s="53">
        <f>IF(C178&lt;&gt;0,C178-Gear!$C$3,0)</f>
        <v>0</v>
      </c>
    </row>
    <row r="179" spans="20:20" x14ac:dyDescent="0.25">
      <c r="T179" s="53">
        <f>IF(C179&lt;&gt;0,C179-Gear!$C$3,0)</f>
        <v>0</v>
      </c>
    </row>
    <row r="180" spans="20:20" x14ac:dyDescent="0.25">
      <c r="T180" s="53">
        <f>IF(C180&lt;&gt;0,C180-Gear!$C$3,0)</f>
        <v>0</v>
      </c>
    </row>
    <row r="181" spans="20:20" x14ac:dyDescent="0.25">
      <c r="T181" s="53">
        <f>IF(C181&lt;&gt;0,C181-Gear!$C$3,0)</f>
        <v>0</v>
      </c>
    </row>
    <row r="182" spans="20:20" x14ac:dyDescent="0.25">
      <c r="T182" s="53">
        <f>IF(C182&lt;&gt;0,C182-Gear!$C$3,0)</f>
        <v>0</v>
      </c>
    </row>
    <row r="183" spans="20:20" x14ac:dyDescent="0.25">
      <c r="T183" s="53">
        <f>IF(C183&lt;&gt;0,C183-Gear!$C$3,0)</f>
        <v>0</v>
      </c>
    </row>
    <row r="184" spans="20:20" x14ac:dyDescent="0.25">
      <c r="T184" s="53">
        <f>IF(C184&lt;&gt;0,C184-Gear!$C$3,0)</f>
        <v>0</v>
      </c>
    </row>
    <row r="185" spans="20:20" x14ac:dyDescent="0.25">
      <c r="T185" s="53">
        <f>IF(C185&lt;&gt;0,C185-Gear!$C$3,0)</f>
        <v>0</v>
      </c>
    </row>
    <row r="186" spans="20:20" x14ac:dyDescent="0.25">
      <c r="T186" s="53">
        <f>IF(C186&lt;&gt;0,C186-Gear!$C$3,0)</f>
        <v>0</v>
      </c>
    </row>
    <row r="187" spans="20:20" x14ac:dyDescent="0.25">
      <c r="T187" s="53">
        <f>IF(C187&lt;&gt;0,C187-Gear!$C$3,0)</f>
        <v>0</v>
      </c>
    </row>
    <row r="188" spans="20:20" x14ac:dyDescent="0.25">
      <c r="T188" s="53">
        <f>IF(C188&lt;&gt;0,C188-Gear!$C$3,0)</f>
        <v>0</v>
      </c>
    </row>
    <row r="189" spans="20:20" x14ac:dyDescent="0.25">
      <c r="T189" s="53">
        <f>IF(C189&lt;&gt;0,C189-Gear!$C$3,0)</f>
        <v>0</v>
      </c>
    </row>
    <row r="190" spans="20:20" x14ac:dyDescent="0.25">
      <c r="T190" s="53">
        <f>IF(C190&lt;&gt;0,C190-Gear!$C$3,0)</f>
        <v>0</v>
      </c>
    </row>
    <row r="191" spans="20:20" x14ac:dyDescent="0.25">
      <c r="T191" s="53">
        <f>IF(C191&lt;&gt;0,C191-Gear!$C$3,0)</f>
        <v>0</v>
      </c>
    </row>
    <row r="192" spans="20:20" x14ac:dyDescent="0.25">
      <c r="T192" s="53">
        <f>IF(C192&lt;&gt;0,C192-Gear!$C$3,0)</f>
        <v>0</v>
      </c>
    </row>
    <row r="193" spans="20:20" x14ac:dyDescent="0.25">
      <c r="T193" s="53">
        <f>IF(C193&lt;&gt;0,C193-Gear!$C$3,0)</f>
        <v>0</v>
      </c>
    </row>
    <row r="194" spans="20:20" x14ac:dyDescent="0.25">
      <c r="T194" s="53">
        <f>IF(C194&lt;&gt;0,C194-Gear!$C$3,0)</f>
        <v>0</v>
      </c>
    </row>
    <row r="195" spans="20:20" x14ac:dyDescent="0.25">
      <c r="T195" s="53">
        <f>IF(C195&lt;&gt;0,C195-Gear!$C$3,0)</f>
        <v>0</v>
      </c>
    </row>
    <row r="196" spans="20:20" x14ac:dyDescent="0.25">
      <c r="T196" s="53">
        <f>IF(C196&lt;&gt;0,C196-Gear!$C$3,0)</f>
        <v>0</v>
      </c>
    </row>
    <row r="197" spans="20:20" x14ac:dyDescent="0.25">
      <c r="T197" s="53">
        <f>IF(C197&lt;&gt;0,C197-Gear!$C$3,0)</f>
        <v>0</v>
      </c>
    </row>
    <row r="198" spans="20:20" x14ac:dyDescent="0.25">
      <c r="T198" s="53">
        <f>IF(C198&lt;&gt;0,C198-Gear!$C$3,0)</f>
        <v>0</v>
      </c>
    </row>
    <row r="199" spans="20:20" x14ac:dyDescent="0.25">
      <c r="T199" s="53">
        <f>IF(C199&lt;&gt;0,C199-Gear!$C$3,0)</f>
        <v>0</v>
      </c>
    </row>
    <row r="200" spans="20:20" x14ac:dyDescent="0.25">
      <c r="T200" s="53">
        <f>IF(C200&lt;&gt;0,C200-Gear!$C$3,0)</f>
        <v>0</v>
      </c>
    </row>
    <row r="201" spans="20:20" x14ac:dyDescent="0.25">
      <c r="T201" s="53">
        <f>IF(C201&lt;&gt;0,C201-Gear!$C$3,0)</f>
        <v>0</v>
      </c>
    </row>
    <row r="202" spans="20:20" x14ac:dyDescent="0.25">
      <c r="T202" s="53">
        <f>IF(C202&lt;&gt;0,C202-Gear!$C$3,0)</f>
        <v>0</v>
      </c>
    </row>
    <row r="203" spans="20:20" x14ac:dyDescent="0.25">
      <c r="T203" s="53">
        <f>IF(C203&lt;&gt;0,C203-Gear!$C$3,0)</f>
        <v>0</v>
      </c>
    </row>
    <row r="204" spans="20:20" x14ac:dyDescent="0.25">
      <c r="T204" s="53">
        <f>IF(C204&lt;&gt;0,C204-Gear!$C$3,0)</f>
        <v>0</v>
      </c>
    </row>
    <row r="205" spans="20:20" x14ac:dyDescent="0.25">
      <c r="T205" s="53">
        <f>IF(C205&lt;&gt;0,C205-Gear!$C$3,0)</f>
        <v>0</v>
      </c>
    </row>
    <row r="206" spans="20:20" x14ac:dyDescent="0.25">
      <c r="T206" s="53">
        <f>IF(C206&lt;&gt;0,C206-Gear!$C$3,0)</f>
        <v>0</v>
      </c>
    </row>
    <row r="207" spans="20:20" x14ac:dyDescent="0.25">
      <c r="T207" s="53">
        <f>IF(C207&lt;&gt;0,C207-Gear!$C$3,0)</f>
        <v>0</v>
      </c>
    </row>
    <row r="208" spans="20:20" x14ac:dyDescent="0.25">
      <c r="T208" s="53">
        <f>IF(C208&lt;&gt;0,C208-Gear!$C$3,0)</f>
        <v>0</v>
      </c>
    </row>
    <row r="209" spans="20:20" x14ac:dyDescent="0.25">
      <c r="T209" s="53">
        <f>IF(C209&lt;&gt;0,C209-Gear!$C$3,0)</f>
        <v>0</v>
      </c>
    </row>
    <row r="210" spans="20:20" x14ac:dyDescent="0.25">
      <c r="T210" s="53">
        <f>IF(C210&lt;&gt;0,C210-Gear!$C$3,0)</f>
        <v>0</v>
      </c>
    </row>
    <row r="211" spans="20:20" x14ac:dyDescent="0.25">
      <c r="T211" s="53">
        <f>IF(C211&lt;&gt;0,C211-Gear!$C$3,0)</f>
        <v>0</v>
      </c>
    </row>
    <row r="212" spans="20:20" x14ac:dyDescent="0.25">
      <c r="T212" s="53">
        <f>IF(C212&lt;&gt;0,C212-Gear!$C$3,0)</f>
        <v>0</v>
      </c>
    </row>
    <row r="213" spans="20:20" x14ac:dyDescent="0.25">
      <c r="T213" s="53">
        <f>IF(C213&lt;&gt;0,C213-Gear!$C$3,0)</f>
        <v>0</v>
      </c>
    </row>
    <row r="214" spans="20:20" x14ac:dyDescent="0.25">
      <c r="T214" s="53">
        <f>IF(C214&lt;&gt;0,C214-Gear!$C$3,0)</f>
        <v>0</v>
      </c>
    </row>
    <row r="215" spans="20:20" x14ac:dyDescent="0.25">
      <c r="T215" s="53">
        <f>IF(C215&lt;&gt;0,C215-Gear!$C$3,0)</f>
        <v>0</v>
      </c>
    </row>
    <row r="216" spans="20:20" x14ac:dyDescent="0.25">
      <c r="T216" s="53">
        <f>IF(C216&lt;&gt;0,C216-Gear!$C$3,0)</f>
        <v>0</v>
      </c>
    </row>
    <row r="217" spans="20:20" x14ac:dyDescent="0.25">
      <c r="T217" s="53">
        <f>IF(C217&lt;&gt;0,C217-Gear!$C$3,0)</f>
        <v>0</v>
      </c>
    </row>
    <row r="218" spans="20:20" x14ac:dyDescent="0.25">
      <c r="T218" s="53">
        <f>IF(C218&lt;&gt;0,C218-Gear!$C$3,0)</f>
        <v>0</v>
      </c>
    </row>
    <row r="219" spans="20:20" x14ac:dyDescent="0.25">
      <c r="T219" s="53">
        <f>IF(C219&lt;&gt;0,C219-Gear!$C$3,0)</f>
        <v>0</v>
      </c>
    </row>
    <row r="220" spans="20:20" x14ac:dyDescent="0.25">
      <c r="T220" s="53">
        <f>IF(C220&lt;&gt;0,C220-Gear!$C$3,0)</f>
        <v>0</v>
      </c>
    </row>
    <row r="221" spans="20:20" x14ac:dyDescent="0.25">
      <c r="T221" s="53">
        <f>IF(C221&lt;&gt;0,C221-Gear!$C$3,0)</f>
        <v>0</v>
      </c>
    </row>
    <row r="222" spans="20:20" x14ac:dyDescent="0.25">
      <c r="T222" s="53">
        <f>IF(C222&lt;&gt;0,C222-Gear!$C$3,0)</f>
        <v>0</v>
      </c>
    </row>
    <row r="223" spans="20:20" x14ac:dyDescent="0.25">
      <c r="T223" s="53">
        <f>IF(C223&lt;&gt;0,C223-Gear!$C$3,0)</f>
        <v>0</v>
      </c>
    </row>
    <row r="224" spans="20:20" x14ac:dyDescent="0.25">
      <c r="T224" s="53">
        <f>IF(C224&lt;&gt;0,C224-Gear!$C$3,0)</f>
        <v>0</v>
      </c>
    </row>
    <row r="225" spans="20:20" x14ac:dyDescent="0.25">
      <c r="T225" s="53">
        <f>IF(C225&lt;&gt;0,C225-Gear!$C$3,0)</f>
        <v>0</v>
      </c>
    </row>
    <row r="226" spans="20:20" x14ac:dyDescent="0.25">
      <c r="T226" s="53">
        <f>IF(C226&lt;&gt;0,C226-Gear!$C$3,0)</f>
        <v>0</v>
      </c>
    </row>
    <row r="227" spans="20:20" x14ac:dyDescent="0.25">
      <c r="T227" s="53">
        <f>IF(C227&lt;&gt;0,C227-Gear!$C$3,0)</f>
        <v>0</v>
      </c>
    </row>
    <row r="228" spans="20:20" x14ac:dyDescent="0.25">
      <c r="T228" s="53">
        <f>IF(C228&lt;&gt;0,C228-Gear!$C$3,0)</f>
        <v>0</v>
      </c>
    </row>
    <row r="229" spans="20:20" x14ac:dyDescent="0.25">
      <c r="T229" s="53">
        <f>IF(C229&lt;&gt;0,C229-Gear!$C$3,0)</f>
        <v>0</v>
      </c>
    </row>
    <row r="230" spans="20:20" x14ac:dyDescent="0.25">
      <c r="T230" s="53">
        <f>IF(C230&lt;&gt;0,C230-Gear!$C$3,0)</f>
        <v>0</v>
      </c>
    </row>
    <row r="231" spans="20:20" x14ac:dyDescent="0.25">
      <c r="T231" s="53">
        <f>IF(C231&lt;&gt;0,C231-Gear!$C$3,0)</f>
        <v>0</v>
      </c>
    </row>
    <row r="232" spans="20:20" x14ac:dyDescent="0.25">
      <c r="T232" s="53">
        <f>IF(C232&lt;&gt;0,C232-Gear!$C$3,0)</f>
        <v>0</v>
      </c>
    </row>
    <row r="233" spans="20:20" x14ac:dyDescent="0.25">
      <c r="T233" s="53">
        <f>IF(C233&lt;&gt;0,C233-Gear!$C$3,0)</f>
        <v>0</v>
      </c>
    </row>
    <row r="234" spans="20:20" x14ac:dyDescent="0.25">
      <c r="T234" s="53">
        <f>IF(C234&lt;&gt;0,C234-Gear!$C$3,0)</f>
        <v>0</v>
      </c>
    </row>
    <row r="235" spans="20:20" x14ac:dyDescent="0.25">
      <c r="T235" s="53">
        <f>IF(C235&lt;&gt;0,C235-Gear!$C$3,0)</f>
        <v>0</v>
      </c>
    </row>
    <row r="236" spans="20:20" x14ac:dyDescent="0.25">
      <c r="T236" s="53">
        <f>IF(C236&lt;&gt;0,C236-Gear!$C$3,0)</f>
        <v>0</v>
      </c>
    </row>
    <row r="237" spans="20:20" x14ac:dyDescent="0.25">
      <c r="T237" s="53">
        <f>IF(C237&lt;&gt;0,C237-Gear!$C$3,0)</f>
        <v>0</v>
      </c>
    </row>
    <row r="238" spans="20:20" x14ac:dyDescent="0.25">
      <c r="T238" s="53">
        <f>IF(C238&lt;&gt;0,C238-Gear!$C$3,0)</f>
        <v>0</v>
      </c>
    </row>
    <row r="239" spans="20:20" x14ac:dyDescent="0.25">
      <c r="T239" s="53">
        <f>IF(C239&lt;&gt;0,C239-Gear!$C$3,0)</f>
        <v>0</v>
      </c>
    </row>
    <row r="240" spans="20:20" x14ac:dyDescent="0.25">
      <c r="T240" s="53">
        <f>IF(C240&lt;&gt;0,C240-Gear!$C$3,0)</f>
        <v>0</v>
      </c>
    </row>
    <row r="241" spans="20:20" x14ac:dyDescent="0.25">
      <c r="T241" s="53">
        <f>IF(C241&lt;&gt;0,C241-Gear!$C$3,0)</f>
        <v>0</v>
      </c>
    </row>
    <row r="242" spans="20:20" x14ac:dyDescent="0.25">
      <c r="T242" s="53">
        <f>IF(C242&lt;&gt;0,C242-Gear!$C$3,0)</f>
        <v>0</v>
      </c>
    </row>
    <row r="243" spans="20:20" x14ac:dyDescent="0.25">
      <c r="T243" s="53">
        <f>IF(C243&lt;&gt;0,C243-Gear!$C$3,0)</f>
        <v>0</v>
      </c>
    </row>
    <row r="244" spans="20:20" x14ac:dyDescent="0.25">
      <c r="T244" s="53">
        <f>IF(C244&lt;&gt;0,C244-Gear!$C$3,0)</f>
        <v>0</v>
      </c>
    </row>
    <row r="245" spans="20:20" x14ac:dyDescent="0.25">
      <c r="T245" s="53">
        <f>IF(C245&lt;&gt;0,C245-Gear!$C$3,0)</f>
        <v>0</v>
      </c>
    </row>
    <row r="246" spans="20:20" x14ac:dyDescent="0.25">
      <c r="T246" s="53">
        <f>IF(C246&lt;&gt;0,C246-Gear!$C$3,0)</f>
        <v>0</v>
      </c>
    </row>
    <row r="247" spans="20:20" x14ac:dyDescent="0.25">
      <c r="T247" s="53">
        <f>IF(C247&lt;&gt;0,C247-Gear!$C$3,0)</f>
        <v>0</v>
      </c>
    </row>
    <row r="248" spans="20:20" x14ac:dyDescent="0.25">
      <c r="T248" s="53">
        <f>IF(C248&lt;&gt;0,C248-Gear!$C$3,0)</f>
        <v>0</v>
      </c>
    </row>
    <row r="249" spans="20:20" x14ac:dyDescent="0.25">
      <c r="T249" s="53">
        <f>IF(C249&lt;&gt;0,C249-Gear!$C$3,0)</f>
        <v>0</v>
      </c>
    </row>
    <row r="250" spans="20:20" x14ac:dyDescent="0.25">
      <c r="T250" s="53">
        <f>IF(C250&lt;&gt;0,C250-Gear!$C$3,0)</f>
        <v>0</v>
      </c>
    </row>
    <row r="251" spans="20:20" x14ac:dyDescent="0.25">
      <c r="T251" s="53">
        <f>IF(C251&lt;&gt;0,C251-Gear!$C$3,0)</f>
        <v>0</v>
      </c>
    </row>
    <row r="252" spans="20:20" x14ac:dyDescent="0.25">
      <c r="T252" s="53">
        <f>IF(C252&lt;&gt;0,C252-Gear!$C$3,0)</f>
        <v>0</v>
      </c>
    </row>
    <row r="253" spans="20:20" x14ac:dyDescent="0.25">
      <c r="T253" s="53">
        <f>IF(C253&lt;&gt;0,C253-Gear!$C$3,0)</f>
        <v>0</v>
      </c>
    </row>
    <row r="254" spans="20:20" x14ac:dyDescent="0.25">
      <c r="T254" s="53">
        <f>IF(C254&lt;&gt;0,C254-Gear!$C$3,0)</f>
        <v>0</v>
      </c>
    </row>
    <row r="255" spans="20:20" x14ac:dyDescent="0.25">
      <c r="T255" s="53">
        <f>IF(C255&lt;&gt;0,C255-Gear!$C$3,0)</f>
        <v>0</v>
      </c>
    </row>
    <row r="256" spans="20:20" x14ac:dyDescent="0.25">
      <c r="T256" s="53">
        <f>IF(C256&lt;&gt;0,C256-Gear!$C$3,0)</f>
        <v>0</v>
      </c>
    </row>
    <row r="257" spans="20:20" x14ac:dyDescent="0.25">
      <c r="T257" s="53">
        <f>IF(C257&lt;&gt;0,C257-Gear!$C$3,0)</f>
        <v>0</v>
      </c>
    </row>
    <row r="258" spans="20:20" x14ac:dyDescent="0.25">
      <c r="T258" s="53">
        <f>IF(C258&lt;&gt;0,C258-Gear!$C$3,0)</f>
        <v>0</v>
      </c>
    </row>
    <row r="259" spans="20:20" x14ac:dyDescent="0.25">
      <c r="T259" s="53">
        <f>IF(C259&lt;&gt;0,C259-Gear!$C$3,0)</f>
        <v>0</v>
      </c>
    </row>
    <row r="260" spans="20:20" x14ac:dyDescent="0.25">
      <c r="T260" s="53">
        <f>IF(C260&lt;&gt;0,C260-Gear!$C$3,0)</f>
        <v>0</v>
      </c>
    </row>
    <row r="261" spans="20:20" x14ac:dyDescent="0.25">
      <c r="T261" s="53">
        <f>IF(C261&lt;&gt;0,C261-Gear!$C$3,0)</f>
        <v>0</v>
      </c>
    </row>
    <row r="262" spans="20:20" x14ac:dyDescent="0.25">
      <c r="T262" s="53">
        <f>IF(C262&lt;&gt;0,C262-Gear!$C$3,0)</f>
        <v>0</v>
      </c>
    </row>
    <row r="263" spans="20:20" x14ac:dyDescent="0.25">
      <c r="T263" s="53">
        <f>IF(C263&lt;&gt;0,C263-Gear!$C$3,0)</f>
        <v>0</v>
      </c>
    </row>
    <row r="264" spans="20:20" x14ac:dyDescent="0.25">
      <c r="T264" s="53">
        <f>IF(C264&lt;&gt;0,C264-Gear!$C$3,0)</f>
        <v>0</v>
      </c>
    </row>
    <row r="265" spans="20:20" x14ac:dyDescent="0.25">
      <c r="T265" s="53">
        <f>IF(C265&lt;&gt;0,C265-Gear!$C$3,0)</f>
        <v>0</v>
      </c>
    </row>
    <row r="266" spans="20:20" x14ac:dyDescent="0.25">
      <c r="T266" s="53">
        <f>IF(C266&lt;&gt;0,C266-Gear!$C$3,0)</f>
        <v>0</v>
      </c>
    </row>
    <row r="267" spans="20:20" x14ac:dyDescent="0.25">
      <c r="T267" s="53">
        <f>IF(C267&lt;&gt;0,C267-Gear!$C$3,0)</f>
        <v>0</v>
      </c>
    </row>
    <row r="268" spans="20:20" x14ac:dyDescent="0.25">
      <c r="T268" s="53">
        <f>IF(C268&lt;&gt;0,C268-Gear!$C$3,0)</f>
        <v>0</v>
      </c>
    </row>
    <row r="269" spans="20:20" x14ac:dyDescent="0.25">
      <c r="T269" s="53">
        <f>IF(C269&lt;&gt;0,C269-Gear!$C$3,0)</f>
        <v>0</v>
      </c>
    </row>
    <row r="270" spans="20:20" x14ac:dyDescent="0.25">
      <c r="T270" s="53">
        <f>IF(C270&lt;&gt;0,C270-Gear!$C$3,0)</f>
        <v>0</v>
      </c>
    </row>
    <row r="271" spans="20:20" x14ac:dyDescent="0.25">
      <c r="T271" s="53">
        <f>IF(C271&lt;&gt;0,C271-Gear!$C$3,0)</f>
        <v>0</v>
      </c>
    </row>
    <row r="272" spans="20:20" x14ac:dyDescent="0.25">
      <c r="T272" s="53">
        <f>IF(C272&lt;&gt;0,C272-Gear!$C$3,0)</f>
        <v>0</v>
      </c>
    </row>
    <row r="273" spans="20:20" x14ac:dyDescent="0.25">
      <c r="T273" s="53">
        <f>IF(C273&lt;&gt;0,C273-Gear!$C$3,0)</f>
        <v>0</v>
      </c>
    </row>
    <row r="274" spans="20:20" x14ac:dyDescent="0.25">
      <c r="T274" s="53">
        <f>IF(C274&lt;&gt;0,C274-Gear!$C$3,0)</f>
        <v>0</v>
      </c>
    </row>
    <row r="275" spans="20:20" x14ac:dyDescent="0.25">
      <c r="T275" s="53">
        <f>IF(C275&lt;&gt;0,C275-Gear!$C$3,0)</f>
        <v>0</v>
      </c>
    </row>
    <row r="276" spans="20:20" x14ac:dyDescent="0.25">
      <c r="T276" s="53">
        <f>IF(C276&lt;&gt;0,C276-Gear!$C$3,0)</f>
        <v>0</v>
      </c>
    </row>
    <row r="277" spans="20:20" x14ac:dyDescent="0.25">
      <c r="T277" s="53">
        <f>IF(C277&lt;&gt;0,C277-Gear!$C$3,0)</f>
        <v>0</v>
      </c>
    </row>
    <row r="278" spans="20:20" x14ac:dyDescent="0.25">
      <c r="T278" s="53">
        <f>IF(C278&lt;&gt;0,C278-Gear!$C$3,0)</f>
        <v>0</v>
      </c>
    </row>
    <row r="279" spans="20:20" x14ac:dyDescent="0.25">
      <c r="T279" s="53">
        <f>IF(C279&lt;&gt;0,C279-Gear!$C$3,0)</f>
        <v>0</v>
      </c>
    </row>
    <row r="280" spans="20:20" x14ac:dyDescent="0.25">
      <c r="T280" s="53">
        <f>IF(C280&lt;&gt;0,C280-Gear!$C$3,0)</f>
        <v>0</v>
      </c>
    </row>
    <row r="281" spans="20:20" x14ac:dyDescent="0.25">
      <c r="T281" s="53">
        <f>IF(C281&lt;&gt;0,C281-Gear!$C$3,0)</f>
        <v>0</v>
      </c>
    </row>
    <row r="282" spans="20:20" x14ac:dyDescent="0.25">
      <c r="T282" s="53">
        <f>IF(C282&lt;&gt;0,C282-Gear!$C$3,0)</f>
        <v>0</v>
      </c>
    </row>
    <row r="283" spans="20:20" x14ac:dyDescent="0.25">
      <c r="T283" s="53">
        <f>IF(C283&lt;&gt;0,C283-Gear!$C$3,0)</f>
        <v>0</v>
      </c>
    </row>
    <row r="284" spans="20:20" x14ac:dyDescent="0.25">
      <c r="T284" s="53">
        <f>IF(C284&lt;&gt;0,C284-Gear!$C$3,0)</f>
        <v>0</v>
      </c>
    </row>
    <row r="285" spans="20:20" x14ac:dyDescent="0.25">
      <c r="T285" s="53">
        <f>IF(C285&lt;&gt;0,C285-Gear!$C$3,0)</f>
        <v>0</v>
      </c>
    </row>
    <row r="286" spans="20:20" x14ac:dyDescent="0.25">
      <c r="T286" s="53">
        <f>IF(C286&lt;&gt;0,C286-Gear!$C$3,0)</f>
        <v>0</v>
      </c>
    </row>
    <row r="287" spans="20:20" x14ac:dyDescent="0.25">
      <c r="T287" s="53">
        <f>IF(C287&lt;&gt;0,C287-Gear!$C$3,0)</f>
        <v>0</v>
      </c>
    </row>
    <row r="288" spans="20:20" x14ac:dyDescent="0.25">
      <c r="T288" s="53">
        <f>IF(C288&lt;&gt;0,C288-Gear!$C$3,0)</f>
        <v>0</v>
      </c>
    </row>
    <row r="289" spans="20:20" x14ac:dyDescent="0.25">
      <c r="T289" s="53">
        <f>IF(C289&lt;&gt;0,C289-Gear!$C$3,0)</f>
        <v>0</v>
      </c>
    </row>
    <row r="290" spans="20:20" x14ac:dyDescent="0.25">
      <c r="T290" s="53">
        <f>IF(C290&lt;&gt;0,C290-Gear!$C$3,0)</f>
        <v>0</v>
      </c>
    </row>
    <row r="291" spans="20:20" x14ac:dyDescent="0.25">
      <c r="T291" s="53">
        <f>IF(C291&lt;&gt;0,C291-Gear!$C$3,0)</f>
        <v>0</v>
      </c>
    </row>
    <row r="292" spans="20:20" x14ac:dyDescent="0.25">
      <c r="T292" s="53">
        <f>IF(C292&lt;&gt;0,C292-Gear!$C$3,0)</f>
        <v>0</v>
      </c>
    </row>
    <row r="293" spans="20:20" x14ac:dyDescent="0.25">
      <c r="T293" s="53">
        <f>IF(C293&lt;&gt;0,C293-Gear!$C$3,0)</f>
        <v>0</v>
      </c>
    </row>
    <row r="294" spans="20:20" x14ac:dyDescent="0.25">
      <c r="T294" s="53">
        <f>IF(C294&lt;&gt;0,C294-Gear!$C$3,0)</f>
        <v>0</v>
      </c>
    </row>
    <row r="295" spans="20:20" x14ac:dyDescent="0.25">
      <c r="T295" s="53">
        <f>IF(C295&lt;&gt;0,C295-Gear!$C$3,0)</f>
        <v>0</v>
      </c>
    </row>
    <row r="296" spans="20:20" x14ac:dyDescent="0.25">
      <c r="T296" s="53">
        <f>IF(C296&lt;&gt;0,C296-Gear!$C$3,0)</f>
        <v>0</v>
      </c>
    </row>
    <row r="297" spans="20:20" x14ac:dyDescent="0.25">
      <c r="T297" s="53">
        <f>IF(C297&lt;&gt;0,C297-Gear!$C$3,0)</f>
        <v>0</v>
      </c>
    </row>
    <row r="298" spans="20:20" x14ac:dyDescent="0.25">
      <c r="T298" s="53">
        <f>IF(C298&lt;&gt;0,C298-Gear!$C$3,0)</f>
        <v>0</v>
      </c>
    </row>
    <row r="299" spans="20:20" x14ac:dyDescent="0.25">
      <c r="T299" s="53">
        <f>IF(C299&lt;&gt;0,C299-Gear!$C$3,0)</f>
        <v>0</v>
      </c>
    </row>
    <row r="300" spans="20:20" x14ac:dyDescent="0.25">
      <c r="T300" s="53">
        <f>IF(C300&lt;&gt;0,C300-Gear!$C$3,0)</f>
        <v>0</v>
      </c>
    </row>
    <row r="301" spans="20:20" x14ac:dyDescent="0.25">
      <c r="T301" s="53">
        <f>IF(C301&lt;&gt;0,C301-Gear!$C$3,0)</f>
        <v>0</v>
      </c>
    </row>
    <row r="302" spans="20:20" x14ac:dyDescent="0.25">
      <c r="T302" s="53">
        <f>IF(C302&lt;&gt;0,C302-Gear!$C$3,0)</f>
        <v>0</v>
      </c>
    </row>
    <row r="303" spans="20:20" x14ac:dyDescent="0.25">
      <c r="T303" s="53">
        <f>IF(C303&lt;&gt;0,C303-Gear!$C$3,0)</f>
        <v>0</v>
      </c>
    </row>
    <row r="304" spans="20:20" x14ac:dyDescent="0.25">
      <c r="T304" s="53">
        <f>IF(C304&lt;&gt;0,C304-Gear!$C$3,0)</f>
        <v>0</v>
      </c>
    </row>
    <row r="305" spans="20:20" x14ac:dyDescent="0.25">
      <c r="T305" s="53">
        <f>IF(C305&lt;&gt;0,C305-Gear!$C$3,0)</f>
        <v>0</v>
      </c>
    </row>
    <row r="306" spans="20:20" x14ac:dyDescent="0.25">
      <c r="T306" s="53">
        <f>IF(C306&lt;&gt;0,C306-Gear!$C$3,0)</f>
        <v>0</v>
      </c>
    </row>
    <row r="307" spans="20:20" x14ac:dyDescent="0.25">
      <c r="T307" s="53">
        <f>IF(C307&lt;&gt;0,C307-Gear!$C$3,0)</f>
        <v>0</v>
      </c>
    </row>
    <row r="308" spans="20:20" x14ac:dyDescent="0.25">
      <c r="T308" s="53">
        <f>IF(C308&lt;&gt;0,C308-Gear!$C$3,0)</f>
        <v>0</v>
      </c>
    </row>
    <row r="309" spans="20:20" x14ac:dyDescent="0.25">
      <c r="T309" s="53">
        <f>IF(C309&lt;&gt;0,C309-Gear!$C$3,0)</f>
        <v>0</v>
      </c>
    </row>
    <row r="310" spans="20:20" x14ac:dyDescent="0.25">
      <c r="T310" s="53">
        <f>IF(C310&lt;&gt;0,C310-Gear!$C$3,0)</f>
        <v>0</v>
      </c>
    </row>
    <row r="311" spans="20:20" x14ac:dyDescent="0.25">
      <c r="T311" s="53">
        <f>IF(C311&lt;&gt;0,C311-Gear!$C$3,0)</f>
        <v>0</v>
      </c>
    </row>
    <row r="312" spans="20:20" x14ac:dyDescent="0.25">
      <c r="T312" s="53">
        <f>IF(C312&lt;&gt;0,C312-Gear!$C$3,0)</f>
        <v>0</v>
      </c>
    </row>
    <row r="313" spans="20:20" x14ac:dyDescent="0.25">
      <c r="T313" s="53">
        <f>IF(C313&lt;&gt;0,C313-Gear!$C$3,0)</f>
        <v>0</v>
      </c>
    </row>
    <row r="314" spans="20:20" x14ac:dyDescent="0.25">
      <c r="T314" s="53">
        <f>IF(C314&lt;&gt;0,C314-Gear!$C$3,0)</f>
        <v>0</v>
      </c>
    </row>
    <row r="315" spans="20:20" x14ac:dyDescent="0.25">
      <c r="T315" s="53">
        <f>IF(C315&lt;&gt;0,C315-Gear!$C$3,0)</f>
        <v>0</v>
      </c>
    </row>
    <row r="316" spans="20:20" x14ac:dyDescent="0.25">
      <c r="T316" s="53">
        <f>IF(C316&lt;&gt;0,C316-Gear!$C$3,0)</f>
        <v>0</v>
      </c>
    </row>
    <row r="317" spans="20:20" x14ac:dyDescent="0.25">
      <c r="T317" s="53">
        <f>IF(C317&lt;&gt;0,C317-Gear!$C$3,0)</f>
        <v>0</v>
      </c>
    </row>
    <row r="318" spans="20:20" x14ac:dyDescent="0.25">
      <c r="T318" s="53">
        <f>IF(C318&lt;&gt;0,C318-Gear!$C$3,0)</f>
        <v>0</v>
      </c>
    </row>
    <row r="319" spans="20:20" x14ac:dyDescent="0.25">
      <c r="T319" s="53">
        <f>IF(C319&lt;&gt;0,C319-Gear!$C$3,0)</f>
        <v>0</v>
      </c>
    </row>
    <row r="320" spans="20:20" x14ac:dyDescent="0.25">
      <c r="T320" s="53">
        <f>IF(C320&lt;&gt;0,C320-Gear!$C$3,0)</f>
        <v>0</v>
      </c>
    </row>
    <row r="321" spans="20:20" x14ac:dyDescent="0.25">
      <c r="T321" s="53">
        <f>IF(C321&lt;&gt;0,C321-Gear!$C$3,0)</f>
        <v>0</v>
      </c>
    </row>
    <row r="322" spans="20:20" x14ac:dyDescent="0.25">
      <c r="T322" s="53">
        <f>IF(C322&lt;&gt;0,C322-Gear!$C$3,0)</f>
        <v>0</v>
      </c>
    </row>
    <row r="323" spans="20:20" x14ac:dyDescent="0.25">
      <c r="T323" s="53">
        <f>IF(C323&lt;&gt;0,C323-Gear!$C$3,0)</f>
        <v>0</v>
      </c>
    </row>
    <row r="324" spans="20:20" x14ac:dyDescent="0.25">
      <c r="T324" s="53">
        <f>IF(C324&lt;&gt;0,C324-Gear!$C$3,0)</f>
        <v>0</v>
      </c>
    </row>
    <row r="325" spans="20:20" x14ac:dyDescent="0.25">
      <c r="T325" s="53">
        <f>IF(C325&lt;&gt;0,C325-Gear!$C$3,0)</f>
        <v>0</v>
      </c>
    </row>
    <row r="326" spans="20:20" x14ac:dyDescent="0.25">
      <c r="T326" s="53">
        <f>IF(C326&lt;&gt;0,C326-Gear!$C$3,0)</f>
        <v>0</v>
      </c>
    </row>
    <row r="327" spans="20:20" x14ac:dyDescent="0.25">
      <c r="T327" s="53">
        <f>IF(C327&lt;&gt;0,C327-Gear!$C$3,0)</f>
        <v>0</v>
      </c>
    </row>
    <row r="328" spans="20:20" x14ac:dyDescent="0.25">
      <c r="T328" s="53">
        <f>IF(C328&lt;&gt;0,C328-Gear!$C$3,0)</f>
        <v>0</v>
      </c>
    </row>
    <row r="329" spans="20:20" x14ac:dyDescent="0.25">
      <c r="T329" s="53">
        <f>IF(C329&lt;&gt;0,C329-Gear!$C$3,0)</f>
        <v>0</v>
      </c>
    </row>
    <row r="330" spans="20:20" x14ac:dyDescent="0.25">
      <c r="T330" s="53">
        <f>IF(C330&lt;&gt;0,C330-Gear!$C$3,0)</f>
        <v>0</v>
      </c>
    </row>
    <row r="331" spans="20:20" x14ac:dyDescent="0.25">
      <c r="T331" s="53">
        <f>IF(C331&lt;&gt;0,C331-Gear!$C$3,0)</f>
        <v>0</v>
      </c>
    </row>
    <row r="332" spans="20:20" x14ac:dyDescent="0.25">
      <c r="T332" s="53">
        <f>IF(C332&lt;&gt;0,C332-Gear!$C$3,0)</f>
        <v>0</v>
      </c>
    </row>
    <row r="333" spans="20:20" x14ac:dyDescent="0.25">
      <c r="T333" s="53">
        <f>IF(C333&lt;&gt;0,C333-Gear!$C$3,0)</f>
        <v>0</v>
      </c>
    </row>
    <row r="334" spans="20:20" x14ac:dyDescent="0.25">
      <c r="T334" s="53">
        <f>IF(C334&lt;&gt;0,C334-Gear!$C$3,0)</f>
        <v>0</v>
      </c>
    </row>
    <row r="335" spans="20:20" x14ac:dyDescent="0.25">
      <c r="T335" s="53">
        <f>IF(C335&lt;&gt;0,C335-Gear!$C$3,0)</f>
        <v>0</v>
      </c>
    </row>
    <row r="336" spans="20:20" x14ac:dyDescent="0.25">
      <c r="T336" s="53">
        <f>IF(C336&lt;&gt;0,C336-Gear!$C$3,0)</f>
        <v>0</v>
      </c>
    </row>
    <row r="337" spans="20:20" x14ac:dyDescent="0.25">
      <c r="T337" s="53">
        <f>IF(C337&lt;&gt;0,C337-Gear!$C$3,0)</f>
        <v>0</v>
      </c>
    </row>
    <row r="338" spans="20:20" x14ac:dyDescent="0.25">
      <c r="T338" s="53">
        <f>IF(C338&lt;&gt;0,C338-Gear!$C$3,0)</f>
        <v>0</v>
      </c>
    </row>
    <row r="339" spans="20:20" x14ac:dyDescent="0.25">
      <c r="T339" s="53">
        <f>IF(C339&lt;&gt;0,C339-Gear!$C$3,0)</f>
        <v>0</v>
      </c>
    </row>
    <row r="340" spans="20:20" x14ac:dyDescent="0.25">
      <c r="T340" s="53">
        <f>IF(C340&lt;&gt;0,C340-Gear!$C$3,0)</f>
        <v>0</v>
      </c>
    </row>
    <row r="341" spans="20:20" x14ac:dyDescent="0.25">
      <c r="T341" s="53">
        <f>IF(C341&lt;&gt;0,C341-Gear!$C$3,0)</f>
        <v>0</v>
      </c>
    </row>
    <row r="342" spans="20:20" x14ac:dyDescent="0.25">
      <c r="T342" s="53">
        <f>IF(C342&lt;&gt;0,C342-Gear!$C$3,0)</f>
        <v>0</v>
      </c>
    </row>
    <row r="343" spans="20:20" x14ac:dyDescent="0.25">
      <c r="T343" s="53">
        <f>IF(C343&lt;&gt;0,C343-Gear!$C$3,0)</f>
        <v>0</v>
      </c>
    </row>
    <row r="344" spans="20:20" x14ac:dyDescent="0.25">
      <c r="T344" s="53">
        <f>IF(C344&lt;&gt;0,C344-Gear!$C$3,0)</f>
        <v>0</v>
      </c>
    </row>
    <row r="345" spans="20:20" x14ac:dyDescent="0.25">
      <c r="T345" s="53">
        <f>IF(C345&lt;&gt;0,C345-Gear!$C$3,0)</f>
        <v>0</v>
      </c>
    </row>
    <row r="346" spans="20:20" x14ac:dyDescent="0.25">
      <c r="T346" s="53">
        <f>IF(C346&lt;&gt;0,C346-Gear!$C$3,0)</f>
        <v>0</v>
      </c>
    </row>
    <row r="347" spans="20:20" x14ac:dyDescent="0.25">
      <c r="T347" s="53">
        <f>IF(C347&lt;&gt;0,C347-Gear!$C$3,0)</f>
        <v>0</v>
      </c>
    </row>
    <row r="348" spans="20:20" x14ac:dyDescent="0.25">
      <c r="T348" s="53">
        <f>IF(C348&lt;&gt;0,C348-Gear!$C$3,0)</f>
        <v>0</v>
      </c>
    </row>
    <row r="349" spans="20:20" x14ac:dyDescent="0.25">
      <c r="T349" s="53">
        <f>IF(C349&lt;&gt;0,C349-Gear!$C$3,0)</f>
        <v>0</v>
      </c>
    </row>
    <row r="350" spans="20:20" x14ac:dyDescent="0.25">
      <c r="T350" s="53">
        <f>IF(C350&lt;&gt;0,C350-Gear!$C$3,0)</f>
        <v>0</v>
      </c>
    </row>
    <row r="351" spans="20:20" x14ac:dyDescent="0.25">
      <c r="T351" s="53">
        <f>IF(C351&lt;&gt;0,C351-Gear!$C$3,0)</f>
        <v>0</v>
      </c>
    </row>
    <row r="352" spans="20:20" x14ac:dyDescent="0.25">
      <c r="T352" s="53">
        <f>IF(C352&lt;&gt;0,C352-Gear!$C$3,0)</f>
        <v>0</v>
      </c>
    </row>
    <row r="353" spans="20:20" x14ac:dyDescent="0.25">
      <c r="T353" s="53">
        <f>IF(C353&lt;&gt;0,C353-Gear!$C$3,0)</f>
        <v>0</v>
      </c>
    </row>
    <row r="354" spans="20:20" x14ac:dyDescent="0.25">
      <c r="T354" s="53">
        <f>IF(C354&lt;&gt;0,C354-Gear!$C$3,0)</f>
        <v>0</v>
      </c>
    </row>
    <row r="355" spans="20:20" x14ac:dyDescent="0.25">
      <c r="T355" s="53">
        <f>IF(C355&lt;&gt;0,C355-Gear!$C$3,0)</f>
        <v>0</v>
      </c>
    </row>
    <row r="356" spans="20:20" x14ac:dyDescent="0.25">
      <c r="T356" s="53">
        <f>IF(C356&lt;&gt;0,C356-Gear!$C$3,0)</f>
        <v>0</v>
      </c>
    </row>
    <row r="357" spans="20:20" x14ac:dyDescent="0.25">
      <c r="T357" s="53">
        <f>IF(C357&lt;&gt;0,C357-Gear!$C$3,0)</f>
        <v>0</v>
      </c>
    </row>
    <row r="358" spans="20:20" x14ac:dyDescent="0.25">
      <c r="T358" s="53">
        <f>IF(C358&lt;&gt;0,C358-Gear!$C$3,0)</f>
        <v>0</v>
      </c>
    </row>
    <row r="359" spans="20:20" x14ac:dyDescent="0.25">
      <c r="T359" s="53">
        <f>IF(C359&lt;&gt;0,C359-Gear!$C$3,0)</f>
        <v>0</v>
      </c>
    </row>
    <row r="360" spans="20:20" x14ac:dyDescent="0.25">
      <c r="T360" s="53">
        <f>IF(C360&lt;&gt;0,C360-Gear!$C$3,0)</f>
        <v>0</v>
      </c>
    </row>
    <row r="361" spans="20:20" x14ac:dyDescent="0.25">
      <c r="T361" s="53">
        <f>IF(C361&lt;&gt;0,C361-Gear!$C$3,0)</f>
        <v>0</v>
      </c>
    </row>
    <row r="362" spans="20:20" x14ac:dyDescent="0.25">
      <c r="T362" s="53">
        <f>IF(C362&lt;&gt;0,C362-Gear!$C$3,0)</f>
        <v>0</v>
      </c>
    </row>
    <row r="363" spans="20:20" x14ac:dyDescent="0.25">
      <c r="T363" s="53">
        <f>IF(C363&lt;&gt;0,C363-Gear!$C$3,0)</f>
        <v>0</v>
      </c>
    </row>
    <row r="364" spans="20:20" x14ac:dyDescent="0.25">
      <c r="T364" s="53">
        <f>IF(C364&lt;&gt;0,C364-Gear!$C$3,0)</f>
        <v>0</v>
      </c>
    </row>
    <row r="365" spans="20:20" x14ac:dyDescent="0.25">
      <c r="T365" s="53">
        <f>IF(C365&lt;&gt;0,C365-Gear!$C$3,0)</f>
        <v>0</v>
      </c>
    </row>
    <row r="366" spans="20:20" x14ac:dyDescent="0.25">
      <c r="T366" s="53">
        <f>IF(C366&lt;&gt;0,C366-Gear!$C$3,0)</f>
        <v>0</v>
      </c>
    </row>
    <row r="367" spans="20:20" x14ac:dyDescent="0.25">
      <c r="T367" s="53">
        <f>IF(C367&lt;&gt;0,C367-Gear!$C$3,0)</f>
        <v>0</v>
      </c>
    </row>
    <row r="368" spans="20:20" x14ac:dyDescent="0.25">
      <c r="T368" s="53">
        <f>IF(C368&lt;&gt;0,C368-Gear!$C$3,0)</f>
        <v>0</v>
      </c>
    </row>
    <row r="369" spans="20:20" x14ac:dyDescent="0.25">
      <c r="T369" s="53">
        <f>IF(C369&lt;&gt;0,C369-Gear!$C$3,0)</f>
        <v>0</v>
      </c>
    </row>
    <row r="370" spans="20:20" x14ac:dyDescent="0.25">
      <c r="T370" s="53">
        <f>IF(C370&lt;&gt;0,C370-Gear!$C$3,0)</f>
        <v>0</v>
      </c>
    </row>
    <row r="371" spans="20:20" x14ac:dyDescent="0.25">
      <c r="T371" s="53">
        <f>IF(C371&lt;&gt;0,C371-Gear!$C$3,0)</f>
        <v>0</v>
      </c>
    </row>
    <row r="372" spans="20:20" x14ac:dyDescent="0.25">
      <c r="T372" s="53">
        <f>IF(C372&lt;&gt;0,C372-Gear!$C$3,0)</f>
        <v>0</v>
      </c>
    </row>
    <row r="373" spans="20:20" x14ac:dyDescent="0.25">
      <c r="T373" s="53">
        <f>IF(C373&lt;&gt;0,C373-Gear!$C$3,0)</f>
        <v>0</v>
      </c>
    </row>
    <row r="374" spans="20:20" x14ac:dyDescent="0.25">
      <c r="T374" s="53">
        <f>IF(C374&lt;&gt;0,C374-Gear!$C$3,0)</f>
        <v>0</v>
      </c>
    </row>
    <row r="375" spans="20:20" x14ac:dyDescent="0.25">
      <c r="T375" s="53">
        <f>IF(C375&lt;&gt;0,C375-Gear!$C$3,0)</f>
        <v>0</v>
      </c>
    </row>
    <row r="376" spans="20:20" x14ac:dyDescent="0.25">
      <c r="T376" s="53">
        <f>IF(C376&lt;&gt;0,C376-Gear!$C$3,0)</f>
        <v>0</v>
      </c>
    </row>
    <row r="377" spans="20:20" x14ac:dyDescent="0.25">
      <c r="T377" s="53">
        <f>IF(C377&lt;&gt;0,C377-Gear!$C$3,0)</f>
        <v>0</v>
      </c>
    </row>
    <row r="378" spans="20:20" x14ac:dyDescent="0.25">
      <c r="T378" s="53">
        <f>IF(C378&lt;&gt;0,C378-Gear!$C$3,0)</f>
        <v>0</v>
      </c>
    </row>
  </sheetData>
  <conditionalFormatting sqref="U2:U200">
    <cfRule type="cellIs" dxfId="13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290A-60B1-4326-A14A-B00CF9886FB5}">
  <sheetPr codeName="Tabelle8"/>
  <dimension ref="A1:U335"/>
  <sheetViews>
    <sheetView showGridLines="0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34" style="9" bestFit="1" customWidth="1"/>
    <col min="3" max="3" width="16.5703125" style="9" bestFit="1" customWidth="1"/>
    <col min="4" max="4" width="9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53" bestFit="1" customWidth="1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54" t="str">
        <f>Head!T1</f>
        <v>Link</v>
      </c>
      <c r="U1" s="31" t="str">
        <f>Head!U1</f>
        <v>Delta</v>
      </c>
    </row>
    <row r="2" spans="1:21" x14ac:dyDescent="0.25">
      <c r="A2" s="24">
        <f>'Item Database'!A32</f>
        <v>23050</v>
      </c>
      <c r="B2" s="9" t="str">
        <f>'Item Database'!B32</f>
        <v>Cloak of the Necropolis</v>
      </c>
      <c r="C2" s="12">
        <f>'Item Database'!C32</f>
        <v>15.451437824810977</v>
      </c>
      <c r="D2" s="9" t="str">
        <f>'Item Database'!D32</f>
        <v>Back</v>
      </c>
      <c r="E2" s="9">
        <f>'Item Database'!E32</f>
        <v>68</v>
      </c>
      <c r="F2" s="9">
        <f>'Item Database'!F32</f>
        <v>0</v>
      </c>
      <c r="G2" s="9">
        <f>'Item Database'!G32</f>
        <v>12</v>
      </c>
      <c r="H2" s="9">
        <f>'Item Database'!H32</f>
        <v>0</v>
      </c>
      <c r="I2" s="9">
        <f>'Item Database'!I32</f>
        <v>11</v>
      </c>
      <c r="J2" s="9">
        <f>'Item Database'!J32</f>
        <v>0</v>
      </c>
      <c r="K2" s="9">
        <f>'Item Database'!K32</f>
        <v>26</v>
      </c>
      <c r="L2" s="35">
        <f>'Item Database'!L32</f>
        <v>0.01</v>
      </c>
      <c r="M2" s="35">
        <f>'Item Database'!M32</f>
        <v>0.01</v>
      </c>
      <c r="N2" s="9">
        <f>'Item Database'!N32</f>
        <v>0</v>
      </c>
      <c r="O2" s="9">
        <f>'Item Database'!O32</f>
        <v>0</v>
      </c>
      <c r="P2" s="9">
        <f>'Item Database'!P32</f>
        <v>0</v>
      </c>
      <c r="Q2" s="9">
        <f>'Item Database'!Q32</f>
        <v>0</v>
      </c>
      <c r="R2" s="9">
        <f>'Item Database'!R32</f>
        <v>0</v>
      </c>
      <c r="S2" s="9">
        <f>'Item Database'!S32</f>
        <v>0</v>
      </c>
      <c r="T2" s="53" t="str">
        <f>HYPERLINK('Item Database'!T32)</f>
        <v>https://classic.wowhead.com/item=23050</v>
      </c>
      <c r="U2" s="9">
        <f>IF(C2&lt;&gt;0,C2-Gear!$C$4,0)</f>
        <v>15.451437824810977</v>
      </c>
    </row>
    <row r="3" spans="1:21" x14ac:dyDescent="0.25">
      <c r="A3" s="24">
        <f>'Item Database'!A57</f>
        <v>22499</v>
      </c>
      <c r="B3" s="9" t="str">
        <f>'Item Database'!B57</f>
        <v>Frostfire Shoulderpads</v>
      </c>
      <c r="C3" s="12">
        <f>'Item Database'!C57</f>
        <v>13.66584059515678</v>
      </c>
      <c r="D3" s="9" t="str">
        <f>'Item Database'!D57</f>
        <v>Shoulder</v>
      </c>
      <c r="E3" s="9">
        <f>'Item Database'!E57</f>
        <v>97</v>
      </c>
      <c r="F3" s="9">
        <f>'Item Database'!F57</f>
        <v>0</v>
      </c>
      <c r="G3" s="9">
        <f>'Item Database'!G57</f>
        <v>17</v>
      </c>
      <c r="H3" s="9">
        <f>'Item Database'!H57</f>
        <v>0</v>
      </c>
      <c r="I3" s="9">
        <f>'Item Database'!I57</f>
        <v>18</v>
      </c>
      <c r="J3" s="9">
        <f>'Item Database'!J57</f>
        <v>9</v>
      </c>
      <c r="K3" s="9">
        <f>'Item Database'!K57</f>
        <v>36</v>
      </c>
      <c r="L3" s="35">
        <f>'Item Database'!L57</f>
        <v>0</v>
      </c>
      <c r="M3" s="35">
        <f>'Item Database'!M57</f>
        <v>0</v>
      </c>
      <c r="N3" s="9">
        <f>'Item Database'!N57</f>
        <v>0</v>
      </c>
      <c r="O3" s="9">
        <f>'Item Database'!O57</f>
        <v>0</v>
      </c>
      <c r="P3" s="9">
        <f>'Item Database'!P57</f>
        <v>0</v>
      </c>
      <c r="Q3" s="9">
        <f>'Item Database'!Q57</f>
        <v>0</v>
      </c>
      <c r="R3" s="9">
        <f>'Item Database'!R57</f>
        <v>0</v>
      </c>
      <c r="S3" s="9">
        <f>'Item Database'!S57</f>
        <v>0</v>
      </c>
      <c r="T3" s="53" t="str">
        <f>HYPERLINK('Item Database'!T57)</f>
        <v>https://classic.wowhead.com/item=22499</v>
      </c>
      <c r="U3" s="9">
        <f>IF(C3&lt;&gt;0,C3-Gear!$C$4,0)</f>
        <v>13.66584059515678</v>
      </c>
    </row>
    <row r="4" spans="1:21" x14ac:dyDescent="0.25">
      <c r="A4" s="24">
        <f>'Item Database'!A66</f>
        <v>19403</v>
      </c>
      <c r="B4" s="9" t="str">
        <f>'Item Database'!B66</f>
        <v>Band of Forced Concentration</v>
      </c>
      <c r="C4" s="12">
        <f>'Item Database'!C66</f>
        <v>11.246916527593449</v>
      </c>
      <c r="D4" s="9" t="str">
        <f>'Item Database'!D66</f>
        <v>Ring</v>
      </c>
      <c r="E4" s="9">
        <f>'Item Database'!E66</f>
        <v>0</v>
      </c>
      <c r="F4" s="9">
        <f>'Item Database'!F66</f>
        <v>0</v>
      </c>
      <c r="G4" s="9">
        <f>'Item Database'!G66</f>
        <v>9</v>
      </c>
      <c r="H4" s="9">
        <f>'Item Database'!H66</f>
        <v>0</v>
      </c>
      <c r="I4" s="9">
        <f>'Item Database'!I66</f>
        <v>12</v>
      </c>
      <c r="J4" s="9">
        <f>'Item Database'!J66</f>
        <v>0</v>
      </c>
      <c r="K4" s="9">
        <f>'Item Database'!K66</f>
        <v>21</v>
      </c>
      <c r="L4" s="35">
        <f>'Item Database'!L66</f>
        <v>0</v>
      </c>
      <c r="M4" s="35">
        <f>'Item Database'!M66</f>
        <v>0.01</v>
      </c>
      <c r="N4" s="9">
        <f>'Item Database'!N66</f>
        <v>0</v>
      </c>
      <c r="O4" s="9">
        <f>'Item Database'!O66</f>
        <v>0</v>
      </c>
      <c r="P4" s="9">
        <f>'Item Database'!P66</f>
        <v>0</v>
      </c>
      <c r="Q4" s="9">
        <f>'Item Database'!Q66</f>
        <v>0</v>
      </c>
      <c r="R4" s="9">
        <f>'Item Database'!R66</f>
        <v>0</v>
      </c>
      <c r="S4" s="9">
        <f>'Item Database'!S66</f>
        <v>0</v>
      </c>
      <c r="T4" s="53" t="str">
        <f>HYPERLINK('Item Database'!T66)</f>
        <v>https://classic.wowhead.com/item=19403</v>
      </c>
      <c r="U4" s="9">
        <f>IF(C4&lt;&gt;0,C4-Gear!$C$4,0)</f>
        <v>11.246916527593449</v>
      </c>
    </row>
    <row r="5" spans="1:21" x14ac:dyDescent="0.25">
      <c r="A5" s="24">
        <f>'Item Database'!A92</f>
        <v>22752</v>
      </c>
      <c r="B5" s="9" t="str">
        <f>'Item Database'!B92</f>
        <v>Sentinel's Silk Leggings</v>
      </c>
      <c r="C5" s="12">
        <f>'Item Database'!C92</f>
        <v>10.834923547532771</v>
      </c>
      <c r="D5" s="9" t="str">
        <f>'Item Database'!D92</f>
        <v>Legs</v>
      </c>
      <c r="E5" s="9">
        <f>'Item Database'!E92</f>
        <v>188</v>
      </c>
      <c r="F5" s="9">
        <f>'Item Database'!F92</f>
        <v>0</v>
      </c>
      <c r="G5" s="9">
        <f>'Item Database'!G92</f>
        <v>23</v>
      </c>
      <c r="H5" s="9">
        <f>'Item Database'!H92</f>
        <v>0</v>
      </c>
      <c r="I5" s="9">
        <f>'Item Database'!I92</f>
        <v>19</v>
      </c>
      <c r="J5" s="9">
        <f>'Item Database'!J92</f>
        <v>10</v>
      </c>
      <c r="K5" s="9">
        <f>'Item Database'!K92</f>
        <v>28</v>
      </c>
      <c r="L5" s="35">
        <f>'Item Database'!L92</f>
        <v>0</v>
      </c>
      <c r="M5" s="35">
        <f>'Item Database'!M92</f>
        <v>0</v>
      </c>
      <c r="N5" s="9">
        <f>'Item Database'!N92</f>
        <v>0</v>
      </c>
      <c r="O5" s="9">
        <f>'Item Database'!O92</f>
        <v>0</v>
      </c>
      <c r="P5" s="9">
        <f>'Item Database'!P92</f>
        <v>0</v>
      </c>
      <c r="Q5" s="9">
        <f>'Item Database'!Q92</f>
        <v>0</v>
      </c>
      <c r="R5" s="9">
        <f>'Item Database'!R92</f>
        <v>0</v>
      </c>
      <c r="S5" s="9">
        <f>'Item Database'!S92</f>
        <v>0</v>
      </c>
      <c r="T5" s="53" t="str">
        <f>HYPERLINK('Item Database'!T92)</f>
        <v>https://classic.wowhead.com/item=22752</v>
      </c>
      <c r="U5" s="9">
        <f>IF(C5&lt;&gt;0,C5-Gear!$C$4,0)</f>
        <v>10.834923547532771</v>
      </c>
    </row>
    <row r="6" spans="1:21" x14ac:dyDescent="0.25">
      <c r="A6" s="24">
        <f>'Item Database'!A103</f>
        <v>21414</v>
      </c>
      <c r="B6" s="9" t="str">
        <f>'Item Database'!B103</f>
        <v>Band of Vaulted Secrets</v>
      </c>
      <c r="C6" s="12">
        <f>'Item Database'!C103</f>
        <v>8.9128781190388935</v>
      </c>
      <c r="D6" s="9" t="str">
        <f>'Item Database'!D103</f>
        <v>Ring</v>
      </c>
      <c r="E6" s="9">
        <f>'Item Database'!E103</f>
        <v>0</v>
      </c>
      <c r="F6" s="9">
        <f>'Item Database'!F103</f>
        <v>0</v>
      </c>
      <c r="G6" s="9">
        <f>'Item Database'!G103</f>
        <v>9</v>
      </c>
      <c r="H6" s="9">
        <f>'Item Database'!H103</f>
        <v>0</v>
      </c>
      <c r="I6" s="9">
        <f>'Item Database'!I103</f>
        <v>0</v>
      </c>
      <c r="J6" s="9">
        <f>'Item Database'!J103</f>
        <v>0</v>
      </c>
      <c r="K6" s="9">
        <f>'Item Database'!K103</f>
        <v>18</v>
      </c>
      <c r="L6" s="35">
        <f>'Item Database'!L103</f>
        <v>0.01</v>
      </c>
      <c r="M6" s="35">
        <f>'Item Database'!M103</f>
        <v>0</v>
      </c>
      <c r="N6" s="9">
        <f>'Item Database'!N103</f>
        <v>0</v>
      </c>
      <c r="O6" s="9">
        <f>'Item Database'!O103</f>
        <v>0</v>
      </c>
      <c r="P6" s="9">
        <f>'Item Database'!P103</f>
        <v>0</v>
      </c>
      <c r="Q6" s="9">
        <f>'Item Database'!Q103</f>
        <v>0</v>
      </c>
      <c r="R6" s="9">
        <f>'Item Database'!R103</f>
        <v>0</v>
      </c>
      <c r="S6" s="9">
        <f>'Item Database'!S103</f>
        <v>0</v>
      </c>
      <c r="T6" s="53" t="str">
        <f>HYPERLINK('Item Database'!T103)</f>
        <v>https://classic.wowhead.com/item=21414</v>
      </c>
      <c r="U6" s="9">
        <f>IF(C6&lt;&gt;0,C6-Gear!$C$4,0)</f>
        <v>8.9128781190388935</v>
      </c>
    </row>
    <row r="7" spans="1:21" x14ac:dyDescent="0.25">
      <c r="A7" s="9">
        <f>'Item Database'!A114</f>
        <v>13871</v>
      </c>
      <c r="B7" s="9" t="str">
        <f>'Item Database'!B114</f>
        <v>Frostweave Pants</v>
      </c>
      <c r="C7" s="12">
        <f>'Item Database'!C114</f>
        <v>9.33433907645618</v>
      </c>
      <c r="D7" s="9" t="str">
        <f>'Item Database'!D114</f>
        <v>Legs</v>
      </c>
      <c r="E7" s="9">
        <f>'Item Database'!E114</f>
        <v>63</v>
      </c>
      <c r="F7" s="9">
        <f>'Item Database'!F114</f>
        <v>0</v>
      </c>
      <c r="G7" s="9">
        <f>'Item Database'!G114</f>
        <v>0</v>
      </c>
      <c r="H7" s="9">
        <f>'Item Database'!H114</f>
        <v>0</v>
      </c>
      <c r="I7" s="9">
        <f>'Item Database'!I114</f>
        <v>0</v>
      </c>
      <c r="J7" s="9">
        <f>'Item Database'!J114</f>
        <v>12</v>
      </c>
      <c r="K7" s="9">
        <f>'Item Database'!K114</f>
        <v>26</v>
      </c>
      <c r="L7" s="35">
        <f>'Item Database'!L114</f>
        <v>0</v>
      </c>
      <c r="M7" s="35">
        <f>'Item Database'!M114</f>
        <v>0</v>
      </c>
      <c r="N7" s="9">
        <f>'Item Database'!N114</f>
        <v>0</v>
      </c>
      <c r="O7" s="9">
        <f>'Item Database'!O114</f>
        <v>0</v>
      </c>
      <c r="P7" s="9">
        <f>'Item Database'!P114</f>
        <v>0</v>
      </c>
      <c r="Q7" s="9">
        <f>'Item Database'!Q114</f>
        <v>0</v>
      </c>
      <c r="R7" s="9">
        <f>'Item Database'!R114</f>
        <v>0</v>
      </c>
      <c r="S7" s="9">
        <f>'Item Database'!S114</f>
        <v>0</v>
      </c>
      <c r="T7" s="53" t="str">
        <f>HYPERLINK('Item Database'!T114)</f>
        <v>https://classic.wowhead.com/item=13871</v>
      </c>
      <c r="U7" s="9">
        <f>IF(C7&lt;&gt;0,C7-Gear!$C$4,0)</f>
        <v>9.33433907645618</v>
      </c>
    </row>
    <row r="8" spans="1:21" x14ac:dyDescent="0.25">
      <c r="A8" s="9">
        <f>'Item Database'!A122</f>
        <v>11822</v>
      </c>
      <c r="B8" s="9" t="str">
        <f>'Item Database'!B122</f>
        <v>Omnicast Boots</v>
      </c>
      <c r="C8" s="12">
        <f>'Item Database'!C122</f>
        <v>8.2689724631870334</v>
      </c>
      <c r="D8" s="9" t="str">
        <f>'Item Database'!D122</f>
        <v>Feet</v>
      </c>
      <c r="E8" s="9">
        <f>'Item Database'!E122</f>
        <v>58</v>
      </c>
      <c r="F8" s="9">
        <f>'Item Database'!F122</f>
        <v>0</v>
      </c>
      <c r="G8" s="9">
        <f>'Item Database'!G122</f>
        <v>6</v>
      </c>
      <c r="H8" s="9">
        <f>'Item Database'!H122</f>
        <v>0</v>
      </c>
      <c r="I8" s="9">
        <f>'Item Database'!I122</f>
        <v>9</v>
      </c>
      <c r="J8" s="9">
        <f>'Item Database'!J122</f>
        <v>0</v>
      </c>
      <c r="K8" s="9">
        <f>'Item Database'!K122</f>
        <v>22</v>
      </c>
      <c r="L8" s="35">
        <f>'Item Database'!L122</f>
        <v>0</v>
      </c>
      <c r="M8" s="35">
        <f>'Item Database'!M122</f>
        <v>0</v>
      </c>
      <c r="N8" s="9">
        <f>'Item Database'!N122</f>
        <v>0</v>
      </c>
      <c r="O8" s="9">
        <f>'Item Database'!O122</f>
        <v>0</v>
      </c>
      <c r="P8" s="9">
        <f>'Item Database'!P122</f>
        <v>0</v>
      </c>
      <c r="Q8" s="9">
        <f>'Item Database'!Q122</f>
        <v>0</v>
      </c>
      <c r="R8" s="9">
        <f>'Item Database'!R122</f>
        <v>0</v>
      </c>
      <c r="S8" s="9">
        <f>'Item Database'!S122</f>
        <v>0</v>
      </c>
      <c r="T8" s="53" t="str">
        <f>HYPERLINK('Item Database'!T122)</f>
        <v>https://classic.wowhead.com/item=11822</v>
      </c>
      <c r="U8" s="9">
        <f>IF(C8&lt;&gt;0,C8-Gear!$C$4,0)</f>
        <v>8.2689724631870334</v>
      </c>
    </row>
    <row r="9" spans="1:21" x14ac:dyDescent="0.25">
      <c r="A9" s="9">
        <f>'Item Database'!A124</f>
        <v>19595</v>
      </c>
      <c r="B9" s="9" t="str">
        <f>'Item Database'!B124</f>
        <v>Dryad's Wrist Bindings</v>
      </c>
      <c r="C9" s="12">
        <f>'Item Database'!C124</f>
        <v>8.2277851795937558</v>
      </c>
      <c r="D9" s="9" t="str">
        <f>'Item Database'!D124</f>
        <v>Wrist</v>
      </c>
      <c r="E9" s="9">
        <f>'Item Database'!E124</f>
        <v>44</v>
      </c>
      <c r="F9" s="9">
        <f>'Item Database'!F124</f>
        <v>0</v>
      </c>
      <c r="G9" s="9">
        <f>'Item Database'!G124</f>
        <v>8</v>
      </c>
      <c r="H9" s="9">
        <f>'Item Database'!H124</f>
        <v>0</v>
      </c>
      <c r="I9" s="9">
        <f>'Item Database'!I124</f>
        <v>8</v>
      </c>
      <c r="J9" s="9">
        <f>'Item Database'!J124</f>
        <v>7</v>
      </c>
      <c r="K9" s="9">
        <f>'Item Database'!K124</f>
        <v>22</v>
      </c>
      <c r="L9" s="35">
        <f>'Item Database'!L124</f>
        <v>0</v>
      </c>
      <c r="M9" s="35">
        <f>'Item Database'!M124</f>
        <v>0</v>
      </c>
      <c r="N9" s="9">
        <f>'Item Database'!N124</f>
        <v>0</v>
      </c>
      <c r="O9" s="9">
        <f>'Item Database'!O124</f>
        <v>0</v>
      </c>
      <c r="P9" s="9">
        <f>'Item Database'!P124</f>
        <v>0</v>
      </c>
      <c r="Q9" s="9">
        <f>'Item Database'!Q124</f>
        <v>0</v>
      </c>
      <c r="R9" s="9">
        <f>'Item Database'!R124</f>
        <v>0</v>
      </c>
      <c r="S9" s="9">
        <f>'Item Database'!S124</f>
        <v>0</v>
      </c>
      <c r="T9" s="53" t="str">
        <f>HYPERLINK('Item Database'!T124)</f>
        <v>https://classic.wowhead.com/item=19595</v>
      </c>
      <c r="U9" s="9">
        <f>IF(C9&lt;&gt;0,C9-Gear!$C$4,0)</f>
        <v>8.2277851795937558</v>
      </c>
    </row>
    <row r="10" spans="1:21" x14ac:dyDescent="0.25">
      <c r="A10" s="24">
        <f>'Item Database'!A129</f>
        <v>10041</v>
      </c>
      <c r="B10" s="9" t="str">
        <f>'Item Database'!B129</f>
        <v>Dreamweave Circlet</v>
      </c>
      <c r="C10" s="12">
        <f>'Item Database'!C129</f>
        <v>7.9511467053781502</v>
      </c>
      <c r="D10" s="9" t="str">
        <f>'Item Database'!D129</f>
        <v>Head</v>
      </c>
      <c r="E10" s="9">
        <f>'Item Database'!E129</f>
        <v>58</v>
      </c>
      <c r="F10" s="9">
        <f>'Item Database'!F129</f>
        <v>0</v>
      </c>
      <c r="G10" s="9">
        <f>'Item Database'!G129</f>
        <v>0</v>
      </c>
      <c r="H10" s="9">
        <f>'Item Database'!H129</f>
        <v>0</v>
      </c>
      <c r="I10" s="9">
        <f>'Item Database'!I129</f>
        <v>10</v>
      </c>
      <c r="J10" s="9">
        <f>'Item Database'!J129</f>
        <v>12</v>
      </c>
      <c r="K10" s="9">
        <f>'Item Database'!K129</f>
        <v>21</v>
      </c>
      <c r="L10" s="35">
        <f>'Item Database'!L129</f>
        <v>0</v>
      </c>
      <c r="M10" s="35">
        <f>'Item Database'!M129</f>
        <v>0</v>
      </c>
      <c r="N10" s="9">
        <f>'Item Database'!N129</f>
        <v>0</v>
      </c>
      <c r="O10" s="9">
        <f>'Item Database'!O129</f>
        <v>0</v>
      </c>
      <c r="P10" s="9">
        <f>'Item Database'!P129</f>
        <v>0</v>
      </c>
      <c r="Q10" s="9">
        <f>'Item Database'!Q129</f>
        <v>0</v>
      </c>
      <c r="R10" s="9">
        <f>'Item Database'!R129</f>
        <v>0</v>
      </c>
      <c r="S10" s="9">
        <f>'Item Database'!S129</f>
        <v>0</v>
      </c>
      <c r="T10" s="53" t="str">
        <f>HYPERLINK('Item Database'!T129)</f>
        <v>https://classic.wowhead.com/item=10041</v>
      </c>
      <c r="U10" s="9">
        <f>IF(C10&lt;&gt;0,C10-Gear!$C$4,0)</f>
        <v>7.9511467053781502</v>
      </c>
    </row>
    <row r="11" spans="1:21" x14ac:dyDescent="0.25">
      <c r="A11" s="24">
        <f>'Item Database'!A158</f>
        <v>19876</v>
      </c>
      <c r="B11" s="9" t="str">
        <f>'Item Database'!B158</f>
        <v>Soul Corrupter's Necklace</v>
      </c>
      <c r="C11" s="12">
        <f>'Item Database'!C158</f>
        <v>3.8723917925211828</v>
      </c>
      <c r="D11" s="9" t="str">
        <f>'Item Database'!D158</f>
        <v>Neck</v>
      </c>
      <c r="E11" s="9">
        <f>'Item Database'!E158</f>
        <v>0</v>
      </c>
      <c r="F11" s="9">
        <f>'Item Database'!F158</f>
        <v>0</v>
      </c>
      <c r="G11" s="9">
        <f>'Item Database'!G158</f>
        <v>10</v>
      </c>
      <c r="H11" s="9">
        <f>'Item Database'!H158</f>
        <v>0</v>
      </c>
      <c r="I11" s="9">
        <f>'Item Database'!I158</f>
        <v>16</v>
      </c>
      <c r="J11" s="9">
        <f>'Item Database'!J158</f>
        <v>8</v>
      </c>
      <c r="K11" s="9">
        <f>'Item Database'!K158</f>
        <v>0</v>
      </c>
      <c r="L11" s="35">
        <f>'Item Database'!L158</f>
        <v>0</v>
      </c>
      <c r="M11" s="35">
        <f>'Item Database'!M158</f>
        <v>0.01</v>
      </c>
      <c r="N11" s="9">
        <f>'Item Database'!N158</f>
        <v>0</v>
      </c>
      <c r="O11" s="9">
        <f>'Item Database'!O158</f>
        <v>0</v>
      </c>
      <c r="P11" s="9">
        <f>'Item Database'!P158</f>
        <v>0</v>
      </c>
      <c r="Q11" s="9">
        <f>'Item Database'!Q158</f>
        <v>0</v>
      </c>
      <c r="R11" s="9">
        <f>'Item Database'!R158</f>
        <v>0</v>
      </c>
      <c r="S11" s="9">
        <f>'Item Database'!S158</f>
        <v>0</v>
      </c>
      <c r="T11" s="53" t="str">
        <f>HYPERLINK('Item Database'!T158)</f>
        <v>https://classic.wowhead.com/item=19876</v>
      </c>
      <c r="U11" s="9">
        <f>IF(C11&lt;&gt;0,C11-Gear!$C$4,0)</f>
        <v>3.8723917925211828</v>
      </c>
    </row>
    <row r="12" spans="1:21" x14ac:dyDescent="0.25">
      <c r="A12" s="24">
        <f>'Item Database'!A161</f>
        <v>18475</v>
      </c>
      <c r="B12" s="9" t="str">
        <f>'Item Database'!B161</f>
        <v>Oddly Magical Belt</v>
      </c>
      <c r="C12" s="12">
        <f>'Item Database'!C161</f>
        <v>5.7442086624345725</v>
      </c>
      <c r="D12" s="9" t="str">
        <f>'Item Database'!D161</f>
        <v>Waist</v>
      </c>
      <c r="E12" s="9">
        <f>'Item Database'!E161</f>
        <v>44</v>
      </c>
      <c r="F12" s="9">
        <f>'Item Database'!F161</f>
        <v>0</v>
      </c>
      <c r="G12" s="9">
        <f>'Item Database'!G161</f>
        <v>13</v>
      </c>
      <c r="H12" s="9">
        <f>'Item Database'!H161</f>
        <v>0</v>
      </c>
      <c r="I12" s="9">
        <f>'Item Database'!I161</f>
        <v>0</v>
      </c>
      <c r="J12" s="9">
        <f>'Item Database'!J161</f>
        <v>0</v>
      </c>
      <c r="K12" s="9">
        <f>'Item Database'!K161</f>
        <v>16</v>
      </c>
      <c r="L12" s="35">
        <f>'Item Database'!L161</f>
        <v>0</v>
      </c>
      <c r="M12" s="35">
        <f>'Item Database'!M161</f>
        <v>0</v>
      </c>
      <c r="N12" s="9">
        <f>'Item Database'!N161</f>
        <v>0</v>
      </c>
      <c r="O12" s="9">
        <f>'Item Database'!O161</f>
        <v>0</v>
      </c>
      <c r="P12" s="9">
        <f>'Item Database'!P161</f>
        <v>0</v>
      </c>
      <c r="Q12" s="9">
        <f>'Item Database'!Q161</f>
        <v>0</v>
      </c>
      <c r="R12" s="9">
        <f>'Item Database'!R161</f>
        <v>0</v>
      </c>
      <c r="S12" s="9">
        <f>'Item Database'!S161</f>
        <v>0</v>
      </c>
      <c r="T12" s="53" t="str">
        <f>HYPERLINK('Item Database'!T161)</f>
        <v>https://classic.wowhead.com/item=18475</v>
      </c>
      <c r="U12" s="9">
        <f>IF(C12&lt;&gt;0,C12-Gear!$C$4,0)</f>
        <v>5.7442086624345725</v>
      </c>
    </row>
    <row r="13" spans="1:21" x14ac:dyDescent="0.25">
      <c r="A13" s="24">
        <f>'Item Database'!A165</f>
        <v>12103</v>
      </c>
      <c r="B13" s="9" t="str">
        <f>'Item Database'!B165</f>
        <v>Star of Mystaria</v>
      </c>
      <c r="C13" s="12">
        <f>'Item Database'!C165</f>
        <v>3.5840808073682418</v>
      </c>
      <c r="D13" s="9" t="str">
        <f>'Item Database'!D165</f>
        <v>Neck</v>
      </c>
      <c r="E13" s="9">
        <f>'Item Database'!E165</f>
        <v>0</v>
      </c>
      <c r="F13" s="9">
        <f>'Item Database'!F165</f>
        <v>0</v>
      </c>
      <c r="G13" s="9">
        <f>'Item Database'!G165</f>
        <v>9</v>
      </c>
      <c r="H13" s="9">
        <f>'Item Database'!H165</f>
        <v>0</v>
      </c>
      <c r="I13" s="9">
        <f>'Item Database'!I165</f>
        <v>9</v>
      </c>
      <c r="J13" s="9">
        <f>'Item Database'!J165</f>
        <v>8</v>
      </c>
      <c r="K13" s="9">
        <f>'Item Database'!K165</f>
        <v>0</v>
      </c>
      <c r="L13" s="35">
        <f>'Item Database'!L165</f>
        <v>0</v>
      </c>
      <c r="M13" s="35">
        <f>'Item Database'!M165</f>
        <v>0.01</v>
      </c>
      <c r="N13" s="9">
        <f>'Item Database'!N165</f>
        <v>0</v>
      </c>
      <c r="O13" s="9">
        <f>'Item Database'!O165</f>
        <v>0</v>
      </c>
      <c r="P13" s="9">
        <f>'Item Database'!P165</f>
        <v>0</v>
      </c>
      <c r="Q13" s="9">
        <f>'Item Database'!Q165</f>
        <v>0</v>
      </c>
      <c r="R13" s="9">
        <f>'Item Database'!R165</f>
        <v>0</v>
      </c>
      <c r="S13" s="9">
        <f>'Item Database'!S165</f>
        <v>0</v>
      </c>
      <c r="T13" s="53" t="str">
        <f>HYPERLINK('Item Database'!T165)</f>
        <v>https://classic.wowhead.com/item=12103</v>
      </c>
      <c r="U13" s="9">
        <f>IF(C13&lt;&gt;0,C13-Gear!$C$4,0)</f>
        <v>3.5840808073682418</v>
      </c>
    </row>
    <row r="14" spans="1:21" x14ac:dyDescent="0.25">
      <c r="A14" s="24">
        <f>'Item Database'!A166</f>
        <v>19845</v>
      </c>
      <c r="B14" s="9" t="str">
        <f>'Item Database'!B166</f>
        <v>Zandalar Illusionist's Mantle</v>
      </c>
      <c r="C14" s="12">
        <f>'Item Database'!C166</f>
        <v>5.1730894522847528</v>
      </c>
      <c r="D14" s="9" t="str">
        <f>'Item Database'!D166</f>
        <v>Shoulder</v>
      </c>
      <c r="E14" s="9">
        <f>'Item Database'!E166</f>
        <v>71</v>
      </c>
      <c r="F14" s="9">
        <f>'Item Database'!F166</f>
        <v>0</v>
      </c>
      <c r="G14" s="9">
        <f>'Item Database'!G166</f>
        <v>13</v>
      </c>
      <c r="H14" s="9">
        <f>'Item Database'!H166</f>
        <v>0</v>
      </c>
      <c r="I14" s="9">
        <f>'Item Database'!I166</f>
        <v>21</v>
      </c>
      <c r="J14" s="9">
        <f>'Item Database'!J166</f>
        <v>10</v>
      </c>
      <c r="K14" s="9">
        <f>'Item Database'!K166</f>
        <v>12</v>
      </c>
      <c r="L14" s="35">
        <f>'Item Database'!L166</f>
        <v>0</v>
      </c>
      <c r="M14" s="35">
        <f>'Item Database'!M166</f>
        <v>0</v>
      </c>
      <c r="N14" s="9">
        <f>'Item Database'!N166</f>
        <v>0</v>
      </c>
      <c r="O14" s="9">
        <f>'Item Database'!O166</f>
        <v>0</v>
      </c>
      <c r="P14" s="9">
        <f>'Item Database'!P166</f>
        <v>0</v>
      </c>
      <c r="Q14" s="9">
        <f>'Item Database'!Q166</f>
        <v>0</v>
      </c>
      <c r="R14" s="9">
        <f>'Item Database'!R166</f>
        <v>0</v>
      </c>
      <c r="S14" s="9">
        <f>'Item Database'!S166</f>
        <v>0</v>
      </c>
      <c r="T14" s="53" t="str">
        <f>HYPERLINK('Item Database'!T166)</f>
        <v>https://classic.wowhead.com/item=19845</v>
      </c>
      <c r="U14" s="9">
        <f>IF(C14&lt;&gt;0,C14-Gear!$C$4,0)</f>
        <v>5.1730894522847528</v>
      </c>
    </row>
    <row r="15" spans="1:21" x14ac:dyDescent="0.25">
      <c r="A15" s="24">
        <f>'Item Database'!A175</f>
        <v>18526</v>
      </c>
      <c r="B15" s="9" t="str">
        <f>'Item Database'!B175</f>
        <v>Crown of the Ogre King</v>
      </c>
      <c r="C15" s="12">
        <f>'Item Database'!C175</f>
        <v>3.192014478478991</v>
      </c>
      <c r="D15" s="9" t="str">
        <f>'Item Database'!D175</f>
        <v>Head</v>
      </c>
      <c r="E15" s="9">
        <f>'Item Database'!E175</f>
        <v>73</v>
      </c>
      <c r="F15" s="9">
        <f>'Item Database'!F175</f>
        <v>0</v>
      </c>
      <c r="G15" s="9">
        <f>'Item Database'!G175</f>
        <v>16</v>
      </c>
      <c r="H15" s="9">
        <f>'Item Database'!H175</f>
        <v>0</v>
      </c>
      <c r="I15" s="9">
        <f>'Item Database'!I175</f>
        <v>18</v>
      </c>
      <c r="J15" s="9">
        <f>'Item Database'!J175</f>
        <v>11</v>
      </c>
      <c r="K15" s="9">
        <f>'Item Database'!K175</f>
        <v>0</v>
      </c>
      <c r="L15" s="35">
        <f>'Item Database'!L175</f>
        <v>0.01</v>
      </c>
      <c r="M15" s="35">
        <f>'Item Database'!M175</f>
        <v>0</v>
      </c>
      <c r="N15" s="9">
        <f>'Item Database'!N175</f>
        <v>0</v>
      </c>
      <c r="O15" s="9">
        <f>'Item Database'!O175</f>
        <v>0</v>
      </c>
      <c r="P15" s="9">
        <f>'Item Database'!P175</f>
        <v>0</v>
      </c>
      <c r="Q15" s="9">
        <f>'Item Database'!Q175</f>
        <v>0</v>
      </c>
      <c r="R15" s="9">
        <f>'Item Database'!R175</f>
        <v>0</v>
      </c>
      <c r="S15" s="9">
        <f>'Item Database'!S175</f>
        <v>0</v>
      </c>
      <c r="T15" s="53" t="str">
        <f>HYPERLINK('Item Database'!T175)</f>
        <v>https://classic.wowhead.com/item=18526</v>
      </c>
      <c r="U15" s="9">
        <f>IF(C15&lt;&gt;0,C15-Gear!$C$4,0)</f>
        <v>3.192014478478991</v>
      </c>
    </row>
    <row r="16" spans="1:21" x14ac:dyDescent="0.25">
      <c r="A16" s="9">
        <f>'Item Database'!A187</f>
        <v>18317</v>
      </c>
      <c r="B16" s="9" t="str">
        <f>'Item Database'!B187</f>
        <v>Tempest Talisman</v>
      </c>
      <c r="C16" s="12">
        <f>'Item Database'!C187</f>
        <v>2.7389543589529408</v>
      </c>
      <c r="D16" s="9" t="str">
        <f>'Item Database'!D187</f>
        <v>Neck</v>
      </c>
      <c r="E16" s="9">
        <f>'Item Database'!E187</f>
        <v>0</v>
      </c>
      <c r="F16" s="9">
        <f>'Item Database'!F187</f>
        <v>0</v>
      </c>
      <c r="G16" s="9">
        <f>'Item Database'!G187</f>
        <v>0</v>
      </c>
      <c r="H16" s="9">
        <f>'Item Database'!H187</f>
        <v>0</v>
      </c>
      <c r="I16" s="9">
        <f>'Item Database'!I187</f>
        <v>7</v>
      </c>
      <c r="J16" s="9">
        <f>'Item Database'!J187</f>
        <v>6</v>
      </c>
      <c r="K16" s="9">
        <f>'Item Database'!K187</f>
        <v>0</v>
      </c>
      <c r="L16" s="35">
        <f>'Item Database'!L187</f>
        <v>0.01</v>
      </c>
      <c r="M16" s="35">
        <f>'Item Database'!M187</f>
        <v>0</v>
      </c>
      <c r="N16" s="9">
        <f>'Item Database'!N187</f>
        <v>0</v>
      </c>
      <c r="O16" s="9">
        <f>'Item Database'!O187</f>
        <v>0</v>
      </c>
      <c r="P16" s="9">
        <f>'Item Database'!P187</f>
        <v>0</v>
      </c>
      <c r="Q16" s="9">
        <f>'Item Database'!Q187</f>
        <v>0</v>
      </c>
      <c r="R16" s="9">
        <f>'Item Database'!R187</f>
        <v>0</v>
      </c>
      <c r="S16" s="9">
        <f>'Item Database'!S187</f>
        <v>0</v>
      </c>
      <c r="T16" s="53" t="str">
        <f>HYPERLINK('Item Database'!T187)</f>
        <v>https://classic.wowhead.com/item=18317</v>
      </c>
      <c r="U16" s="9">
        <f>IF(C16&lt;&gt;0,C16-Gear!$C$4,0)</f>
        <v>2.7389543589529408</v>
      </c>
    </row>
    <row r="17" spans="1:21" x14ac:dyDescent="0.25">
      <c r="A17" s="9">
        <f>'Item Database'!A190</f>
        <v>19507</v>
      </c>
      <c r="B17" s="9" t="str">
        <f>'Item Database'!B190</f>
        <v>Inquisitor's Shawl</v>
      </c>
      <c r="C17" s="12">
        <f>'Item Database'!C190</f>
        <v>3.5606156413656658</v>
      </c>
      <c r="D17" s="9" t="str">
        <f>'Item Database'!D190</f>
        <v>Shoulder</v>
      </c>
      <c r="E17" s="9">
        <f>'Item Database'!E190</f>
        <v>40</v>
      </c>
      <c r="F17" s="9">
        <f>'Item Database'!F190</f>
        <v>0</v>
      </c>
      <c r="G17" s="9">
        <f>'Item Database'!G190</f>
        <v>0</v>
      </c>
      <c r="H17" s="9">
        <f>'Item Database'!H190</f>
        <v>0</v>
      </c>
      <c r="I17" s="9">
        <f>'Item Database'!I190</f>
        <v>8</v>
      </c>
      <c r="J17" s="9">
        <f>'Item Database'!J190</f>
        <v>0</v>
      </c>
      <c r="K17" s="9">
        <f>'Item Database'!K190</f>
        <v>9</v>
      </c>
      <c r="L17" s="35">
        <f>'Item Database'!L190</f>
        <v>0</v>
      </c>
      <c r="M17" s="35">
        <f>'Item Database'!M190</f>
        <v>0</v>
      </c>
      <c r="N17" s="9">
        <f>'Item Database'!N190</f>
        <v>0</v>
      </c>
      <c r="O17" s="9">
        <f>'Item Database'!O190</f>
        <v>0</v>
      </c>
      <c r="P17" s="9">
        <f>'Item Database'!P190</f>
        <v>0</v>
      </c>
      <c r="Q17" s="9">
        <f>'Item Database'!Q190</f>
        <v>0</v>
      </c>
      <c r="R17" s="9">
        <f>'Item Database'!R190</f>
        <v>0</v>
      </c>
      <c r="S17" s="9">
        <f>'Item Database'!S190</f>
        <v>0</v>
      </c>
      <c r="T17" s="53" t="str">
        <f>HYPERLINK('Item Database'!T190)</f>
        <v>https://classic.wowhead.com/item=19507</v>
      </c>
      <c r="U17" s="9">
        <f>IF(C17&lt;&gt;0,C17-Gear!$C$4,0)</f>
        <v>3.5606156413656658</v>
      </c>
    </row>
    <row r="18" spans="1:21" x14ac:dyDescent="0.25">
      <c r="A18" s="9">
        <f>'Item Database'!A206</f>
        <v>13374</v>
      </c>
      <c r="B18" s="9" t="str">
        <f>'Item Database'!B206</f>
        <v>Soulstealer Mantle</v>
      </c>
      <c r="C18" s="12">
        <f>'Item Database'!C206</f>
        <v>0.90612023905210082</v>
      </c>
      <c r="D18" s="9" t="str">
        <f>'Item Database'!D206</f>
        <v>Shoulder</v>
      </c>
      <c r="E18" s="9">
        <f>'Item Database'!E206</f>
        <v>64</v>
      </c>
      <c r="F18" s="9">
        <f>'Item Database'!F206</f>
        <v>0</v>
      </c>
      <c r="G18" s="9">
        <f>'Item Database'!G206</f>
        <v>0</v>
      </c>
      <c r="H18" s="9">
        <f>'Item Database'!H206</f>
        <v>0</v>
      </c>
      <c r="I18" s="9">
        <f>'Item Database'!I206</f>
        <v>22</v>
      </c>
      <c r="J18" s="9">
        <f>'Item Database'!J206</f>
        <v>9</v>
      </c>
      <c r="K18" s="9">
        <f>'Item Database'!K206</f>
        <v>0</v>
      </c>
      <c r="L18" s="35">
        <f>'Item Database'!L206</f>
        <v>0</v>
      </c>
      <c r="M18" s="35">
        <f>'Item Database'!M206</f>
        <v>0</v>
      </c>
      <c r="N18" s="9">
        <f>'Item Database'!N206</f>
        <v>0</v>
      </c>
      <c r="O18" s="9">
        <f>'Item Database'!O206</f>
        <v>0</v>
      </c>
      <c r="P18" s="9">
        <f>'Item Database'!P206</f>
        <v>0</v>
      </c>
      <c r="Q18" s="9">
        <f>'Item Database'!Q206</f>
        <v>0</v>
      </c>
      <c r="R18" s="9">
        <f>'Item Database'!R206</f>
        <v>0</v>
      </c>
      <c r="S18" s="9">
        <f>'Item Database'!S206</f>
        <v>0</v>
      </c>
      <c r="T18" s="53" t="str">
        <f>HYPERLINK('Item Database'!T206)</f>
        <v>https://classic.wowhead.com/item=13374</v>
      </c>
      <c r="U18" s="9">
        <f>IF(C18&lt;&gt;0,C18-Gear!$C$4,0)</f>
        <v>0.90612023905210082</v>
      </c>
    </row>
    <row r="19" spans="1:21" x14ac:dyDescent="0.25">
      <c r="A19" s="9">
        <f>'Item Database'!A207</f>
        <v>16689</v>
      </c>
      <c r="B19" s="9" t="str">
        <f>'Item Database'!B207</f>
        <v>Magister's Mantle</v>
      </c>
      <c r="C19" s="12">
        <f>'Item Database'!C207</f>
        <v>0.90612023905210082</v>
      </c>
      <c r="D19" s="9" t="str">
        <f>'Item Database'!D207</f>
        <v>Shoulder</v>
      </c>
      <c r="E19" s="9">
        <f>'Item Database'!E207</f>
        <v>64</v>
      </c>
      <c r="F19" s="9">
        <f>'Item Database'!F207</f>
        <v>0</v>
      </c>
      <c r="G19" s="9">
        <f>'Item Database'!G207</f>
        <v>6</v>
      </c>
      <c r="H19" s="9">
        <f>'Item Database'!H207</f>
        <v>0</v>
      </c>
      <c r="I19" s="9">
        <f>'Item Database'!I207</f>
        <v>22</v>
      </c>
      <c r="J19" s="9">
        <f>'Item Database'!J207</f>
        <v>6</v>
      </c>
      <c r="K19" s="9">
        <f>'Item Database'!K207</f>
        <v>0</v>
      </c>
      <c r="L19" s="35">
        <f>'Item Database'!L207</f>
        <v>0</v>
      </c>
      <c r="M19" s="35">
        <f>'Item Database'!M207</f>
        <v>0</v>
      </c>
      <c r="N19" s="9">
        <f>'Item Database'!N207</f>
        <v>0</v>
      </c>
      <c r="O19" s="9">
        <f>'Item Database'!O207</f>
        <v>0</v>
      </c>
      <c r="P19" s="9">
        <f>'Item Database'!P207</f>
        <v>0</v>
      </c>
      <c r="Q19" s="9">
        <f>'Item Database'!Q207</f>
        <v>0</v>
      </c>
      <c r="R19" s="9">
        <f>'Item Database'!R207</f>
        <v>0</v>
      </c>
      <c r="S19" s="9">
        <f>'Item Database'!S207</f>
        <v>0</v>
      </c>
      <c r="T19" s="53" t="str">
        <f>HYPERLINK('Item Database'!T207)</f>
        <v>https://classic.wowhead.com/item=16689</v>
      </c>
      <c r="U19" s="9">
        <f>IF(C19&lt;&gt;0,C19-Gear!$C$4,0)</f>
        <v>0.90612023905210082</v>
      </c>
    </row>
    <row r="20" spans="1:21" x14ac:dyDescent="0.25">
      <c r="A20" s="24">
        <f>'Item Database'!A220</f>
        <v>17732</v>
      </c>
      <c r="B20" s="9" t="str">
        <f>'Item Database'!B220</f>
        <v>Rotgrip Mantle</v>
      </c>
      <c r="C20" s="12">
        <f>'Item Database'!C220</f>
        <v>0.7001838210857142</v>
      </c>
      <c r="D20" s="9" t="str">
        <f>'Item Database'!D220</f>
        <v>Shoulder</v>
      </c>
      <c r="E20" s="9">
        <f>'Item Database'!E220</f>
        <v>57</v>
      </c>
      <c r="F20" s="9">
        <f>'Item Database'!F220</f>
        <v>0</v>
      </c>
      <c r="G20" s="9">
        <f>'Item Database'!G220</f>
        <v>0</v>
      </c>
      <c r="H20" s="9">
        <f>'Item Database'!H220</f>
        <v>0</v>
      </c>
      <c r="I20" s="9">
        <f>'Item Database'!I220</f>
        <v>17</v>
      </c>
      <c r="J20" s="9">
        <f>'Item Database'!J220</f>
        <v>11</v>
      </c>
      <c r="K20" s="9">
        <f>'Item Database'!K220</f>
        <v>0</v>
      </c>
      <c r="L20" s="35">
        <f>'Item Database'!L220</f>
        <v>0</v>
      </c>
      <c r="M20" s="35">
        <f>'Item Database'!M220</f>
        <v>0</v>
      </c>
      <c r="N20" s="9">
        <f>'Item Database'!N220</f>
        <v>0</v>
      </c>
      <c r="O20" s="9">
        <f>'Item Database'!O220</f>
        <v>0</v>
      </c>
      <c r="P20" s="9">
        <f>'Item Database'!P220</f>
        <v>0</v>
      </c>
      <c r="Q20" s="9">
        <f>'Item Database'!Q220</f>
        <v>0</v>
      </c>
      <c r="R20" s="9">
        <f>'Item Database'!R220</f>
        <v>0</v>
      </c>
      <c r="S20" s="9">
        <f>'Item Database'!S220</f>
        <v>0</v>
      </c>
      <c r="T20" s="53" t="str">
        <f>HYPERLINK('Item Database'!T220)</f>
        <v>https://classic.wowhead.com/item=17732</v>
      </c>
      <c r="U20" s="9">
        <f>IF(C20&lt;&gt;0,C20-Gear!$C$4,0)</f>
        <v>0.7001838210857142</v>
      </c>
    </row>
    <row r="21" spans="1:21" x14ac:dyDescent="0.25">
      <c r="A21" s="24">
        <f>'Item Database'!A224</f>
        <v>16701</v>
      </c>
      <c r="B21" s="9" t="str">
        <f>'Item Database'!B224</f>
        <v>Dreadmist Mantle</v>
      </c>
      <c r="C21" s="12">
        <f>'Item Database'!C224</f>
        <v>0.61780925389915964</v>
      </c>
      <c r="D21" s="9" t="str">
        <f>'Item Database'!D224</f>
        <v>Shoulder</v>
      </c>
      <c r="E21" s="9">
        <f>'Item Database'!E224</f>
        <v>64</v>
      </c>
      <c r="F21" s="9">
        <f>'Item Database'!F224</f>
        <v>0</v>
      </c>
      <c r="G21" s="9">
        <f>'Item Database'!G224</f>
        <v>14</v>
      </c>
      <c r="H21" s="9">
        <f>'Item Database'!H224</f>
        <v>0</v>
      </c>
      <c r="I21" s="9">
        <f>'Item Database'!I224</f>
        <v>15</v>
      </c>
      <c r="J21" s="9">
        <f>'Item Database'!J224</f>
        <v>9</v>
      </c>
      <c r="K21" s="9">
        <f>'Item Database'!K224</f>
        <v>0</v>
      </c>
      <c r="L21" s="35">
        <f>'Item Database'!L224</f>
        <v>0</v>
      </c>
      <c r="M21" s="35">
        <f>'Item Database'!M224</f>
        <v>0</v>
      </c>
      <c r="N21" s="9">
        <f>'Item Database'!N224</f>
        <v>0</v>
      </c>
      <c r="O21" s="9">
        <f>'Item Database'!O224</f>
        <v>0</v>
      </c>
      <c r="P21" s="9">
        <f>'Item Database'!P224</f>
        <v>0</v>
      </c>
      <c r="Q21" s="9">
        <f>'Item Database'!Q224</f>
        <v>0</v>
      </c>
      <c r="R21" s="9">
        <f>'Item Database'!R224</f>
        <v>0</v>
      </c>
      <c r="S21" s="9">
        <f>'Item Database'!S224</f>
        <v>0</v>
      </c>
      <c r="T21" s="53" t="str">
        <f>HYPERLINK('Item Database'!T224)</f>
        <v>https://classic.wowhead.com/item=16701</v>
      </c>
      <c r="U21" s="9">
        <f>IF(C21&lt;&gt;0,C21-Gear!$C$4,0)</f>
        <v>0.61780925389915964</v>
      </c>
    </row>
    <row r="22" spans="1:21" x14ac:dyDescent="0.25">
      <c r="A22" s="9">
        <f>'Item Database'!A246</f>
        <v>14633</v>
      </c>
      <c r="B22" s="9" t="str">
        <f>'Item Database'!B246</f>
        <v>Necropile Mantle</v>
      </c>
      <c r="C22" s="12">
        <f>'Item Database'!C246</f>
        <v>0.45306011952605041</v>
      </c>
      <c r="D22" s="9" t="str">
        <f>'Item Database'!D246</f>
        <v>Shoulder</v>
      </c>
      <c r="E22" s="9">
        <f>'Item Database'!E246</f>
        <v>65</v>
      </c>
      <c r="F22" s="9">
        <f>'Item Database'!F246</f>
        <v>0</v>
      </c>
      <c r="G22" s="9">
        <f>'Item Database'!G246</f>
        <v>17</v>
      </c>
      <c r="H22" s="9">
        <f>'Item Database'!H246</f>
        <v>0</v>
      </c>
      <c r="I22" s="9">
        <f>'Item Database'!I246</f>
        <v>11</v>
      </c>
      <c r="J22" s="9">
        <f>'Item Database'!J246</f>
        <v>9</v>
      </c>
      <c r="K22" s="9">
        <f>'Item Database'!K246</f>
        <v>0</v>
      </c>
      <c r="L22" s="35">
        <f>'Item Database'!L246</f>
        <v>0</v>
      </c>
      <c r="M22" s="35">
        <f>'Item Database'!M246</f>
        <v>0</v>
      </c>
      <c r="N22" s="9">
        <f>'Item Database'!N246</f>
        <v>0</v>
      </c>
      <c r="O22" s="9">
        <f>'Item Database'!O246</f>
        <v>0</v>
      </c>
      <c r="P22" s="9">
        <f>'Item Database'!P246</f>
        <v>0</v>
      </c>
      <c r="Q22" s="9">
        <f>'Item Database'!Q246</f>
        <v>0</v>
      </c>
      <c r="R22" s="9">
        <f>'Item Database'!R246</f>
        <v>0</v>
      </c>
      <c r="S22" s="9">
        <f>'Item Database'!S246</f>
        <v>0</v>
      </c>
      <c r="T22" s="53" t="str">
        <f>HYPERLINK('Item Database'!T246)</f>
        <v>https://classic.wowhead.com/item=14633</v>
      </c>
      <c r="U22" s="9">
        <f>IF(C22&lt;&gt;0,C22-Gear!$C$4,0)</f>
        <v>0.45306011952605041</v>
      </c>
    </row>
    <row r="23" spans="1:21" x14ac:dyDescent="0.25">
      <c r="A23" s="24">
        <f>'Item Database'!A279</f>
        <v>18757</v>
      </c>
      <c r="B23" s="9" t="str">
        <f>'Item Database'!B279</f>
        <v>Diabolic Mantle</v>
      </c>
      <c r="C23" s="12">
        <f>'Item Database'!C279</f>
        <v>0</v>
      </c>
      <c r="D23" s="9" t="str">
        <f>'Item Database'!D279</f>
        <v>Shoulder</v>
      </c>
      <c r="E23" s="9">
        <f>'Item Database'!E279</f>
        <v>66</v>
      </c>
      <c r="F23" s="9">
        <f>'Item Database'!F279</f>
        <v>0</v>
      </c>
      <c r="G23" s="9">
        <f>'Item Database'!G279</f>
        <v>16</v>
      </c>
      <c r="H23" s="9">
        <f>'Item Database'!H279</f>
        <v>0</v>
      </c>
      <c r="I23" s="9">
        <f>'Item Database'!I279</f>
        <v>0</v>
      </c>
      <c r="J23" s="9">
        <f>'Item Database'!J279</f>
        <v>0</v>
      </c>
      <c r="K23" s="9">
        <f>'Item Database'!K279</f>
        <v>0</v>
      </c>
      <c r="L23" s="35">
        <f>'Item Database'!L279</f>
        <v>0</v>
      </c>
      <c r="M23" s="35">
        <f>'Item Database'!M279</f>
        <v>0</v>
      </c>
      <c r="N23" s="9">
        <f>'Item Database'!N279</f>
        <v>8</v>
      </c>
      <c r="O23" s="9">
        <f>'Item Database'!O279</f>
        <v>0</v>
      </c>
      <c r="P23" s="9">
        <f>'Item Database'!P279</f>
        <v>0</v>
      </c>
      <c r="Q23" s="9">
        <f>'Item Database'!Q279</f>
        <v>0</v>
      </c>
      <c r="R23" s="9">
        <f>'Item Database'!R279</f>
        <v>0</v>
      </c>
      <c r="S23" s="9">
        <f>'Item Database'!S279</f>
        <v>0</v>
      </c>
      <c r="T23" s="53" t="str">
        <f>HYPERLINK('Item Database'!T279)</f>
        <v>https://classic.wowhead.com/item=18757</v>
      </c>
      <c r="U23" s="9">
        <f>IF(C23&lt;&gt;0,C23-Gear!$C$4,0)</f>
        <v>0</v>
      </c>
    </row>
    <row r="24" spans="1:21" x14ac:dyDescent="0.25">
      <c r="U24" s="9">
        <f>IF(C24&lt;&gt;0,C24-Gear!$C$4,0)</f>
        <v>0</v>
      </c>
    </row>
    <row r="25" spans="1:21" x14ac:dyDescent="0.25">
      <c r="U25" s="9">
        <f>IF(C25&lt;&gt;0,C25-Gear!$C$4,0)</f>
        <v>0</v>
      </c>
    </row>
    <row r="26" spans="1:21" x14ac:dyDescent="0.25">
      <c r="U26" s="9">
        <f>IF(C26&lt;&gt;0,C26-Gear!$C$4,0)</f>
        <v>0</v>
      </c>
    </row>
    <row r="27" spans="1:21" x14ac:dyDescent="0.25">
      <c r="U27" s="9">
        <f>IF(C27&lt;&gt;0,C27-Gear!$C$4,0)</f>
        <v>0</v>
      </c>
    </row>
    <row r="28" spans="1:21" x14ac:dyDescent="0.25">
      <c r="U28" s="9">
        <f>IF(C28&lt;&gt;0,C28-Gear!$C$4,0)</f>
        <v>0</v>
      </c>
    </row>
    <row r="29" spans="1:21" x14ac:dyDescent="0.25">
      <c r="U29" s="9">
        <f>IF(C29&lt;&gt;0,C29-Gear!$C$4,0)</f>
        <v>0</v>
      </c>
    </row>
    <row r="30" spans="1:21" x14ac:dyDescent="0.25">
      <c r="U30" s="9">
        <f>IF(C30&lt;&gt;0,C30-Gear!$C$4,0)</f>
        <v>0</v>
      </c>
    </row>
    <row r="31" spans="1:21" x14ac:dyDescent="0.25">
      <c r="U31" s="9">
        <f>IF(C31&lt;&gt;0,C31-Gear!$C$4,0)</f>
        <v>0</v>
      </c>
    </row>
    <row r="32" spans="1:21" x14ac:dyDescent="0.25">
      <c r="U32" s="9">
        <f>IF(C32&lt;&gt;0,C32-Gear!$C$4,0)</f>
        <v>0</v>
      </c>
    </row>
    <row r="33" spans="21:21" x14ac:dyDescent="0.25">
      <c r="U33" s="9">
        <f>IF(C33&lt;&gt;0,C33-Gear!$C$4,0)</f>
        <v>0</v>
      </c>
    </row>
    <row r="34" spans="21:21" x14ac:dyDescent="0.25">
      <c r="U34" s="9">
        <f>IF(C34&lt;&gt;0,C34-Gear!$C$4,0)</f>
        <v>0</v>
      </c>
    </row>
    <row r="35" spans="21:21" x14ac:dyDescent="0.25">
      <c r="U35" s="9">
        <f>IF(C35&lt;&gt;0,C35-Gear!$C$4,0)</f>
        <v>0</v>
      </c>
    </row>
    <row r="36" spans="21:21" x14ac:dyDescent="0.25">
      <c r="U36" s="9">
        <f>IF(C36&lt;&gt;0,C36-Gear!$C$4,0)</f>
        <v>0</v>
      </c>
    </row>
    <row r="37" spans="21:21" x14ac:dyDescent="0.25">
      <c r="U37" s="9">
        <f>IF(C37&lt;&gt;0,C37-Gear!$C$4,0)</f>
        <v>0</v>
      </c>
    </row>
    <row r="38" spans="21:21" x14ac:dyDescent="0.25">
      <c r="U38" s="9">
        <f>IF(C38&lt;&gt;0,C38-Gear!$C$4,0)</f>
        <v>0</v>
      </c>
    </row>
    <row r="39" spans="21:21" x14ac:dyDescent="0.25">
      <c r="U39" s="9">
        <f>IF(C39&lt;&gt;0,C39-Gear!$C$4,0)</f>
        <v>0</v>
      </c>
    </row>
    <row r="40" spans="21:21" x14ac:dyDescent="0.25">
      <c r="U40" s="9">
        <f>IF(C40&lt;&gt;0,C40-Gear!$C$4,0)</f>
        <v>0</v>
      </c>
    </row>
    <row r="41" spans="21:21" x14ac:dyDescent="0.25">
      <c r="U41" s="9">
        <f>IF(C41&lt;&gt;0,C41-Gear!$C$4,0)</f>
        <v>0</v>
      </c>
    </row>
    <row r="42" spans="21:21" x14ac:dyDescent="0.25">
      <c r="U42" s="9">
        <f>IF(C42&lt;&gt;0,C42-Gear!$C$4,0)</f>
        <v>0</v>
      </c>
    </row>
    <row r="43" spans="21:21" x14ac:dyDescent="0.25">
      <c r="U43" s="9">
        <f>IF(C43&lt;&gt;0,C43-Gear!$C$4,0)</f>
        <v>0</v>
      </c>
    </row>
    <row r="44" spans="21:21" x14ac:dyDescent="0.25">
      <c r="U44" s="9">
        <f>IF(C44&lt;&gt;0,C44-Gear!$C$4,0)</f>
        <v>0</v>
      </c>
    </row>
    <row r="45" spans="21:21" x14ac:dyDescent="0.25">
      <c r="U45" s="9">
        <f>IF(C45&lt;&gt;0,C45-Gear!$C$4,0)</f>
        <v>0</v>
      </c>
    </row>
    <row r="46" spans="21:21" x14ac:dyDescent="0.25">
      <c r="U46" s="9">
        <f>IF(C46&lt;&gt;0,C46-Gear!$C$4,0)</f>
        <v>0</v>
      </c>
    </row>
    <row r="47" spans="21:21" x14ac:dyDescent="0.25">
      <c r="U47" s="9">
        <f>IF(C47&lt;&gt;0,C47-Gear!$C$4,0)</f>
        <v>0</v>
      </c>
    </row>
    <row r="48" spans="21:21" x14ac:dyDescent="0.25">
      <c r="U48" s="9">
        <f>IF(C48&lt;&gt;0,C48-Gear!$C$4,0)</f>
        <v>0</v>
      </c>
    </row>
    <row r="49" spans="21:21" x14ac:dyDescent="0.25">
      <c r="U49" s="9">
        <f>IF(C49&lt;&gt;0,C49-Gear!$C$4,0)</f>
        <v>0</v>
      </c>
    </row>
    <row r="50" spans="21:21" x14ac:dyDescent="0.25">
      <c r="U50" s="9">
        <f>IF(C50&lt;&gt;0,C50-Gear!$C$4,0)</f>
        <v>0</v>
      </c>
    </row>
    <row r="51" spans="21:21" x14ac:dyDescent="0.25">
      <c r="U51" s="9">
        <f>IF(C51&lt;&gt;0,C51-Gear!$C$4,0)</f>
        <v>0</v>
      </c>
    </row>
    <row r="52" spans="21:21" x14ac:dyDescent="0.25">
      <c r="U52" s="9">
        <f>IF(C52&lt;&gt;0,C52-Gear!$C$4,0)</f>
        <v>0</v>
      </c>
    </row>
    <row r="53" spans="21:21" x14ac:dyDescent="0.25">
      <c r="U53" s="9">
        <f>IF(C53&lt;&gt;0,C53-Gear!$C$4,0)</f>
        <v>0</v>
      </c>
    </row>
    <row r="54" spans="21:21" x14ac:dyDescent="0.25">
      <c r="U54" s="9">
        <f>IF(C54&lt;&gt;0,C54-Gear!$C$4,0)</f>
        <v>0</v>
      </c>
    </row>
    <row r="55" spans="21:21" x14ac:dyDescent="0.25">
      <c r="U55" s="9">
        <f>IF(C55&lt;&gt;0,C55-Gear!$C$4,0)</f>
        <v>0</v>
      </c>
    </row>
    <row r="56" spans="21:21" x14ac:dyDescent="0.25">
      <c r="U56" s="9">
        <f>IF(C56&lt;&gt;0,C56-Gear!$C$4,0)</f>
        <v>0</v>
      </c>
    </row>
    <row r="57" spans="21:21" x14ac:dyDescent="0.25">
      <c r="U57" s="9">
        <f>IF(C57&lt;&gt;0,C57-Gear!$C$4,0)</f>
        <v>0</v>
      </c>
    </row>
    <row r="58" spans="21:21" x14ac:dyDescent="0.25">
      <c r="U58" s="9">
        <f>IF(C58&lt;&gt;0,C58-Gear!$C$4,0)</f>
        <v>0</v>
      </c>
    </row>
    <row r="59" spans="21:21" x14ac:dyDescent="0.25">
      <c r="U59" s="9">
        <f>IF(C59&lt;&gt;0,C59-Gear!$C$4,0)</f>
        <v>0</v>
      </c>
    </row>
    <row r="60" spans="21:21" x14ac:dyDescent="0.25">
      <c r="U60" s="9">
        <f>IF(C60&lt;&gt;0,C60-Gear!$C$4,0)</f>
        <v>0</v>
      </c>
    </row>
    <row r="61" spans="21:21" x14ac:dyDescent="0.25">
      <c r="U61" s="9">
        <f>IF(C61&lt;&gt;0,C61-Gear!$C$4,0)</f>
        <v>0</v>
      </c>
    </row>
    <row r="62" spans="21:21" x14ac:dyDescent="0.25">
      <c r="U62" s="9">
        <f>IF(C62&lt;&gt;0,C62-Gear!$C$4,0)</f>
        <v>0</v>
      </c>
    </row>
    <row r="63" spans="21:21" x14ac:dyDescent="0.25">
      <c r="U63" s="9">
        <f>IF(C63&lt;&gt;0,C63-Gear!$C$4,0)</f>
        <v>0</v>
      </c>
    </row>
    <row r="64" spans="21:21" x14ac:dyDescent="0.25">
      <c r="U64" s="9">
        <f>IF(C64&lt;&gt;0,C64-Gear!$C$4,0)</f>
        <v>0</v>
      </c>
    </row>
    <row r="65" spans="21:21" x14ac:dyDescent="0.25">
      <c r="U65" s="9">
        <f>IF(C65&lt;&gt;0,C65-Gear!$C$4,0)</f>
        <v>0</v>
      </c>
    </row>
    <row r="66" spans="21:21" x14ac:dyDescent="0.25">
      <c r="U66" s="9">
        <f>IF(C66&lt;&gt;0,C66-Gear!$C$4,0)</f>
        <v>0</v>
      </c>
    </row>
    <row r="67" spans="21:21" x14ac:dyDescent="0.25">
      <c r="U67" s="9">
        <f>IF(C67&lt;&gt;0,C67-Gear!$C$4,0)</f>
        <v>0</v>
      </c>
    </row>
    <row r="68" spans="21:21" x14ac:dyDescent="0.25">
      <c r="U68" s="9">
        <f>IF(C68&lt;&gt;0,C68-Gear!$C$4,0)</f>
        <v>0</v>
      </c>
    </row>
    <row r="69" spans="21:21" x14ac:dyDescent="0.25">
      <c r="U69" s="9">
        <f>IF(C69&lt;&gt;0,C69-Gear!$C$4,0)</f>
        <v>0</v>
      </c>
    </row>
    <row r="70" spans="21:21" x14ac:dyDescent="0.25">
      <c r="U70" s="9">
        <f>IF(C70&lt;&gt;0,C70-Gear!$C$4,0)</f>
        <v>0</v>
      </c>
    </row>
    <row r="71" spans="21:21" x14ac:dyDescent="0.25">
      <c r="U71" s="9">
        <f>IF(C71&lt;&gt;0,C71-Gear!$C$4,0)</f>
        <v>0</v>
      </c>
    </row>
    <row r="72" spans="21:21" x14ac:dyDescent="0.25">
      <c r="U72" s="9">
        <f>IF(C72&lt;&gt;0,C72-Gear!$C$4,0)</f>
        <v>0</v>
      </c>
    </row>
    <row r="73" spans="21:21" x14ac:dyDescent="0.25">
      <c r="U73" s="9">
        <f>IF(C73&lt;&gt;0,C73-Gear!$C$4,0)</f>
        <v>0</v>
      </c>
    </row>
    <row r="74" spans="21:21" x14ac:dyDescent="0.25">
      <c r="U74" s="9">
        <f>IF(C74&lt;&gt;0,C74-Gear!$C$4,0)</f>
        <v>0</v>
      </c>
    </row>
    <row r="75" spans="21:21" x14ac:dyDescent="0.25">
      <c r="U75" s="9">
        <f>IF(C75&lt;&gt;0,C75-Gear!$C$4,0)</f>
        <v>0</v>
      </c>
    </row>
    <row r="76" spans="21:21" x14ac:dyDescent="0.25">
      <c r="U76" s="9">
        <f>IF(C76&lt;&gt;0,C76-Gear!$C$4,0)</f>
        <v>0</v>
      </c>
    </row>
    <row r="77" spans="21:21" x14ac:dyDescent="0.25">
      <c r="U77" s="9">
        <f>IF(C77&lt;&gt;0,C77-Gear!$C$4,0)</f>
        <v>0</v>
      </c>
    </row>
    <row r="78" spans="21:21" x14ac:dyDescent="0.25">
      <c r="U78" s="9">
        <f>IF(C78&lt;&gt;0,C78-Gear!$C$4,0)</f>
        <v>0</v>
      </c>
    </row>
    <row r="79" spans="21:21" x14ac:dyDescent="0.25">
      <c r="U79" s="9">
        <f>IF(C79&lt;&gt;0,C79-Gear!$C$4,0)</f>
        <v>0</v>
      </c>
    </row>
    <row r="80" spans="21:21" x14ac:dyDescent="0.25">
      <c r="U80" s="9">
        <f>IF(C80&lt;&gt;0,C80-Gear!$C$4,0)</f>
        <v>0</v>
      </c>
    </row>
    <row r="81" spans="21:21" x14ac:dyDescent="0.25">
      <c r="U81" s="9">
        <f>IF(C81&lt;&gt;0,C81-Gear!$C$4,0)</f>
        <v>0</v>
      </c>
    </row>
    <row r="82" spans="21:21" x14ac:dyDescent="0.25">
      <c r="U82" s="9">
        <f>IF(C82&lt;&gt;0,C82-Gear!$C$4,0)</f>
        <v>0</v>
      </c>
    </row>
    <row r="83" spans="21:21" x14ac:dyDescent="0.25">
      <c r="U83" s="9">
        <f>IF(C83&lt;&gt;0,C83-Gear!$C$4,0)</f>
        <v>0</v>
      </c>
    </row>
    <row r="84" spans="21:21" x14ac:dyDescent="0.25">
      <c r="U84" s="9">
        <f>IF(C84&lt;&gt;0,C84-Gear!$C$4,0)</f>
        <v>0</v>
      </c>
    </row>
    <row r="85" spans="21:21" x14ac:dyDescent="0.25">
      <c r="U85" s="9">
        <f>IF(C85&lt;&gt;0,C85-Gear!$C$4,0)</f>
        <v>0</v>
      </c>
    </row>
    <row r="86" spans="21:21" x14ac:dyDescent="0.25">
      <c r="U86" s="9">
        <f>IF(C86&lt;&gt;0,C86-Gear!$C$4,0)</f>
        <v>0</v>
      </c>
    </row>
    <row r="87" spans="21:21" x14ac:dyDescent="0.25">
      <c r="U87" s="9">
        <f>IF(C87&lt;&gt;0,C87-Gear!$C$4,0)</f>
        <v>0</v>
      </c>
    </row>
    <row r="88" spans="21:21" x14ac:dyDescent="0.25">
      <c r="U88" s="9">
        <f>IF(C88&lt;&gt;0,C88-Gear!$C$4,0)</f>
        <v>0</v>
      </c>
    </row>
    <row r="89" spans="21:21" x14ac:dyDescent="0.25">
      <c r="U89" s="9">
        <f>IF(C89&lt;&gt;0,C89-Gear!$C$4,0)</f>
        <v>0</v>
      </c>
    </row>
    <row r="90" spans="21:21" x14ac:dyDescent="0.25">
      <c r="U90" s="9">
        <f>IF(C90&lt;&gt;0,C90-Gear!$C$4,0)</f>
        <v>0</v>
      </c>
    </row>
    <row r="91" spans="21:21" x14ac:dyDescent="0.25">
      <c r="U91" s="9">
        <f>IF(C91&lt;&gt;0,C91-Gear!$C$4,0)</f>
        <v>0</v>
      </c>
    </row>
    <row r="92" spans="21:21" x14ac:dyDescent="0.25">
      <c r="U92" s="9">
        <f>IF(C92&lt;&gt;0,C92-Gear!$C$4,0)</f>
        <v>0</v>
      </c>
    </row>
    <row r="93" spans="21:21" x14ac:dyDescent="0.25">
      <c r="U93" s="9">
        <f>IF(C93&lt;&gt;0,C93-Gear!$C$4,0)</f>
        <v>0</v>
      </c>
    </row>
    <row r="94" spans="21:21" x14ac:dyDescent="0.25">
      <c r="U94" s="9">
        <f>IF(C94&lt;&gt;0,C94-Gear!$C$4,0)</f>
        <v>0</v>
      </c>
    </row>
    <row r="95" spans="21:21" x14ac:dyDescent="0.25">
      <c r="U95" s="9">
        <f>IF(C95&lt;&gt;0,C95-Gear!$C$4,0)</f>
        <v>0</v>
      </c>
    </row>
    <row r="96" spans="21:21" x14ac:dyDescent="0.25">
      <c r="U96" s="9">
        <f>IF(C96&lt;&gt;0,C96-Gear!$C$4,0)</f>
        <v>0</v>
      </c>
    </row>
    <row r="97" spans="21:21" x14ac:dyDescent="0.25">
      <c r="U97" s="9">
        <f>IF(C97&lt;&gt;0,C97-Gear!$C$4,0)</f>
        <v>0</v>
      </c>
    </row>
    <row r="98" spans="21:21" x14ac:dyDescent="0.25">
      <c r="U98" s="9">
        <f>IF(C98&lt;&gt;0,C98-Gear!$C$4,0)</f>
        <v>0</v>
      </c>
    </row>
    <row r="99" spans="21:21" x14ac:dyDescent="0.25">
      <c r="U99" s="9">
        <f>IF(C99&lt;&gt;0,C99-Gear!$C$4,0)</f>
        <v>0</v>
      </c>
    </row>
    <row r="100" spans="21:21" x14ac:dyDescent="0.25">
      <c r="U100" s="9">
        <f>IF(C100&lt;&gt;0,C100-Gear!$C$4,0)</f>
        <v>0</v>
      </c>
    </row>
    <row r="101" spans="21:21" x14ac:dyDescent="0.25">
      <c r="U101" s="9">
        <f>IF(C101&lt;&gt;0,C101-Gear!$C$4,0)</f>
        <v>0</v>
      </c>
    </row>
    <row r="102" spans="21:21" x14ac:dyDescent="0.25">
      <c r="U102" s="9">
        <f>IF(C102&lt;&gt;0,C102-Gear!$C$4,0)</f>
        <v>0</v>
      </c>
    </row>
    <row r="103" spans="21:21" x14ac:dyDescent="0.25">
      <c r="U103" s="9">
        <f>IF(C103&lt;&gt;0,C103-Gear!$C$4,0)</f>
        <v>0</v>
      </c>
    </row>
    <row r="104" spans="21:21" x14ac:dyDescent="0.25">
      <c r="U104" s="9">
        <f>IF(C104&lt;&gt;0,C104-Gear!$C$4,0)</f>
        <v>0</v>
      </c>
    </row>
    <row r="105" spans="21:21" x14ac:dyDescent="0.25">
      <c r="U105" s="9">
        <f>IF(C105&lt;&gt;0,C105-Gear!$C$4,0)</f>
        <v>0</v>
      </c>
    </row>
    <row r="106" spans="21:21" x14ac:dyDescent="0.25">
      <c r="U106" s="9">
        <f>IF(C106&lt;&gt;0,C106-Gear!$C$4,0)</f>
        <v>0</v>
      </c>
    </row>
    <row r="107" spans="21:21" x14ac:dyDescent="0.25">
      <c r="U107" s="9">
        <f>IF(C107&lt;&gt;0,C107-Gear!$C$4,0)</f>
        <v>0</v>
      </c>
    </row>
    <row r="108" spans="21:21" x14ac:dyDescent="0.25">
      <c r="U108" s="9">
        <f>IF(C108&lt;&gt;0,C108-Gear!$C$4,0)</f>
        <v>0</v>
      </c>
    </row>
    <row r="109" spans="21:21" x14ac:dyDescent="0.25">
      <c r="U109" s="9">
        <f>IF(C109&lt;&gt;0,C109-Gear!$C$4,0)</f>
        <v>0</v>
      </c>
    </row>
    <row r="110" spans="21:21" x14ac:dyDescent="0.25">
      <c r="U110" s="9">
        <f>IF(C110&lt;&gt;0,C110-Gear!$C$4,0)</f>
        <v>0</v>
      </c>
    </row>
    <row r="111" spans="21:21" x14ac:dyDescent="0.25">
      <c r="U111" s="9">
        <f>IF(C111&lt;&gt;0,C111-Gear!$C$4,0)</f>
        <v>0</v>
      </c>
    </row>
    <row r="112" spans="21:21" x14ac:dyDescent="0.25">
      <c r="U112" s="9">
        <f>IF(C112&lt;&gt;0,C112-Gear!$C$4,0)</f>
        <v>0</v>
      </c>
    </row>
    <row r="113" spans="21:21" x14ac:dyDescent="0.25">
      <c r="U113" s="9">
        <f>IF(C113&lt;&gt;0,C113-Gear!$C$4,0)</f>
        <v>0</v>
      </c>
    </row>
    <row r="114" spans="21:21" x14ac:dyDescent="0.25">
      <c r="U114" s="9">
        <f>IF(C114&lt;&gt;0,C114-Gear!$C$4,0)</f>
        <v>0</v>
      </c>
    </row>
    <row r="115" spans="21:21" x14ac:dyDescent="0.25">
      <c r="U115" s="9">
        <f>IF(C115&lt;&gt;0,C115-Gear!$C$4,0)</f>
        <v>0</v>
      </c>
    </row>
    <row r="116" spans="21:21" x14ac:dyDescent="0.25">
      <c r="U116" s="9">
        <f>IF(C116&lt;&gt;0,C116-Gear!$C$4,0)</f>
        <v>0</v>
      </c>
    </row>
    <row r="117" spans="21:21" x14ac:dyDescent="0.25">
      <c r="U117" s="9">
        <f>IF(C117&lt;&gt;0,C117-Gear!$C$4,0)</f>
        <v>0</v>
      </c>
    </row>
    <row r="118" spans="21:21" x14ac:dyDescent="0.25">
      <c r="U118" s="9">
        <f>IF(C118&lt;&gt;0,C118-Gear!$C$4,0)</f>
        <v>0</v>
      </c>
    </row>
    <row r="119" spans="21:21" x14ac:dyDescent="0.25">
      <c r="U119" s="9">
        <f>IF(C119&lt;&gt;0,C119-Gear!$C$4,0)</f>
        <v>0</v>
      </c>
    </row>
    <row r="120" spans="21:21" x14ac:dyDescent="0.25">
      <c r="U120" s="9">
        <f>IF(C120&lt;&gt;0,C120-Gear!$C$4,0)</f>
        <v>0</v>
      </c>
    </row>
    <row r="121" spans="21:21" x14ac:dyDescent="0.25">
      <c r="U121" s="9">
        <f>IF(C121&lt;&gt;0,C121-Gear!$C$4,0)</f>
        <v>0</v>
      </c>
    </row>
    <row r="122" spans="21:21" x14ac:dyDescent="0.25">
      <c r="U122" s="9">
        <f>IF(C122&lt;&gt;0,C122-Gear!$C$4,0)</f>
        <v>0</v>
      </c>
    </row>
    <row r="123" spans="21:21" x14ac:dyDescent="0.25">
      <c r="U123" s="9">
        <f>IF(C123&lt;&gt;0,C123-Gear!$C$4,0)</f>
        <v>0</v>
      </c>
    </row>
    <row r="124" spans="21:21" x14ac:dyDescent="0.25">
      <c r="U124" s="9">
        <f>IF(C124&lt;&gt;0,C124-Gear!$C$4,0)</f>
        <v>0</v>
      </c>
    </row>
    <row r="125" spans="21:21" x14ac:dyDescent="0.25">
      <c r="U125" s="9">
        <f>IF(C125&lt;&gt;0,C125-Gear!$C$4,0)</f>
        <v>0</v>
      </c>
    </row>
    <row r="126" spans="21:21" x14ac:dyDescent="0.25">
      <c r="U126" s="9">
        <f>IF(C126&lt;&gt;0,C126-Gear!$C$4,0)</f>
        <v>0</v>
      </c>
    </row>
    <row r="127" spans="21:21" x14ac:dyDescent="0.25">
      <c r="U127" s="9">
        <f>IF(C127&lt;&gt;0,C127-Gear!$C$4,0)</f>
        <v>0</v>
      </c>
    </row>
    <row r="128" spans="21:21" x14ac:dyDescent="0.25">
      <c r="U128" s="9">
        <f>IF(C128&lt;&gt;0,C128-Gear!$C$4,0)</f>
        <v>0</v>
      </c>
    </row>
    <row r="129" spans="21:21" x14ac:dyDescent="0.25">
      <c r="U129" s="9">
        <f>IF(C129&lt;&gt;0,C129-Gear!$C$4,0)</f>
        <v>0</v>
      </c>
    </row>
    <row r="130" spans="21:21" x14ac:dyDescent="0.25">
      <c r="U130" s="9">
        <f>IF(C130&lt;&gt;0,C130-Gear!$C$4,0)</f>
        <v>0</v>
      </c>
    </row>
    <row r="131" spans="21:21" x14ac:dyDescent="0.25">
      <c r="U131" s="9">
        <f>IF(C131&lt;&gt;0,C131-Gear!$C$4,0)</f>
        <v>0</v>
      </c>
    </row>
    <row r="132" spans="21:21" x14ac:dyDescent="0.25">
      <c r="U132" s="9">
        <f>IF(C132&lt;&gt;0,C132-Gear!$C$4,0)</f>
        <v>0</v>
      </c>
    </row>
    <row r="133" spans="21:21" x14ac:dyDescent="0.25">
      <c r="U133" s="9">
        <f>IF(C133&lt;&gt;0,C133-Gear!$C$4,0)</f>
        <v>0</v>
      </c>
    </row>
    <row r="134" spans="21:21" x14ac:dyDescent="0.25">
      <c r="U134" s="9">
        <f>IF(C134&lt;&gt;0,C134-Gear!$C$4,0)</f>
        <v>0</v>
      </c>
    </row>
    <row r="135" spans="21:21" x14ac:dyDescent="0.25">
      <c r="U135" s="9">
        <f>IF(C135&lt;&gt;0,C135-Gear!$C$4,0)</f>
        <v>0</v>
      </c>
    </row>
    <row r="136" spans="21:21" x14ac:dyDescent="0.25">
      <c r="U136" s="9">
        <f>IF(C136&lt;&gt;0,C136-Gear!$C$4,0)</f>
        <v>0</v>
      </c>
    </row>
    <row r="137" spans="21:21" x14ac:dyDescent="0.25">
      <c r="U137" s="9">
        <f>IF(C137&lt;&gt;0,C137-Gear!$C$4,0)</f>
        <v>0</v>
      </c>
    </row>
    <row r="138" spans="21:21" x14ac:dyDescent="0.25">
      <c r="U138" s="9">
        <f>IF(C138&lt;&gt;0,C138-Gear!$C$4,0)</f>
        <v>0</v>
      </c>
    </row>
    <row r="139" spans="21:21" x14ac:dyDescent="0.25">
      <c r="U139" s="9">
        <f>IF(C139&lt;&gt;0,C139-Gear!$C$4,0)</f>
        <v>0</v>
      </c>
    </row>
    <row r="140" spans="21:21" x14ac:dyDescent="0.25">
      <c r="U140" s="9">
        <f>IF(C140&lt;&gt;0,C140-Gear!$C$4,0)</f>
        <v>0</v>
      </c>
    </row>
    <row r="141" spans="21:21" x14ac:dyDescent="0.25">
      <c r="U141" s="9">
        <f>IF(C141&lt;&gt;0,C141-Gear!$C$4,0)</f>
        <v>0</v>
      </c>
    </row>
    <row r="142" spans="21:21" x14ac:dyDescent="0.25">
      <c r="U142" s="9">
        <f>IF(C142&lt;&gt;0,C142-Gear!$C$4,0)</f>
        <v>0</v>
      </c>
    </row>
    <row r="143" spans="21:21" x14ac:dyDescent="0.25">
      <c r="U143" s="9">
        <f>IF(C143&lt;&gt;0,C143-Gear!$C$4,0)</f>
        <v>0</v>
      </c>
    </row>
    <row r="144" spans="21:21" x14ac:dyDescent="0.25">
      <c r="U144" s="9">
        <f>IF(C144&lt;&gt;0,C144-Gear!$C$4,0)</f>
        <v>0</v>
      </c>
    </row>
    <row r="145" spans="21:21" x14ac:dyDescent="0.25">
      <c r="U145" s="9">
        <f>IF(C145&lt;&gt;0,C145-Gear!$C$4,0)</f>
        <v>0</v>
      </c>
    </row>
    <row r="146" spans="21:21" x14ac:dyDescent="0.25">
      <c r="U146" s="9">
        <f>IF(C146&lt;&gt;0,C146-Gear!$C$4,0)</f>
        <v>0</v>
      </c>
    </row>
    <row r="147" spans="21:21" x14ac:dyDescent="0.25">
      <c r="U147" s="9">
        <f>IF(C147&lt;&gt;0,C147-Gear!$C$4,0)</f>
        <v>0</v>
      </c>
    </row>
    <row r="148" spans="21:21" x14ac:dyDescent="0.25">
      <c r="U148" s="9">
        <f>IF(C148&lt;&gt;0,C148-Gear!$C$4,0)</f>
        <v>0</v>
      </c>
    </row>
    <row r="149" spans="21:21" x14ac:dyDescent="0.25">
      <c r="U149" s="9">
        <f>IF(C149&lt;&gt;0,C149-Gear!$C$4,0)</f>
        <v>0</v>
      </c>
    </row>
    <row r="150" spans="21:21" x14ac:dyDescent="0.25">
      <c r="U150" s="9">
        <f>IF(C150&lt;&gt;0,C150-Gear!$C$4,0)</f>
        <v>0</v>
      </c>
    </row>
    <row r="151" spans="21:21" x14ac:dyDescent="0.25">
      <c r="U151" s="9">
        <f>IF(C151&lt;&gt;0,C151-Gear!$C$4,0)</f>
        <v>0</v>
      </c>
    </row>
    <row r="152" spans="21:21" x14ac:dyDescent="0.25">
      <c r="U152" s="9">
        <f>IF(C152&lt;&gt;0,C152-Gear!$C$4,0)</f>
        <v>0</v>
      </c>
    </row>
    <row r="153" spans="21:21" x14ac:dyDescent="0.25">
      <c r="U153" s="9">
        <f>IF(C153&lt;&gt;0,C153-Gear!$C$4,0)</f>
        <v>0</v>
      </c>
    </row>
    <row r="154" spans="21:21" x14ac:dyDescent="0.25">
      <c r="U154" s="9">
        <f>IF(C154&lt;&gt;0,C154-Gear!$C$4,0)</f>
        <v>0</v>
      </c>
    </row>
    <row r="155" spans="21:21" x14ac:dyDescent="0.25">
      <c r="U155" s="9">
        <f>IF(C155&lt;&gt;0,C155-Gear!$C$4,0)</f>
        <v>0</v>
      </c>
    </row>
    <row r="156" spans="21:21" x14ac:dyDescent="0.25">
      <c r="U156" s="9">
        <f>IF(C156&lt;&gt;0,C156-Gear!$C$4,0)</f>
        <v>0</v>
      </c>
    </row>
    <row r="157" spans="21:21" x14ac:dyDescent="0.25">
      <c r="U157" s="9">
        <f>IF(C157&lt;&gt;0,C157-Gear!$C$4,0)</f>
        <v>0</v>
      </c>
    </row>
    <row r="158" spans="21:21" x14ac:dyDescent="0.25">
      <c r="U158" s="9">
        <f>IF(C158&lt;&gt;0,C158-Gear!$C$4,0)</f>
        <v>0</v>
      </c>
    </row>
    <row r="159" spans="21:21" x14ac:dyDescent="0.25">
      <c r="U159" s="9">
        <f>IF(C159&lt;&gt;0,C159-Gear!$C$4,0)</f>
        <v>0</v>
      </c>
    </row>
    <row r="160" spans="21:21" x14ac:dyDescent="0.25">
      <c r="U160" s="9">
        <f>IF(C160&lt;&gt;0,C160-Gear!$C$4,0)</f>
        <v>0</v>
      </c>
    </row>
    <row r="161" spans="21:21" x14ac:dyDescent="0.25">
      <c r="U161" s="9">
        <f>IF(C161&lt;&gt;0,C161-Gear!$C$4,0)</f>
        <v>0</v>
      </c>
    </row>
    <row r="162" spans="21:21" x14ac:dyDescent="0.25">
      <c r="U162" s="9">
        <f>IF(C162&lt;&gt;0,C162-Gear!$C$4,0)</f>
        <v>0</v>
      </c>
    </row>
    <row r="163" spans="21:21" x14ac:dyDescent="0.25">
      <c r="U163" s="9">
        <f>IF(C163&lt;&gt;0,C163-Gear!$C$4,0)</f>
        <v>0</v>
      </c>
    </row>
    <row r="164" spans="21:21" x14ac:dyDescent="0.25">
      <c r="U164" s="9">
        <f>IF(C164&lt;&gt;0,C164-Gear!$C$4,0)</f>
        <v>0</v>
      </c>
    </row>
    <row r="165" spans="21:21" x14ac:dyDescent="0.25">
      <c r="U165" s="9">
        <f>IF(C165&lt;&gt;0,C165-Gear!$C$4,0)</f>
        <v>0</v>
      </c>
    </row>
    <row r="166" spans="21:21" x14ac:dyDescent="0.25">
      <c r="U166" s="9">
        <f>IF(C166&lt;&gt;0,C166-Gear!$C$4,0)</f>
        <v>0</v>
      </c>
    </row>
    <row r="167" spans="21:21" x14ac:dyDescent="0.25">
      <c r="U167" s="9">
        <f>IF(C167&lt;&gt;0,C167-Gear!$C$4,0)</f>
        <v>0</v>
      </c>
    </row>
    <row r="168" spans="21:21" x14ac:dyDescent="0.25">
      <c r="U168" s="9">
        <f>IF(C168&lt;&gt;0,C168-Gear!$C$4,0)</f>
        <v>0</v>
      </c>
    </row>
    <row r="169" spans="21:21" x14ac:dyDescent="0.25">
      <c r="U169" s="9">
        <f>IF(C169&lt;&gt;0,C169-Gear!$C$4,0)</f>
        <v>0</v>
      </c>
    </row>
    <row r="170" spans="21:21" x14ac:dyDescent="0.25">
      <c r="U170" s="9">
        <f>IF(C170&lt;&gt;0,C170-Gear!$C$4,0)</f>
        <v>0</v>
      </c>
    </row>
    <row r="171" spans="21:21" x14ac:dyDescent="0.25">
      <c r="U171" s="9">
        <f>IF(C171&lt;&gt;0,C171-Gear!$C$4,0)</f>
        <v>0</v>
      </c>
    </row>
    <row r="172" spans="21:21" x14ac:dyDescent="0.25">
      <c r="U172" s="9">
        <f>IF(C172&lt;&gt;0,C172-Gear!$C$4,0)</f>
        <v>0</v>
      </c>
    </row>
    <row r="173" spans="21:21" x14ac:dyDescent="0.25">
      <c r="U173" s="9">
        <f>IF(C173&lt;&gt;0,C173-Gear!$C$4,0)</f>
        <v>0</v>
      </c>
    </row>
    <row r="174" spans="21:21" x14ac:dyDescent="0.25">
      <c r="U174" s="9">
        <f>IF(C174&lt;&gt;0,C174-Gear!$C$4,0)</f>
        <v>0</v>
      </c>
    </row>
    <row r="175" spans="21:21" x14ac:dyDescent="0.25">
      <c r="U175" s="9">
        <f>IF(C175&lt;&gt;0,C175-Gear!$C$4,0)</f>
        <v>0</v>
      </c>
    </row>
    <row r="176" spans="21:21" x14ac:dyDescent="0.25">
      <c r="U176" s="9">
        <f>IF(C176&lt;&gt;0,C176-Gear!$C$4,0)</f>
        <v>0</v>
      </c>
    </row>
    <row r="177" spans="21:21" x14ac:dyDescent="0.25">
      <c r="U177" s="9">
        <f>IF(C177&lt;&gt;0,C177-Gear!$C$4,0)</f>
        <v>0</v>
      </c>
    </row>
    <row r="178" spans="21:21" x14ac:dyDescent="0.25">
      <c r="U178" s="9">
        <f>IF(C178&lt;&gt;0,C178-Gear!$C$4,0)</f>
        <v>0</v>
      </c>
    </row>
    <row r="179" spans="21:21" x14ac:dyDescent="0.25">
      <c r="U179" s="9">
        <f>IF(C179&lt;&gt;0,C179-Gear!$C$4,0)</f>
        <v>0</v>
      </c>
    </row>
    <row r="180" spans="21:21" x14ac:dyDescent="0.25">
      <c r="U180" s="9">
        <f>IF(C180&lt;&gt;0,C180-Gear!$C$4,0)</f>
        <v>0</v>
      </c>
    </row>
    <row r="181" spans="21:21" x14ac:dyDescent="0.25">
      <c r="U181" s="9">
        <f>IF(C181&lt;&gt;0,C181-Gear!$C$4,0)</f>
        <v>0</v>
      </c>
    </row>
    <row r="182" spans="21:21" x14ac:dyDescent="0.25">
      <c r="U182" s="9">
        <f>IF(C182&lt;&gt;0,C182-Gear!$C$4,0)</f>
        <v>0</v>
      </c>
    </row>
    <row r="183" spans="21:21" x14ac:dyDescent="0.25">
      <c r="U183" s="9">
        <f>IF(C183&lt;&gt;0,C183-Gear!$C$4,0)</f>
        <v>0</v>
      </c>
    </row>
    <row r="184" spans="21:21" x14ac:dyDescent="0.25">
      <c r="U184" s="9">
        <f>IF(C184&lt;&gt;0,C184-Gear!$C$4,0)</f>
        <v>0</v>
      </c>
    </row>
    <row r="185" spans="21:21" x14ac:dyDescent="0.25">
      <c r="U185" s="9">
        <f>IF(C185&lt;&gt;0,C185-Gear!$C$4,0)</f>
        <v>0</v>
      </c>
    </row>
    <row r="186" spans="21:21" x14ac:dyDescent="0.25">
      <c r="U186" s="9">
        <f>IF(C186&lt;&gt;0,C186-Gear!$C$4,0)</f>
        <v>0</v>
      </c>
    </row>
    <row r="187" spans="21:21" x14ac:dyDescent="0.25">
      <c r="U187" s="9">
        <f>IF(C187&lt;&gt;0,C187-Gear!$C$4,0)</f>
        <v>0</v>
      </c>
    </row>
    <row r="188" spans="21:21" x14ac:dyDescent="0.25">
      <c r="U188" s="9">
        <f>IF(C188&lt;&gt;0,C188-Gear!$C$4,0)</f>
        <v>0</v>
      </c>
    </row>
    <row r="189" spans="21:21" x14ac:dyDescent="0.25">
      <c r="U189" s="9">
        <f>IF(C189&lt;&gt;0,C189-Gear!$C$4,0)</f>
        <v>0</v>
      </c>
    </row>
    <row r="190" spans="21:21" x14ac:dyDescent="0.25">
      <c r="U190" s="9">
        <f>IF(C190&lt;&gt;0,C190-Gear!$C$4,0)</f>
        <v>0</v>
      </c>
    </row>
    <row r="191" spans="21:21" x14ac:dyDescent="0.25">
      <c r="U191" s="9">
        <f>IF(C191&lt;&gt;0,C191-Gear!$C$4,0)</f>
        <v>0</v>
      </c>
    </row>
    <row r="192" spans="21:21" x14ac:dyDescent="0.25">
      <c r="U192" s="9">
        <f>IF(C192&lt;&gt;0,C192-Gear!$C$4,0)</f>
        <v>0</v>
      </c>
    </row>
    <row r="193" spans="21:21" x14ac:dyDescent="0.25">
      <c r="U193" s="9">
        <f>IF(C193&lt;&gt;0,C193-Gear!$C$4,0)</f>
        <v>0</v>
      </c>
    </row>
    <row r="194" spans="21:21" x14ac:dyDescent="0.25">
      <c r="U194" s="9">
        <f>IF(C194&lt;&gt;0,C194-Gear!$C$4,0)</f>
        <v>0</v>
      </c>
    </row>
    <row r="195" spans="21:21" x14ac:dyDescent="0.25">
      <c r="U195" s="9">
        <f>IF(C195&lt;&gt;0,C195-Gear!$C$4,0)</f>
        <v>0</v>
      </c>
    </row>
    <row r="196" spans="21:21" x14ac:dyDescent="0.25">
      <c r="U196" s="9">
        <f>IF(C196&lt;&gt;0,C196-Gear!$C$4,0)</f>
        <v>0</v>
      </c>
    </row>
    <row r="197" spans="21:21" x14ac:dyDescent="0.25">
      <c r="U197" s="9">
        <f>IF(C197&lt;&gt;0,C197-Gear!$C$4,0)</f>
        <v>0</v>
      </c>
    </row>
    <row r="198" spans="21:21" x14ac:dyDescent="0.25">
      <c r="U198" s="9">
        <f>IF(C198&lt;&gt;0,C198-Gear!$C$4,0)</f>
        <v>0</v>
      </c>
    </row>
    <row r="199" spans="21:21" x14ac:dyDescent="0.25">
      <c r="U199" s="9">
        <f>IF(C199&lt;&gt;0,C199-Gear!$C$4,0)</f>
        <v>0</v>
      </c>
    </row>
    <row r="200" spans="21:21" x14ac:dyDescent="0.25">
      <c r="U200" s="9">
        <f>IF(C200&lt;&gt;0,C200-Gear!$C$4,0)</f>
        <v>0</v>
      </c>
    </row>
    <row r="201" spans="21:21" x14ac:dyDescent="0.25">
      <c r="U201" s="9">
        <f>IF(C201&lt;&gt;0,C201-Gear!$C$4,0)</f>
        <v>0</v>
      </c>
    </row>
    <row r="202" spans="21:21" x14ac:dyDescent="0.25">
      <c r="U202" s="9">
        <f>IF(C202&lt;&gt;0,C202-Gear!$C$4,0)</f>
        <v>0</v>
      </c>
    </row>
    <row r="203" spans="21:21" x14ac:dyDescent="0.25">
      <c r="U203" s="9">
        <f>IF(C203&lt;&gt;0,C203-Gear!$C$4,0)</f>
        <v>0</v>
      </c>
    </row>
    <row r="204" spans="21:21" x14ac:dyDescent="0.25">
      <c r="U204" s="9">
        <f>IF(C204&lt;&gt;0,C204-Gear!$C$4,0)</f>
        <v>0</v>
      </c>
    </row>
    <row r="205" spans="21:21" x14ac:dyDescent="0.25">
      <c r="U205" s="9">
        <f>IF(C205&lt;&gt;0,C205-Gear!$C$4,0)</f>
        <v>0</v>
      </c>
    </row>
    <row r="206" spans="21:21" x14ac:dyDescent="0.25">
      <c r="U206" s="9">
        <f>IF(C206&lt;&gt;0,C206-Gear!$C$4,0)</f>
        <v>0</v>
      </c>
    </row>
    <row r="207" spans="21:21" x14ac:dyDescent="0.25">
      <c r="U207" s="9">
        <f>IF(C207&lt;&gt;0,C207-Gear!$C$4,0)</f>
        <v>0</v>
      </c>
    </row>
    <row r="208" spans="21:21" x14ac:dyDescent="0.25">
      <c r="U208" s="9">
        <f>IF(C208&lt;&gt;0,C208-Gear!$C$4,0)</f>
        <v>0</v>
      </c>
    </row>
    <row r="209" spans="21:21" x14ac:dyDescent="0.25">
      <c r="U209" s="9">
        <f>IF(C209&lt;&gt;0,C209-Gear!$C$4,0)</f>
        <v>0</v>
      </c>
    </row>
    <row r="210" spans="21:21" x14ac:dyDescent="0.25">
      <c r="U210" s="9">
        <f>IF(C210&lt;&gt;0,C210-Gear!$C$4,0)</f>
        <v>0</v>
      </c>
    </row>
    <row r="211" spans="21:21" x14ac:dyDescent="0.25">
      <c r="U211" s="9">
        <f>IF(C211&lt;&gt;0,C211-Gear!$C$4,0)</f>
        <v>0</v>
      </c>
    </row>
    <row r="212" spans="21:21" x14ac:dyDescent="0.25">
      <c r="U212" s="9">
        <f>IF(C212&lt;&gt;0,C212-Gear!$C$4,0)</f>
        <v>0</v>
      </c>
    </row>
    <row r="213" spans="21:21" x14ac:dyDescent="0.25">
      <c r="U213" s="9">
        <f>IF(C213&lt;&gt;0,C213-Gear!$C$4,0)</f>
        <v>0</v>
      </c>
    </row>
    <row r="214" spans="21:21" x14ac:dyDescent="0.25">
      <c r="U214" s="9">
        <f>IF(C214&lt;&gt;0,C214-Gear!$C$4,0)</f>
        <v>0</v>
      </c>
    </row>
    <row r="215" spans="21:21" x14ac:dyDescent="0.25">
      <c r="U215" s="9">
        <f>IF(C215&lt;&gt;0,C215-Gear!$C$4,0)</f>
        <v>0</v>
      </c>
    </row>
    <row r="216" spans="21:21" x14ac:dyDescent="0.25">
      <c r="U216" s="9">
        <f>IF(C216&lt;&gt;0,C216-Gear!$C$4,0)</f>
        <v>0</v>
      </c>
    </row>
    <row r="217" spans="21:21" x14ac:dyDescent="0.25">
      <c r="U217" s="9">
        <f>IF(C217&lt;&gt;0,C217-Gear!$C$4,0)</f>
        <v>0</v>
      </c>
    </row>
    <row r="218" spans="21:21" x14ac:dyDescent="0.25">
      <c r="U218" s="9">
        <f>IF(C218&lt;&gt;0,C218-Gear!$C$4,0)</f>
        <v>0</v>
      </c>
    </row>
    <row r="219" spans="21:21" x14ac:dyDescent="0.25">
      <c r="U219" s="9">
        <f>IF(C219&lt;&gt;0,C219-Gear!$C$4,0)</f>
        <v>0</v>
      </c>
    </row>
    <row r="220" spans="21:21" x14ac:dyDescent="0.25">
      <c r="U220" s="9">
        <f>IF(C220&lt;&gt;0,C220-Gear!$C$4,0)</f>
        <v>0</v>
      </c>
    </row>
    <row r="221" spans="21:21" x14ac:dyDescent="0.25">
      <c r="U221" s="9">
        <f>IF(C221&lt;&gt;0,C221-Gear!$C$4,0)</f>
        <v>0</v>
      </c>
    </row>
    <row r="222" spans="21:21" x14ac:dyDescent="0.25">
      <c r="U222" s="9">
        <f>IF(C222&lt;&gt;0,C222-Gear!$C$4,0)</f>
        <v>0</v>
      </c>
    </row>
    <row r="223" spans="21:21" x14ac:dyDescent="0.25">
      <c r="U223" s="9">
        <f>IF(C223&lt;&gt;0,C223-Gear!$C$4,0)</f>
        <v>0</v>
      </c>
    </row>
    <row r="224" spans="21:21" x14ac:dyDescent="0.25">
      <c r="U224" s="9">
        <f>IF(C224&lt;&gt;0,C224-Gear!$C$4,0)</f>
        <v>0</v>
      </c>
    </row>
    <row r="225" spans="21:21" x14ac:dyDescent="0.25">
      <c r="U225" s="9">
        <f>IF(C225&lt;&gt;0,C225-Gear!$C$4,0)</f>
        <v>0</v>
      </c>
    </row>
    <row r="226" spans="21:21" x14ac:dyDescent="0.25">
      <c r="U226" s="9">
        <f>IF(C226&lt;&gt;0,C226-Gear!$C$4,0)</f>
        <v>0</v>
      </c>
    </row>
    <row r="227" spans="21:21" x14ac:dyDescent="0.25">
      <c r="U227" s="9">
        <f>IF(C227&lt;&gt;0,C227-Gear!$C$4,0)</f>
        <v>0</v>
      </c>
    </row>
    <row r="228" spans="21:21" x14ac:dyDescent="0.25">
      <c r="U228" s="9">
        <f>IF(C228&lt;&gt;0,C228-Gear!$C$4,0)</f>
        <v>0</v>
      </c>
    </row>
    <row r="229" spans="21:21" x14ac:dyDescent="0.25">
      <c r="U229" s="9">
        <f>IF(C229&lt;&gt;0,C229-Gear!$C$4,0)</f>
        <v>0</v>
      </c>
    </row>
    <row r="230" spans="21:21" x14ac:dyDescent="0.25">
      <c r="U230" s="9">
        <f>IF(C230&lt;&gt;0,C230-Gear!$C$4,0)</f>
        <v>0</v>
      </c>
    </row>
    <row r="231" spans="21:21" x14ac:dyDescent="0.25">
      <c r="U231" s="9">
        <f>IF(C231&lt;&gt;0,C231-Gear!$C$4,0)</f>
        <v>0</v>
      </c>
    </row>
    <row r="232" spans="21:21" x14ac:dyDescent="0.25">
      <c r="U232" s="9">
        <f>IF(C232&lt;&gt;0,C232-Gear!$C$4,0)</f>
        <v>0</v>
      </c>
    </row>
    <row r="233" spans="21:21" x14ac:dyDescent="0.25">
      <c r="U233" s="9">
        <f>IF(C233&lt;&gt;0,C233-Gear!$C$4,0)</f>
        <v>0</v>
      </c>
    </row>
    <row r="234" spans="21:21" x14ac:dyDescent="0.25">
      <c r="U234" s="9">
        <f>IF(C234&lt;&gt;0,C234-Gear!$C$4,0)</f>
        <v>0</v>
      </c>
    </row>
    <row r="235" spans="21:21" x14ac:dyDescent="0.25">
      <c r="U235" s="9">
        <f>IF(C235&lt;&gt;0,C235-Gear!$C$4,0)</f>
        <v>0</v>
      </c>
    </row>
    <row r="236" spans="21:21" x14ac:dyDescent="0.25">
      <c r="U236" s="9">
        <f>IF(C236&lt;&gt;0,C236-Gear!$C$4,0)</f>
        <v>0</v>
      </c>
    </row>
    <row r="237" spans="21:21" x14ac:dyDescent="0.25">
      <c r="U237" s="9">
        <f>IF(C237&lt;&gt;0,C237-Gear!$C$4,0)</f>
        <v>0</v>
      </c>
    </row>
    <row r="238" spans="21:21" x14ac:dyDescent="0.25">
      <c r="U238" s="9">
        <f>IF(C238&lt;&gt;0,C238-Gear!$C$4,0)</f>
        <v>0</v>
      </c>
    </row>
    <row r="239" spans="21:21" x14ac:dyDescent="0.25">
      <c r="U239" s="9">
        <f>IF(C239&lt;&gt;0,C239-Gear!$C$4,0)</f>
        <v>0</v>
      </c>
    </row>
    <row r="240" spans="21:21" x14ac:dyDescent="0.25">
      <c r="U240" s="9">
        <f>IF(C240&lt;&gt;0,C240-Gear!$C$4,0)</f>
        <v>0</v>
      </c>
    </row>
    <row r="241" spans="21:21" x14ac:dyDescent="0.25">
      <c r="U241" s="9">
        <f>IF(C241&lt;&gt;0,C241-Gear!$C$4,0)</f>
        <v>0</v>
      </c>
    </row>
    <row r="242" spans="21:21" x14ac:dyDescent="0.25">
      <c r="U242" s="9">
        <f>IF(C242&lt;&gt;0,C242-Gear!$C$4,0)</f>
        <v>0</v>
      </c>
    </row>
    <row r="243" spans="21:21" x14ac:dyDescent="0.25">
      <c r="U243" s="9">
        <f>IF(C243&lt;&gt;0,C243-Gear!$C$4,0)</f>
        <v>0</v>
      </c>
    </row>
    <row r="244" spans="21:21" x14ac:dyDescent="0.25">
      <c r="U244" s="9">
        <f>IF(C244&lt;&gt;0,C244-Gear!$C$4,0)</f>
        <v>0</v>
      </c>
    </row>
    <row r="245" spans="21:21" x14ac:dyDescent="0.25">
      <c r="U245" s="9">
        <f>IF(C245&lt;&gt;0,C245-Gear!$C$4,0)</f>
        <v>0</v>
      </c>
    </row>
    <row r="246" spans="21:21" x14ac:dyDescent="0.25">
      <c r="U246" s="9">
        <f>IF(C246&lt;&gt;0,C246-Gear!$C$4,0)</f>
        <v>0</v>
      </c>
    </row>
    <row r="247" spans="21:21" x14ac:dyDescent="0.25">
      <c r="U247" s="9">
        <f>IF(C247&lt;&gt;0,C247-Gear!$C$4,0)</f>
        <v>0</v>
      </c>
    </row>
    <row r="248" spans="21:21" x14ac:dyDescent="0.25">
      <c r="U248" s="9">
        <f>IF(C248&lt;&gt;0,C248-Gear!$C$4,0)</f>
        <v>0</v>
      </c>
    </row>
    <row r="249" spans="21:21" x14ac:dyDescent="0.25">
      <c r="U249" s="9">
        <f>IF(C249&lt;&gt;0,C249-Gear!$C$4,0)</f>
        <v>0</v>
      </c>
    </row>
    <row r="250" spans="21:21" x14ac:dyDescent="0.25">
      <c r="U250" s="9">
        <f>IF(C250&lt;&gt;0,C250-Gear!$C$4,0)</f>
        <v>0</v>
      </c>
    </row>
    <row r="251" spans="21:21" x14ac:dyDescent="0.25">
      <c r="U251" s="9">
        <f>IF(C251&lt;&gt;0,C251-Gear!$C$4,0)</f>
        <v>0</v>
      </c>
    </row>
    <row r="252" spans="21:21" x14ac:dyDescent="0.25">
      <c r="U252" s="9">
        <f>IF(C252&lt;&gt;0,C252-Gear!$C$4,0)</f>
        <v>0</v>
      </c>
    </row>
    <row r="253" spans="21:21" x14ac:dyDescent="0.25">
      <c r="U253" s="9">
        <f>IF(C253&lt;&gt;0,C253-Gear!$C$4,0)</f>
        <v>0</v>
      </c>
    </row>
    <row r="254" spans="21:21" x14ac:dyDescent="0.25">
      <c r="U254" s="9">
        <f>IF(C254&lt;&gt;0,C254-Gear!$C$4,0)</f>
        <v>0</v>
      </c>
    </row>
    <row r="255" spans="21:21" x14ac:dyDescent="0.25">
      <c r="U255" s="9">
        <f>IF(C255&lt;&gt;0,C255-Gear!$C$4,0)</f>
        <v>0</v>
      </c>
    </row>
    <row r="256" spans="21:21" x14ac:dyDescent="0.25">
      <c r="U256" s="9">
        <f>IF(C256&lt;&gt;0,C256-Gear!$C$4,0)</f>
        <v>0</v>
      </c>
    </row>
    <row r="257" spans="21:21" x14ac:dyDescent="0.25">
      <c r="U257" s="9">
        <f>IF(C257&lt;&gt;0,C257-Gear!$C$4,0)</f>
        <v>0</v>
      </c>
    </row>
    <row r="258" spans="21:21" x14ac:dyDescent="0.25">
      <c r="U258" s="9">
        <f>IF(C258&lt;&gt;0,C258-Gear!$C$4,0)</f>
        <v>0</v>
      </c>
    </row>
    <row r="259" spans="21:21" x14ac:dyDescent="0.25">
      <c r="U259" s="9">
        <f>IF(C259&lt;&gt;0,C259-Gear!$C$4,0)</f>
        <v>0</v>
      </c>
    </row>
    <row r="260" spans="21:21" x14ac:dyDescent="0.25">
      <c r="U260" s="9">
        <f>IF(C260&lt;&gt;0,C260-Gear!$C$4,0)</f>
        <v>0</v>
      </c>
    </row>
    <row r="261" spans="21:21" x14ac:dyDescent="0.25">
      <c r="U261" s="9">
        <f>IF(C261&lt;&gt;0,C261-Gear!$C$4,0)</f>
        <v>0</v>
      </c>
    </row>
    <row r="262" spans="21:21" x14ac:dyDescent="0.25">
      <c r="U262" s="9">
        <f>IF(C262&lt;&gt;0,C262-Gear!$C$4,0)</f>
        <v>0</v>
      </c>
    </row>
    <row r="263" spans="21:21" x14ac:dyDescent="0.25">
      <c r="U263" s="9">
        <f>IF(C263&lt;&gt;0,C263-Gear!$C$4,0)</f>
        <v>0</v>
      </c>
    </row>
    <row r="264" spans="21:21" x14ac:dyDescent="0.25">
      <c r="U264" s="9">
        <f>IF(C264&lt;&gt;0,C264-Gear!$C$4,0)</f>
        <v>0</v>
      </c>
    </row>
    <row r="265" spans="21:21" x14ac:dyDescent="0.25">
      <c r="U265" s="9">
        <f>IF(C265&lt;&gt;0,C265-Gear!$C$4,0)</f>
        <v>0</v>
      </c>
    </row>
    <row r="266" spans="21:21" x14ac:dyDescent="0.25">
      <c r="U266" s="9">
        <f>IF(C266&lt;&gt;0,C266-Gear!$C$4,0)</f>
        <v>0</v>
      </c>
    </row>
    <row r="267" spans="21:21" x14ac:dyDescent="0.25">
      <c r="U267" s="9">
        <f>IF(C267&lt;&gt;0,C267-Gear!$C$4,0)</f>
        <v>0</v>
      </c>
    </row>
    <row r="268" spans="21:21" x14ac:dyDescent="0.25">
      <c r="U268" s="9">
        <f>IF(C268&lt;&gt;0,C268-Gear!$C$4,0)</f>
        <v>0</v>
      </c>
    </row>
    <row r="269" spans="21:21" x14ac:dyDescent="0.25">
      <c r="U269" s="9">
        <f>IF(C269&lt;&gt;0,C269-Gear!$C$4,0)</f>
        <v>0</v>
      </c>
    </row>
    <row r="270" spans="21:21" x14ac:dyDescent="0.25">
      <c r="U270" s="9">
        <f>IF(C270&lt;&gt;0,C270-Gear!$C$4,0)</f>
        <v>0</v>
      </c>
    </row>
    <row r="271" spans="21:21" x14ac:dyDescent="0.25">
      <c r="U271" s="9">
        <f>IF(C271&lt;&gt;0,C271-Gear!$C$4,0)</f>
        <v>0</v>
      </c>
    </row>
    <row r="272" spans="21:21" x14ac:dyDescent="0.25">
      <c r="U272" s="9">
        <f>IF(C272&lt;&gt;0,C272-Gear!$C$4,0)</f>
        <v>0</v>
      </c>
    </row>
    <row r="273" spans="21:21" x14ac:dyDescent="0.25">
      <c r="U273" s="9">
        <f>IF(C273&lt;&gt;0,C273-Gear!$C$4,0)</f>
        <v>0</v>
      </c>
    </row>
    <row r="274" spans="21:21" x14ac:dyDescent="0.25">
      <c r="U274" s="9">
        <f>IF(C274&lt;&gt;0,C274-Gear!$C$4,0)</f>
        <v>0</v>
      </c>
    </row>
    <row r="275" spans="21:21" x14ac:dyDescent="0.25">
      <c r="U275" s="9">
        <f>IF(C275&lt;&gt;0,C275-Gear!$C$4,0)</f>
        <v>0</v>
      </c>
    </row>
    <row r="276" spans="21:21" x14ac:dyDescent="0.25">
      <c r="U276" s="9">
        <f>IF(C276&lt;&gt;0,C276-Gear!$C$4,0)</f>
        <v>0</v>
      </c>
    </row>
    <row r="277" spans="21:21" x14ac:dyDescent="0.25">
      <c r="U277" s="9">
        <f>IF(C277&lt;&gt;0,C277-Gear!$C$4,0)</f>
        <v>0</v>
      </c>
    </row>
    <row r="278" spans="21:21" x14ac:dyDescent="0.25">
      <c r="U278" s="9">
        <f>IF(C278&lt;&gt;0,C278-Gear!$C$4,0)</f>
        <v>0</v>
      </c>
    </row>
    <row r="279" spans="21:21" x14ac:dyDescent="0.25">
      <c r="U279" s="9">
        <f>IF(C279&lt;&gt;0,C279-Gear!$C$4,0)</f>
        <v>0</v>
      </c>
    </row>
    <row r="280" spans="21:21" x14ac:dyDescent="0.25">
      <c r="U280" s="9">
        <f>IF(C280&lt;&gt;0,C280-Gear!$C$4,0)</f>
        <v>0</v>
      </c>
    </row>
    <row r="281" spans="21:21" x14ac:dyDescent="0.25">
      <c r="U281" s="9">
        <f>IF(C281&lt;&gt;0,C281-Gear!$C$4,0)</f>
        <v>0</v>
      </c>
    </row>
    <row r="282" spans="21:21" x14ac:dyDescent="0.25">
      <c r="U282" s="9">
        <f>IF(C282&lt;&gt;0,C282-Gear!$C$4,0)</f>
        <v>0</v>
      </c>
    </row>
    <row r="283" spans="21:21" x14ac:dyDescent="0.25">
      <c r="U283" s="9">
        <f>IF(C283&lt;&gt;0,C283-Gear!$C$4,0)</f>
        <v>0</v>
      </c>
    </row>
    <row r="284" spans="21:21" x14ac:dyDescent="0.25">
      <c r="U284" s="9">
        <f>IF(C284&lt;&gt;0,C284-Gear!$C$4,0)</f>
        <v>0</v>
      </c>
    </row>
    <row r="285" spans="21:21" x14ac:dyDescent="0.25">
      <c r="U285" s="9">
        <f>IF(C285&lt;&gt;0,C285-Gear!$C$4,0)</f>
        <v>0</v>
      </c>
    </row>
    <row r="286" spans="21:21" x14ac:dyDescent="0.25">
      <c r="U286" s="9">
        <f>IF(C286&lt;&gt;0,C286-Gear!$C$4,0)</f>
        <v>0</v>
      </c>
    </row>
    <row r="287" spans="21:21" x14ac:dyDescent="0.25">
      <c r="U287" s="9">
        <f>IF(C287&lt;&gt;0,C287-Gear!$C$4,0)</f>
        <v>0</v>
      </c>
    </row>
    <row r="288" spans="21:21" x14ac:dyDescent="0.25">
      <c r="U288" s="9">
        <f>IF(C288&lt;&gt;0,C288-Gear!$C$4,0)</f>
        <v>0</v>
      </c>
    </row>
    <row r="289" spans="21:21" x14ac:dyDescent="0.25">
      <c r="U289" s="9">
        <f>IF(C289&lt;&gt;0,C289-Gear!$C$4,0)</f>
        <v>0</v>
      </c>
    </row>
    <row r="290" spans="21:21" x14ac:dyDescent="0.25">
      <c r="U290" s="9">
        <f>IF(C290&lt;&gt;0,C290-Gear!$C$4,0)</f>
        <v>0</v>
      </c>
    </row>
    <row r="291" spans="21:21" x14ac:dyDescent="0.25">
      <c r="U291" s="9">
        <f>IF(C291&lt;&gt;0,C291-Gear!$C$4,0)</f>
        <v>0</v>
      </c>
    </row>
    <row r="292" spans="21:21" x14ac:dyDescent="0.25">
      <c r="U292" s="9">
        <f>IF(C292&lt;&gt;0,C292-Gear!$C$4,0)</f>
        <v>0</v>
      </c>
    </row>
    <row r="293" spans="21:21" x14ac:dyDescent="0.25">
      <c r="U293" s="9">
        <f>IF(C293&lt;&gt;0,C293-Gear!$C$4,0)</f>
        <v>0</v>
      </c>
    </row>
    <row r="294" spans="21:21" x14ac:dyDescent="0.25">
      <c r="U294" s="9">
        <f>IF(C294&lt;&gt;0,C294-Gear!$C$4,0)</f>
        <v>0</v>
      </c>
    </row>
    <row r="295" spans="21:21" x14ac:dyDescent="0.25">
      <c r="U295" s="9">
        <f>IF(C295&lt;&gt;0,C295-Gear!$C$4,0)</f>
        <v>0</v>
      </c>
    </row>
    <row r="296" spans="21:21" x14ac:dyDescent="0.25">
      <c r="U296" s="9">
        <f>IF(C296&lt;&gt;0,C296-Gear!$C$4,0)</f>
        <v>0</v>
      </c>
    </row>
    <row r="297" spans="21:21" x14ac:dyDescent="0.25">
      <c r="U297" s="9">
        <f>IF(C297&lt;&gt;0,C297-Gear!$C$4,0)</f>
        <v>0</v>
      </c>
    </row>
    <row r="298" spans="21:21" x14ac:dyDescent="0.25">
      <c r="U298" s="9">
        <f>IF(C298&lt;&gt;0,C298-Gear!$C$4,0)</f>
        <v>0</v>
      </c>
    </row>
    <row r="299" spans="21:21" x14ac:dyDescent="0.25">
      <c r="U299" s="9">
        <f>IF(C299&lt;&gt;0,C299-Gear!$C$4,0)</f>
        <v>0</v>
      </c>
    </row>
    <row r="300" spans="21:21" x14ac:dyDescent="0.25">
      <c r="U300" s="9">
        <f>IF(C300&lt;&gt;0,C300-Gear!$C$4,0)</f>
        <v>0</v>
      </c>
    </row>
    <row r="301" spans="21:21" x14ac:dyDescent="0.25">
      <c r="U301" s="9">
        <f>IF(C301&lt;&gt;0,C301-Gear!$C$4,0)</f>
        <v>0</v>
      </c>
    </row>
    <row r="302" spans="21:21" x14ac:dyDescent="0.25">
      <c r="U302" s="9">
        <f>IF(C302&lt;&gt;0,C302-Gear!$C$4,0)</f>
        <v>0</v>
      </c>
    </row>
    <row r="303" spans="21:21" x14ac:dyDescent="0.25">
      <c r="U303" s="9">
        <f>IF(C303&lt;&gt;0,C303-Gear!$C$4,0)</f>
        <v>0</v>
      </c>
    </row>
    <row r="304" spans="21:21" x14ac:dyDescent="0.25">
      <c r="U304" s="9">
        <f>IF(C304&lt;&gt;0,C304-Gear!$C$4,0)</f>
        <v>0</v>
      </c>
    </row>
    <row r="305" spans="21:21" x14ac:dyDescent="0.25">
      <c r="U305" s="9">
        <f>IF(C305&lt;&gt;0,C305-Gear!$C$4,0)</f>
        <v>0</v>
      </c>
    </row>
    <row r="306" spans="21:21" x14ac:dyDescent="0.25">
      <c r="U306" s="9">
        <f>IF(C306&lt;&gt;0,C306-Gear!$C$4,0)</f>
        <v>0</v>
      </c>
    </row>
    <row r="307" spans="21:21" x14ac:dyDescent="0.25">
      <c r="U307" s="9">
        <f>IF(C307&lt;&gt;0,C307-Gear!$C$4,0)</f>
        <v>0</v>
      </c>
    </row>
    <row r="308" spans="21:21" x14ac:dyDescent="0.25">
      <c r="U308" s="9">
        <f>IF(C308&lt;&gt;0,C308-Gear!$C$4,0)</f>
        <v>0</v>
      </c>
    </row>
    <row r="309" spans="21:21" x14ac:dyDescent="0.25">
      <c r="U309" s="9">
        <f>IF(C309&lt;&gt;0,C309-Gear!$C$4,0)</f>
        <v>0</v>
      </c>
    </row>
    <row r="310" spans="21:21" x14ac:dyDescent="0.25">
      <c r="U310" s="9">
        <f>IF(C310&lt;&gt;0,C310-Gear!$C$4,0)</f>
        <v>0</v>
      </c>
    </row>
    <row r="311" spans="21:21" x14ac:dyDescent="0.25">
      <c r="U311" s="9">
        <f>IF(C311&lt;&gt;0,C311-Gear!$C$4,0)</f>
        <v>0</v>
      </c>
    </row>
    <row r="312" spans="21:21" x14ac:dyDescent="0.25">
      <c r="U312" s="9">
        <f>IF(C312&lt;&gt;0,C312-Gear!$C$4,0)</f>
        <v>0</v>
      </c>
    </row>
    <row r="313" spans="21:21" x14ac:dyDescent="0.25">
      <c r="U313" s="9">
        <f>IF(C313&lt;&gt;0,C313-Gear!$C$4,0)</f>
        <v>0</v>
      </c>
    </row>
    <row r="314" spans="21:21" x14ac:dyDescent="0.25">
      <c r="U314" s="9">
        <f>IF(C314&lt;&gt;0,C314-Gear!$C$4,0)</f>
        <v>0</v>
      </c>
    </row>
    <row r="315" spans="21:21" x14ac:dyDescent="0.25">
      <c r="U315" s="9">
        <f>IF(C315&lt;&gt;0,C315-Gear!$C$4,0)</f>
        <v>0</v>
      </c>
    </row>
    <row r="316" spans="21:21" x14ac:dyDescent="0.25">
      <c r="U316" s="9">
        <f>IF(C316&lt;&gt;0,C316-Gear!$C$4,0)</f>
        <v>0</v>
      </c>
    </row>
    <row r="317" spans="21:21" x14ac:dyDescent="0.25">
      <c r="U317" s="9">
        <f>IF(C317&lt;&gt;0,C317-Gear!$C$4,0)</f>
        <v>0</v>
      </c>
    </row>
    <row r="318" spans="21:21" x14ac:dyDescent="0.25">
      <c r="U318" s="9">
        <f>IF(C318&lt;&gt;0,C318-Gear!$C$4,0)</f>
        <v>0</v>
      </c>
    </row>
    <row r="319" spans="21:21" x14ac:dyDescent="0.25">
      <c r="U319" s="9">
        <f>IF(C319&lt;&gt;0,C319-Gear!$C$4,0)</f>
        <v>0</v>
      </c>
    </row>
    <row r="320" spans="21:21" x14ac:dyDescent="0.25">
      <c r="U320" s="9">
        <f>IF(C320&lt;&gt;0,C320-Gear!$C$4,0)</f>
        <v>0</v>
      </c>
    </row>
    <row r="321" spans="21:21" x14ac:dyDescent="0.25">
      <c r="U321" s="9">
        <f>IF(C321&lt;&gt;0,C321-Gear!$C$4,0)</f>
        <v>0</v>
      </c>
    </row>
    <row r="322" spans="21:21" x14ac:dyDescent="0.25">
      <c r="U322" s="9">
        <f>IF(C322&lt;&gt;0,C322-Gear!$C$4,0)</f>
        <v>0</v>
      </c>
    </row>
    <row r="323" spans="21:21" x14ac:dyDescent="0.25">
      <c r="U323" s="9">
        <f>IF(C323&lt;&gt;0,C323-Gear!$C$4,0)</f>
        <v>0</v>
      </c>
    </row>
    <row r="324" spans="21:21" x14ac:dyDescent="0.25">
      <c r="U324" s="9">
        <f>IF(C324&lt;&gt;0,C324-Gear!$C$4,0)</f>
        <v>0</v>
      </c>
    </row>
    <row r="325" spans="21:21" x14ac:dyDescent="0.25">
      <c r="U325" s="9">
        <f>IF(C325&lt;&gt;0,C325-Gear!$C$4,0)</f>
        <v>0</v>
      </c>
    </row>
    <row r="326" spans="21:21" x14ac:dyDescent="0.25">
      <c r="U326" s="9">
        <f>IF(C326&lt;&gt;0,C326-Gear!$C$4,0)</f>
        <v>0</v>
      </c>
    </row>
    <row r="327" spans="21:21" x14ac:dyDescent="0.25">
      <c r="U327" s="9">
        <f>IF(C327&lt;&gt;0,C327-Gear!$C$4,0)</f>
        <v>0</v>
      </c>
    </row>
    <row r="328" spans="21:21" x14ac:dyDescent="0.25">
      <c r="U328" s="9">
        <f>IF(C328&lt;&gt;0,C328-Gear!$C$4,0)</f>
        <v>0</v>
      </c>
    </row>
    <row r="329" spans="21:21" x14ac:dyDescent="0.25">
      <c r="U329" s="9">
        <f>IF(C329&lt;&gt;0,C329-Gear!$C$4,0)</f>
        <v>0</v>
      </c>
    </row>
    <row r="330" spans="21:21" x14ac:dyDescent="0.25">
      <c r="U330" s="9">
        <f>IF(C330&lt;&gt;0,C330-Gear!$C$4,0)</f>
        <v>0</v>
      </c>
    </row>
    <row r="331" spans="21:21" x14ac:dyDescent="0.25">
      <c r="U331" s="9">
        <f>IF(C331&lt;&gt;0,C331-Gear!$C$4,0)</f>
        <v>0</v>
      </c>
    </row>
    <row r="332" spans="21:21" x14ac:dyDescent="0.25">
      <c r="U332" s="9">
        <f>IF(C332&lt;&gt;0,C332-Gear!$C$4,0)</f>
        <v>0</v>
      </c>
    </row>
    <row r="333" spans="21:21" x14ac:dyDescent="0.25">
      <c r="U333" s="9">
        <f>IF(C333&lt;&gt;0,C333-Gear!$C$4,0)</f>
        <v>0</v>
      </c>
    </row>
    <row r="334" spans="21:21" x14ac:dyDescent="0.25">
      <c r="U334" s="9">
        <f>IF(C334&lt;&gt;0,C334-Gear!$C$4,0)</f>
        <v>0</v>
      </c>
    </row>
    <row r="335" spans="21:21" x14ac:dyDescent="0.25">
      <c r="U335" s="9">
        <f>IF(C335&lt;&gt;0,C335-Gear!$C$4,0)</f>
        <v>0</v>
      </c>
    </row>
  </sheetData>
  <conditionalFormatting sqref="U2:U500">
    <cfRule type="cellIs" dxfId="12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A5AC5-0161-435F-A2BB-D1A85F12701A}">
  <sheetPr codeName="Tabelle20"/>
  <dimension ref="A1:U627"/>
  <sheetViews>
    <sheetView showGridLines="0" topLeftCell="B1" workbookViewId="0">
      <selection activeCell="J19" sqref="J19"/>
    </sheetView>
  </sheetViews>
  <sheetFormatPr baseColWidth="10" defaultRowHeight="15" x14ac:dyDescent="0.25"/>
  <cols>
    <col min="1" max="1" width="6" style="9" bestFit="1" customWidth="1"/>
    <col min="2" max="2" width="29.5703125" style="9" bestFit="1" customWidth="1"/>
    <col min="3" max="3" width="12" style="9" bestFit="1" customWidth="1"/>
    <col min="4" max="4" width="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</cols>
  <sheetData>
    <row r="1" spans="1:21" x14ac:dyDescent="0.25">
      <c r="A1" s="31" t="str">
        <f>Shoulder!A1</f>
        <v>ID</v>
      </c>
      <c r="B1" s="31" t="str">
        <f>Shoulder!B1</f>
        <v>Name</v>
      </c>
      <c r="C1" s="31" t="str">
        <f>Shoulder!C1</f>
        <v>Score</v>
      </c>
      <c r="D1" s="31" t="str">
        <f>Shoulder!D1</f>
        <v>Slot</v>
      </c>
      <c r="E1" s="31" t="str">
        <f>Shoulder!E1</f>
        <v>Armor</v>
      </c>
      <c r="F1" s="31" t="str">
        <f>Shoulder!F1</f>
        <v>Strength</v>
      </c>
      <c r="G1" s="31" t="str">
        <f>Shoulder!G1</f>
        <v>Stamina</v>
      </c>
      <c r="H1" s="31" t="str">
        <f>Shoulder!H1</f>
        <v>Agility</v>
      </c>
      <c r="I1" s="31" t="str">
        <f>Shoulder!I1</f>
        <v>Intellect</v>
      </c>
      <c r="J1" s="31" t="str">
        <f>Shoulder!J1</f>
        <v>Spirit</v>
      </c>
      <c r="K1" s="31" t="str">
        <f>Shoulder!K1</f>
        <v>Frost Spell Power</v>
      </c>
      <c r="L1" s="31" t="str">
        <f>Shoulder!L1</f>
        <v>Spell Crit</v>
      </c>
      <c r="M1" s="31" t="str">
        <f>Shoulder!M1</f>
        <v>Spell Hit</v>
      </c>
      <c r="N1" s="31" t="str">
        <f>Shoulder!N1</f>
        <v>MP5</v>
      </c>
      <c r="O1" s="31" t="str">
        <f>Shoulder!O1</f>
        <v>Fire Resistance</v>
      </c>
      <c r="P1" s="31" t="str">
        <f>Shoulder!P1</f>
        <v>Frost Resistance</v>
      </c>
      <c r="Q1" s="31" t="str">
        <f>Shoulder!Q1</f>
        <v>Nature Resistance</v>
      </c>
      <c r="R1" s="31" t="str">
        <f>Shoulder!R1</f>
        <v>Shadow Resistance</v>
      </c>
      <c r="S1" s="31" t="str">
        <f>Shoulder!S1</f>
        <v>Arcane Resistance</v>
      </c>
      <c r="T1" s="31" t="str">
        <f>Shoulder!T1</f>
        <v>Link</v>
      </c>
      <c r="U1" s="31" t="str">
        <f>Shoulder!U1</f>
        <v>Delta</v>
      </c>
    </row>
    <row r="2" spans="1:21" x14ac:dyDescent="0.25">
      <c r="A2" s="24">
        <f>'Item Database'!A33</f>
        <v>23049</v>
      </c>
      <c r="B2" s="9" t="str">
        <f>'Item Database'!B33</f>
        <v>Sapphiron's Left Eye</v>
      </c>
      <c r="C2" s="12">
        <f>'Item Database'!C33</f>
        <v>15.327875974031144</v>
      </c>
      <c r="D2" s="9" t="str">
        <f>'Item Database'!D33</f>
        <v>Offhand</v>
      </c>
      <c r="E2" s="9">
        <f>'Item Database'!E33</f>
        <v>0</v>
      </c>
      <c r="F2" s="9">
        <f>'Item Database'!F33</f>
        <v>0</v>
      </c>
      <c r="G2" s="9">
        <f>'Item Database'!G33</f>
        <v>12</v>
      </c>
      <c r="H2" s="9">
        <f>'Item Database'!H33</f>
        <v>0</v>
      </c>
      <c r="I2" s="9">
        <f>'Item Database'!I33</f>
        <v>8</v>
      </c>
      <c r="J2" s="9">
        <f>'Item Database'!J33</f>
        <v>0</v>
      </c>
      <c r="K2" s="9">
        <f>'Item Database'!K33</f>
        <v>26</v>
      </c>
      <c r="L2" s="35">
        <f>'Item Database'!L33</f>
        <v>0.01</v>
      </c>
      <c r="M2" s="35">
        <f>'Item Database'!M33</f>
        <v>0.01</v>
      </c>
      <c r="N2" s="9">
        <f>'Item Database'!N33</f>
        <v>0</v>
      </c>
      <c r="O2" s="9">
        <f>'Item Database'!O33</f>
        <v>0</v>
      </c>
      <c r="P2" s="9">
        <f>'Item Database'!P33</f>
        <v>0</v>
      </c>
      <c r="Q2" s="9">
        <f>'Item Database'!Q33</f>
        <v>0</v>
      </c>
      <c r="R2" s="9">
        <f>'Item Database'!R33</f>
        <v>0</v>
      </c>
      <c r="S2" s="9">
        <f>'Item Database'!S33</f>
        <v>0</v>
      </c>
      <c r="T2" s="53" t="str">
        <f>HYPERLINK('Item Database'!T33)</f>
        <v>https://classic.wowhead.com/item=23049</v>
      </c>
      <c r="U2" s="9">
        <f>IF(C2&lt;&gt;0,C2-Gear!$C$5,0)</f>
        <v>15.327875974031144</v>
      </c>
    </row>
    <row r="3" spans="1:21" x14ac:dyDescent="0.25">
      <c r="A3" s="24">
        <f>'Item Database'!A39</f>
        <v>22731</v>
      </c>
      <c r="B3" s="9" t="str">
        <f>'Item Database'!B39</f>
        <v>Cloak of the Devoured</v>
      </c>
      <c r="C3" s="12">
        <f>'Item Database'!C39</f>
        <v>14.395659333026341</v>
      </c>
      <c r="D3" s="9" t="str">
        <f>'Item Database'!D39</f>
        <v>Back</v>
      </c>
      <c r="E3" s="9">
        <f>'Item Database'!E39</f>
        <v>66</v>
      </c>
      <c r="F3" s="9">
        <f>'Item Database'!F39</f>
        <v>0</v>
      </c>
      <c r="G3" s="9">
        <f>'Item Database'!G39</f>
        <v>11</v>
      </c>
      <c r="H3" s="9">
        <f>'Item Database'!H39</f>
        <v>0</v>
      </c>
      <c r="I3" s="9">
        <f>'Item Database'!I39</f>
        <v>10</v>
      </c>
      <c r="J3" s="9">
        <f>'Item Database'!J39</f>
        <v>0</v>
      </c>
      <c r="K3" s="9">
        <f>'Item Database'!K39</f>
        <v>30</v>
      </c>
      <c r="L3" s="35">
        <f>'Item Database'!L39</f>
        <v>0</v>
      </c>
      <c r="M3" s="35">
        <f>'Item Database'!M39</f>
        <v>0.01</v>
      </c>
      <c r="N3" s="9">
        <f>'Item Database'!N39</f>
        <v>0</v>
      </c>
      <c r="O3" s="9">
        <f>'Item Database'!O39</f>
        <v>0</v>
      </c>
      <c r="P3" s="9">
        <f>'Item Database'!P39</f>
        <v>0</v>
      </c>
      <c r="Q3" s="9">
        <f>'Item Database'!Q39</f>
        <v>0</v>
      </c>
      <c r="R3" s="9">
        <f>'Item Database'!R39</f>
        <v>0</v>
      </c>
      <c r="S3" s="9">
        <f>'Item Database'!S39</f>
        <v>0</v>
      </c>
      <c r="T3" s="53" t="str">
        <f>HYPERLINK('Item Database'!T39)</f>
        <v>https://classic.wowhead.com/item=22731</v>
      </c>
      <c r="U3" s="9">
        <f>IF(C3&lt;&gt;0,C3-Gear!$C$5,0)</f>
        <v>14.395659333026341</v>
      </c>
    </row>
    <row r="4" spans="1:21" x14ac:dyDescent="0.25">
      <c r="A4" s="24">
        <f>'Item Database'!A59</f>
        <v>19857</v>
      </c>
      <c r="B4" s="9" t="str">
        <f>'Item Database'!B59</f>
        <v>Cloak of Consumption</v>
      </c>
      <c r="C4" s="12">
        <f>'Item Database'!C59</f>
        <v>11.882568043211215</v>
      </c>
      <c r="D4" s="9" t="str">
        <f>'Item Database'!D59</f>
        <v>Back</v>
      </c>
      <c r="E4" s="9">
        <f>'Item Database'!E59</f>
        <v>52</v>
      </c>
      <c r="F4" s="9">
        <f>'Item Database'!F59</f>
        <v>0</v>
      </c>
      <c r="G4" s="9">
        <f>'Item Database'!G59</f>
        <v>0</v>
      </c>
      <c r="H4" s="9">
        <f>'Item Database'!H59</f>
        <v>0</v>
      </c>
      <c r="I4" s="9">
        <f>'Item Database'!I59</f>
        <v>10</v>
      </c>
      <c r="J4" s="9">
        <f>'Item Database'!J59</f>
        <v>0</v>
      </c>
      <c r="K4" s="9">
        <f>'Item Database'!K59</f>
        <v>23</v>
      </c>
      <c r="L4" s="35">
        <f>'Item Database'!L59</f>
        <v>0</v>
      </c>
      <c r="M4" s="35">
        <f>'Item Database'!M59</f>
        <v>0.01</v>
      </c>
      <c r="N4" s="9">
        <f>'Item Database'!N59</f>
        <v>0</v>
      </c>
      <c r="O4" s="9">
        <f>'Item Database'!O59</f>
        <v>0</v>
      </c>
      <c r="P4" s="9">
        <f>'Item Database'!P59</f>
        <v>0</v>
      </c>
      <c r="Q4" s="9">
        <f>'Item Database'!Q59</f>
        <v>0</v>
      </c>
      <c r="R4" s="9">
        <f>'Item Database'!R59</f>
        <v>0</v>
      </c>
      <c r="S4" s="9">
        <f>'Item Database'!S59</f>
        <v>0</v>
      </c>
      <c r="T4" s="53" t="str">
        <f>HYPERLINK('Item Database'!T59)</f>
        <v>https://classic.wowhead.com/item=19857</v>
      </c>
      <c r="U4" s="9">
        <f>IF(C4&lt;&gt;0,C4-Gear!$C$5,0)</f>
        <v>11.882568043211215</v>
      </c>
    </row>
    <row r="5" spans="1:21" x14ac:dyDescent="0.25">
      <c r="A5" s="24">
        <f>'Item Database'!A93</f>
        <v>23291</v>
      </c>
      <c r="B5" s="9" t="str">
        <f>'Item Database'!B93</f>
        <v>Knight-Lieutenant's Silk Walkers</v>
      </c>
      <c r="C5" s="12">
        <f>'Item Database'!C93</f>
        <v>9.0104637119939319</v>
      </c>
      <c r="D5" s="9" t="str">
        <f>'Item Database'!D93</f>
        <v>Feet</v>
      </c>
      <c r="E5" s="9">
        <f>'Item Database'!E93</f>
        <v>104</v>
      </c>
      <c r="F5" s="9">
        <f>'Item Database'!F93</f>
        <v>0</v>
      </c>
      <c r="G5" s="9">
        <f>'Item Database'!G93</f>
        <v>15</v>
      </c>
      <c r="H5" s="9">
        <f>'Item Database'!H93</f>
        <v>0</v>
      </c>
      <c r="I5" s="9">
        <f>'Item Database'!I93</f>
        <v>10</v>
      </c>
      <c r="J5" s="9">
        <f>'Item Database'!J93</f>
        <v>0</v>
      </c>
      <c r="K5" s="9">
        <f>'Item Database'!K93</f>
        <v>15</v>
      </c>
      <c r="L5" s="35">
        <f>'Item Database'!L93</f>
        <v>0</v>
      </c>
      <c r="M5" s="35">
        <f>'Item Database'!M93</f>
        <v>0.01</v>
      </c>
      <c r="N5" s="9">
        <f>'Item Database'!N93</f>
        <v>0</v>
      </c>
      <c r="O5" s="9">
        <f>'Item Database'!O93</f>
        <v>0</v>
      </c>
      <c r="P5" s="9">
        <f>'Item Database'!P93</f>
        <v>0</v>
      </c>
      <c r="Q5" s="9">
        <f>'Item Database'!Q93</f>
        <v>0</v>
      </c>
      <c r="R5" s="9">
        <f>'Item Database'!R93</f>
        <v>0</v>
      </c>
      <c r="S5" s="9">
        <f>'Item Database'!S93</f>
        <v>0</v>
      </c>
      <c r="T5" s="53" t="str">
        <f>HYPERLINK('Item Database'!T93)</f>
        <v>https://classic.wowhead.com/item=23291</v>
      </c>
      <c r="U5" s="9">
        <f>IF(C5&lt;&gt;0,C5-Gear!$C$5,0)</f>
        <v>9.0104637119939319</v>
      </c>
    </row>
    <row r="6" spans="1:21" x14ac:dyDescent="0.25">
      <c r="A6" s="24">
        <f>'Item Database'!A96</f>
        <v>21611</v>
      </c>
      <c r="B6" s="9" t="str">
        <f>'Item Database'!B96</f>
        <v>Burrower Bracers</v>
      </c>
      <c r="C6" s="12">
        <f>'Item Database'!C96</f>
        <v>10.587799845973107</v>
      </c>
      <c r="D6" s="9" t="str">
        <f>'Item Database'!D96</f>
        <v>Wrist</v>
      </c>
      <c r="E6" s="9">
        <f>'Item Database'!E96</f>
        <v>54</v>
      </c>
      <c r="F6" s="9">
        <f>'Item Database'!F96</f>
        <v>0</v>
      </c>
      <c r="G6" s="9">
        <f>'Item Database'!G96</f>
        <v>10</v>
      </c>
      <c r="H6" s="9">
        <f>'Item Database'!H96</f>
        <v>0</v>
      </c>
      <c r="I6" s="9">
        <f>'Item Database'!I96</f>
        <v>13</v>
      </c>
      <c r="J6" s="9">
        <f>'Item Database'!J96</f>
        <v>0</v>
      </c>
      <c r="K6" s="9">
        <f>'Item Database'!K96</f>
        <v>28</v>
      </c>
      <c r="L6" s="35">
        <f>'Item Database'!L96</f>
        <v>0</v>
      </c>
      <c r="M6" s="35">
        <f>'Item Database'!M96</f>
        <v>0</v>
      </c>
      <c r="N6" s="9">
        <f>'Item Database'!N96</f>
        <v>0</v>
      </c>
      <c r="O6" s="9">
        <f>'Item Database'!O96</f>
        <v>0</v>
      </c>
      <c r="P6" s="9">
        <f>'Item Database'!P96</f>
        <v>0</v>
      </c>
      <c r="Q6" s="9">
        <f>'Item Database'!Q96</f>
        <v>0</v>
      </c>
      <c r="R6" s="9">
        <f>'Item Database'!R96</f>
        <v>0</v>
      </c>
      <c r="S6" s="9">
        <f>'Item Database'!S96</f>
        <v>0</v>
      </c>
      <c r="T6" s="53" t="str">
        <f>HYPERLINK('Item Database'!T96)</f>
        <v>https://classic.wowhead.com/item=21611</v>
      </c>
      <c r="U6" s="9">
        <f>IF(C6&lt;&gt;0,C6-Gear!$C$5,0)</f>
        <v>10.587799845973107</v>
      </c>
    </row>
    <row r="7" spans="1:21" x14ac:dyDescent="0.25">
      <c r="A7" s="9">
        <f>'Item Database'!A120</f>
        <v>22711</v>
      </c>
      <c r="B7" s="9" t="str">
        <f>'Item Database'!B120</f>
        <v>Cloak of the Hakkari Worshipers</v>
      </c>
      <c r="C7" s="12">
        <f>'Item Database'!C120</f>
        <v>8.5044236538093614</v>
      </c>
      <c r="D7" s="9" t="str">
        <f>'Item Database'!D120</f>
        <v>Back</v>
      </c>
      <c r="E7" s="9">
        <f>'Item Database'!E120</f>
        <v>48</v>
      </c>
      <c r="F7" s="9">
        <f>'Item Database'!F120</f>
        <v>0</v>
      </c>
      <c r="G7" s="9">
        <f>'Item Database'!G120</f>
        <v>6</v>
      </c>
      <c r="H7" s="9">
        <f>'Item Database'!H120</f>
        <v>0</v>
      </c>
      <c r="I7" s="9">
        <f>'Item Database'!I120</f>
        <v>6</v>
      </c>
      <c r="J7" s="9">
        <f>'Item Database'!J120</f>
        <v>0</v>
      </c>
      <c r="K7" s="9">
        <f>'Item Database'!K120</f>
        <v>23</v>
      </c>
      <c r="L7" s="35">
        <f>'Item Database'!L120</f>
        <v>0</v>
      </c>
      <c r="M7" s="35">
        <f>'Item Database'!M120</f>
        <v>0</v>
      </c>
      <c r="N7" s="9">
        <f>'Item Database'!N120</f>
        <v>0</v>
      </c>
      <c r="O7" s="9">
        <f>'Item Database'!O120</f>
        <v>0</v>
      </c>
      <c r="P7" s="9">
        <f>'Item Database'!P120</f>
        <v>0</v>
      </c>
      <c r="Q7" s="9">
        <f>'Item Database'!Q120</f>
        <v>0</v>
      </c>
      <c r="R7" s="9">
        <f>'Item Database'!R120</f>
        <v>0</v>
      </c>
      <c r="S7" s="9">
        <f>'Item Database'!S120</f>
        <v>0</v>
      </c>
      <c r="T7" s="53" t="str">
        <f>HYPERLINK('Item Database'!T120)</f>
        <v>https://classic.wowhead.com/item=22711</v>
      </c>
      <c r="U7" s="9">
        <f>IF(C7&lt;&gt;0,C7-Gear!$C$5,0)</f>
        <v>8.5044236538093614</v>
      </c>
    </row>
    <row r="8" spans="1:21" x14ac:dyDescent="0.25">
      <c r="A8" s="9">
        <f>'Item Database'!A141</f>
        <v>17109</v>
      </c>
      <c r="B8" s="9" t="str">
        <f>'Item Database'!B141</f>
        <v>Choker of Enlightenment</v>
      </c>
      <c r="C8" s="12">
        <f>'Item Database'!C141</f>
        <v>6.8741075811716676</v>
      </c>
      <c r="D8" s="9" t="str">
        <f>'Item Database'!D141</f>
        <v>Neck</v>
      </c>
      <c r="E8" s="9">
        <f>'Item Database'!E141</f>
        <v>0</v>
      </c>
      <c r="F8" s="9">
        <f>'Item Database'!F141</f>
        <v>0</v>
      </c>
      <c r="G8" s="9">
        <f>'Item Database'!G141</f>
        <v>9</v>
      </c>
      <c r="H8" s="9">
        <f>'Item Database'!H141</f>
        <v>0</v>
      </c>
      <c r="I8" s="9">
        <f>'Item Database'!I141</f>
        <v>10</v>
      </c>
      <c r="J8" s="9">
        <f>'Item Database'!J141</f>
        <v>10</v>
      </c>
      <c r="K8" s="9">
        <f>'Item Database'!K141</f>
        <v>18</v>
      </c>
      <c r="L8" s="35">
        <f>'Item Database'!L141</f>
        <v>0</v>
      </c>
      <c r="M8" s="35">
        <f>'Item Database'!M141</f>
        <v>0</v>
      </c>
      <c r="N8" s="9">
        <f>'Item Database'!N141</f>
        <v>0</v>
      </c>
      <c r="O8" s="9">
        <f>'Item Database'!O141</f>
        <v>0</v>
      </c>
      <c r="P8" s="9">
        <f>'Item Database'!P141</f>
        <v>0</v>
      </c>
      <c r="Q8" s="9">
        <f>'Item Database'!Q141</f>
        <v>0</v>
      </c>
      <c r="R8" s="9">
        <f>'Item Database'!R141</f>
        <v>0</v>
      </c>
      <c r="S8" s="9">
        <f>'Item Database'!S141</f>
        <v>0</v>
      </c>
      <c r="T8" s="53" t="str">
        <f>HYPERLINK('Item Database'!T141)</f>
        <v>https://classic.wowhead.com/item=17109</v>
      </c>
      <c r="U8" s="9">
        <f>IF(C8&lt;&gt;0,C8-Gear!$C$5,0)</f>
        <v>6.8741075811716676</v>
      </c>
    </row>
    <row r="9" spans="1:21" x14ac:dyDescent="0.25">
      <c r="A9" s="9">
        <f>'Item Database'!A147</f>
        <v>13161</v>
      </c>
      <c r="B9" s="9" t="str">
        <f>'Item Database'!B147</f>
        <v>Trindlehaven Staff</v>
      </c>
      <c r="C9" s="12">
        <f>'Item Database'!C147</f>
        <v>6.0558646694621832</v>
      </c>
      <c r="D9" s="9" t="str">
        <f>'Item Database'!D147</f>
        <v>Two-Hand</v>
      </c>
      <c r="E9" s="9">
        <f>'Item Database'!E147</f>
        <v>0</v>
      </c>
      <c r="F9" s="9">
        <f>'Item Database'!F147</f>
        <v>0</v>
      </c>
      <c r="G9" s="9">
        <f>'Item Database'!G147</f>
        <v>12</v>
      </c>
      <c r="H9" s="9">
        <f>'Item Database'!H147</f>
        <v>0</v>
      </c>
      <c r="I9" s="9">
        <f>'Item Database'!I147</f>
        <v>25</v>
      </c>
      <c r="J9" s="9">
        <f>'Item Database'!J147</f>
        <v>0</v>
      </c>
      <c r="K9" s="9">
        <f>'Item Database'!K147</f>
        <v>14</v>
      </c>
      <c r="L9" s="35">
        <f>'Item Database'!L147</f>
        <v>0</v>
      </c>
      <c r="M9" s="35">
        <f>'Item Database'!M147</f>
        <v>0</v>
      </c>
      <c r="N9" s="9">
        <f>'Item Database'!N147</f>
        <v>0</v>
      </c>
      <c r="O9" s="9">
        <f>'Item Database'!O147</f>
        <v>0</v>
      </c>
      <c r="P9" s="9">
        <f>'Item Database'!P147</f>
        <v>0</v>
      </c>
      <c r="Q9" s="9">
        <f>'Item Database'!Q147</f>
        <v>0</v>
      </c>
      <c r="R9" s="9">
        <f>'Item Database'!R147</f>
        <v>0</v>
      </c>
      <c r="S9" s="9">
        <f>'Item Database'!S147</f>
        <v>0</v>
      </c>
      <c r="T9" s="53" t="str">
        <f>HYPERLINK('Item Database'!T147)</f>
        <v>https://classic.wowhead.com/item=13161</v>
      </c>
      <c r="U9" s="9">
        <f>IF(C9&lt;&gt;0,C9-Gear!$C$5,0)</f>
        <v>6.0558646694621832</v>
      </c>
    </row>
    <row r="10" spans="1:21" x14ac:dyDescent="0.25">
      <c r="A10" s="24">
        <f>'Item Database'!A155</f>
        <v>18745</v>
      </c>
      <c r="B10" s="9" t="str">
        <f>'Item Database'!B155</f>
        <v>Sacred Cloth Leggings</v>
      </c>
      <c r="C10" s="12">
        <f>'Item Database'!C155</f>
        <v>5.8087409679025193</v>
      </c>
      <c r="D10" s="9" t="str">
        <f>'Item Database'!D155</f>
        <v>Legs</v>
      </c>
      <c r="E10" s="9">
        <f>'Item Database'!E155</f>
        <v>71</v>
      </c>
      <c r="F10" s="9">
        <f>'Item Database'!F155</f>
        <v>0</v>
      </c>
      <c r="G10" s="9">
        <f>'Item Database'!G155</f>
        <v>12</v>
      </c>
      <c r="H10" s="9">
        <f>'Item Database'!H155</f>
        <v>0</v>
      </c>
      <c r="I10" s="9">
        <f>'Item Database'!I155</f>
        <v>19</v>
      </c>
      <c r="J10" s="9">
        <f>'Item Database'!J155</f>
        <v>12</v>
      </c>
      <c r="K10" s="9">
        <f>'Item Database'!K155</f>
        <v>14</v>
      </c>
      <c r="L10" s="35">
        <f>'Item Database'!L155</f>
        <v>0</v>
      </c>
      <c r="M10" s="35">
        <f>'Item Database'!M155</f>
        <v>0</v>
      </c>
      <c r="N10" s="9">
        <f>'Item Database'!N155</f>
        <v>0</v>
      </c>
      <c r="O10" s="9">
        <f>'Item Database'!O155</f>
        <v>0</v>
      </c>
      <c r="P10" s="9">
        <f>'Item Database'!P155</f>
        <v>0</v>
      </c>
      <c r="Q10" s="9">
        <f>'Item Database'!Q155</f>
        <v>0</v>
      </c>
      <c r="R10" s="9">
        <f>'Item Database'!R155</f>
        <v>0</v>
      </c>
      <c r="S10" s="9">
        <f>'Item Database'!S155</f>
        <v>0</v>
      </c>
      <c r="T10" s="53" t="str">
        <f>HYPERLINK('Item Database'!T155)</f>
        <v>https://classic.wowhead.com/item=18745</v>
      </c>
      <c r="U10" s="9">
        <f>IF(C10&lt;&gt;0,C10-Gear!$C$5,0)</f>
        <v>5.8087409679025193</v>
      </c>
    </row>
    <row r="11" spans="1:21" x14ac:dyDescent="0.25">
      <c r="A11" s="24">
        <f>'Item Database'!A167</f>
        <v>21472</v>
      </c>
      <c r="B11" s="9" t="str">
        <f>'Item Database'!B167</f>
        <v>Dustwind Turban</v>
      </c>
      <c r="C11" s="12">
        <f>'Item Database'!C167</f>
        <v>3.6450745980050416</v>
      </c>
      <c r="D11" s="9" t="str">
        <f>'Item Database'!D167</f>
        <v>Head</v>
      </c>
      <c r="E11" s="9">
        <f>'Item Database'!E167</f>
        <v>86</v>
      </c>
      <c r="F11" s="9">
        <f>'Item Database'!F167</f>
        <v>0</v>
      </c>
      <c r="G11" s="9">
        <f>'Item Database'!G167</f>
        <v>18</v>
      </c>
      <c r="H11" s="9">
        <f>'Item Database'!H167</f>
        <v>0</v>
      </c>
      <c r="I11" s="9">
        <f>'Item Database'!I167</f>
        <v>29</v>
      </c>
      <c r="J11" s="9">
        <f>'Item Database'!J167</f>
        <v>15</v>
      </c>
      <c r="K11" s="9">
        <f>'Item Database'!K167</f>
        <v>0</v>
      </c>
      <c r="L11" s="35">
        <f>'Item Database'!L167</f>
        <v>0.01</v>
      </c>
      <c r="M11" s="35">
        <f>'Item Database'!M167</f>
        <v>0</v>
      </c>
      <c r="N11" s="9">
        <f>'Item Database'!N167</f>
        <v>0</v>
      </c>
      <c r="O11" s="9">
        <f>'Item Database'!O167</f>
        <v>0</v>
      </c>
      <c r="P11" s="9">
        <f>'Item Database'!P167</f>
        <v>0</v>
      </c>
      <c r="Q11" s="9">
        <f>'Item Database'!Q167</f>
        <v>0</v>
      </c>
      <c r="R11" s="9">
        <f>'Item Database'!R167</f>
        <v>0</v>
      </c>
      <c r="S11" s="9">
        <f>'Item Database'!S167</f>
        <v>0</v>
      </c>
      <c r="T11" s="53" t="str">
        <f>HYPERLINK('Item Database'!T167)</f>
        <v>https://classic.wowhead.com/item=21472</v>
      </c>
      <c r="U11" s="9">
        <f>IF(C11&lt;&gt;0,C11-Gear!$C$5,0)</f>
        <v>3.6450745980050416</v>
      </c>
    </row>
    <row r="12" spans="1:21" x14ac:dyDescent="0.25">
      <c r="A12" s="24">
        <f>'Item Database'!A170</f>
        <v>16799</v>
      </c>
      <c r="B12" s="9" t="str">
        <f>'Item Database'!B170</f>
        <v>Arcanist Bindings</v>
      </c>
      <c r="C12" s="12">
        <f>'Item Database'!C170</f>
        <v>4.9259657507250889</v>
      </c>
      <c r="D12" s="9" t="str">
        <f>'Item Database'!D170</f>
        <v>Wrist</v>
      </c>
      <c r="E12" s="9">
        <f>'Item Database'!E170</f>
        <v>44</v>
      </c>
      <c r="F12" s="9">
        <f>'Item Database'!F170</f>
        <v>0</v>
      </c>
      <c r="G12" s="9">
        <f>'Item Database'!G170</f>
        <v>8</v>
      </c>
      <c r="H12" s="9">
        <f>'Item Database'!H170</f>
        <v>0</v>
      </c>
      <c r="I12" s="9">
        <f>'Item Database'!I170</f>
        <v>15</v>
      </c>
      <c r="J12" s="9">
        <f>'Item Database'!J170</f>
        <v>6</v>
      </c>
      <c r="K12" s="9">
        <f>'Item Database'!K170</f>
        <v>12</v>
      </c>
      <c r="L12" s="35">
        <f>'Item Database'!L170</f>
        <v>0</v>
      </c>
      <c r="M12" s="35">
        <f>'Item Database'!M170</f>
        <v>0</v>
      </c>
      <c r="N12" s="9">
        <f>'Item Database'!N170</f>
        <v>3</v>
      </c>
      <c r="O12" s="9">
        <f>'Item Database'!O170</f>
        <v>0</v>
      </c>
      <c r="P12" s="9">
        <f>'Item Database'!P170</f>
        <v>0</v>
      </c>
      <c r="Q12" s="9">
        <f>'Item Database'!Q170</f>
        <v>0</v>
      </c>
      <c r="R12" s="9">
        <f>'Item Database'!R170</f>
        <v>0</v>
      </c>
      <c r="S12" s="9">
        <f>'Item Database'!S170</f>
        <v>0</v>
      </c>
      <c r="T12" s="53" t="str">
        <f>HYPERLINK('Item Database'!T170)</f>
        <v>https://classic.wowhead.com/item=16799</v>
      </c>
      <c r="U12" s="9">
        <f>IF(C12&lt;&gt;0,C12-Gear!$C$5,0)</f>
        <v>4.9259657507250889</v>
      </c>
    </row>
    <row r="13" spans="1:21" x14ac:dyDescent="0.25">
      <c r="A13" s="24">
        <f>'Item Database'!A186</f>
        <v>13938</v>
      </c>
      <c r="B13" s="9" t="str">
        <f>'Item Database'!B186</f>
        <v>Bonecreeper Stylus</v>
      </c>
      <c r="C13" s="12">
        <f>'Item Database'!C186</f>
        <v>4.1138925897968779</v>
      </c>
      <c r="D13" s="9" t="str">
        <f>'Item Database'!D186</f>
        <v>Wand</v>
      </c>
      <c r="E13" s="9">
        <f>'Item Database'!E186</f>
        <v>0</v>
      </c>
      <c r="F13" s="9">
        <f>'Item Database'!F186</f>
        <v>0</v>
      </c>
      <c r="G13" s="9">
        <f>'Item Database'!G186</f>
        <v>0</v>
      </c>
      <c r="H13" s="9">
        <f>'Item Database'!H186</f>
        <v>0</v>
      </c>
      <c r="I13" s="9">
        <f>'Item Database'!I186</f>
        <v>4</v>
      </c>
      <c r="J13" s="9">
        <f>'Item Database'!J186</f>
        <v>0</v>
      </c>
      <c r="K13" s="9">
        <f>'Item Database'!K186</f>
        <v>11</v>
      </c>
      <c r="L13" s="35">
        <f>'Item Database'!L186</f>
        <v>0</v>
      </c>
      <c r="M13" s="35">
        <f>'Item Database'!M186</f>
        <v>0</v>
      </c>
      <c r="N13" s="9">
        <f>'Item Database'!N186</f>
        <v>0</v>
      </c>
      <c r="O13" s="9">
        <f>'Item Database'!O186</f>
        <v>0</v>
      </c>
      <c r="P13" s="9">
        <f>'Item Database'!P186</f>
        <v>0</v>
      </c>
      <c r="Q13" s="9">
        <f>'Item Database'!Q186</f>
        <v>0</v>
      </c>
      <c r="R13" s="9">
        <f>'Item Database'!R186</f>
        <v>0</v>
      </c>
      <c r="S13" s="9">
        <f>'Item Database'!S186</f>
        <v>0</v>
      </c>
      <c r="T13" s="53" t="str">
        <f>HYPERLINK('Item Database'!T186)</f>
        <v>https://classic.wowhead.com/item=13938</v>
      </c>
      <c r="U13" s="9">
        <f>IF(C13&lt;&gt;0,C13-Gear!$C$5,0)</f>
        <v>4.1138925897968779</v>
      </c>
    </row>
    <row r="14" spans="1:21" x14ac:dyDescent="0.25">
      <c r="A14" s="9">
        <f>'Item Database'!A188</f>
        <v>13185</v>
      </c>
      <c r="B14" s="9" t="str">
        <f>'Item Database'!B188</f>
        <v>Sunderseer Mantle</v>
      </c>
      <c r="C14" s="12">
        <f>'Item Database'!C188</f>
        <v>3.5722881523030003</v>
      </c>
      <c r="D14" s="9" t="str">
        <f>'Item Database'!D188</f>
        <v>Shoulder</v>
      </c>
      <c r="E14" s="9">
        <f>'Item Database'!E188</f>
        <v>65</v>
      </c>
      <c r="F14" s="9">
        <f>'Item Database'!F188</f>
        <v>0</v>
      </c>
      <c r="G14" s="9">
        <f>'Item Database'!G188</f>
        <v>4</v>
      </c>
      <c r="H14" s="9">
        <f>'Item Database'!H188</f>
        <v>0</v>
      </c>
      <c r="I14" s="9">
        <f>'Item Database'!I188</f>
        <v>17</v>
      </c>
      <c r="J14" s="9">
        <f>'Item Database'!J188</f>
        <v>11</v>
      </c>
      <c r="K14" s="9">
        <f>'Item Database'!K188</f>
        <v>8</v>
      </c>
      <c r="L14" s="35">
        <f>'Item Database'!L188</f>
        <v>0</v>
      </c>
      <c r="M14" s="35">
        <f>'Item Database'!M188</f>
        <v>0</v>
      </c>
      <c r="N14" s="9">
        <f>'Item Database'!N188</f>
        <v>0</v>
      </c>
      <c r="O14" s="9">
        <f>'Item Database'!O188</f>
        <v>0</v>
      </c>
      <c r="P14" s="9">
        <f>'Item Database'!P188</f>
        <v>0</v>
      </c>
      <c r="Q14" s="9">
        <f>'Item Database'!Q188</f>
        <v>0</v>
      </c>
      <c r="R14" s="9">
        <f>'Item Database'!R188</f>
        <v>0</v>
      </c>
      <c r="S14" s="9">
        <f>'Item Database'!S188</f>
        <v>0</v>
      </c>
      <c r="T14" s="53" t="str">
        <f>HYPERLINK('Item Database'!T188)</f>
        <v>https://classic.wowhead.com/item=13185</v>
      </c>
      <c r="U14" s="9">
        <f>IF(C14&lt;&gt;0,C14-Gear!$C$5,0)</f>
        <v>3.5722881523030003</v>
      </c>
    </row>
    <row r="15" spans="1:21" x14ac:dyDescent="0.25">
      <c r="A15" s="9">
        <f>'Item Database'!A250</f>
        <v>21470</v>
      </c>
      <c r="B15" s="9" t="str">
        <f>'Item Database'!B250</f>
        <v>Cloak of the Savior</v>
      </c>
      <c r="C15" s="12">
        <f>'Item Database'!C250</f>
        <v>0.45306011952605041</v>
      </c>
      <c r="D15" s="9" t="str">
        <f>'Item Database'!D250</f>
        <v>Back</v>
      </c>
      <c r="E15" s="9">
        <f>'Item Database'!E250</f>
        <v>52</v>
      </c>
      <c r="F15" s="9">
        <f>'Item Database'!F250</f>
        <v>0</v>
      </c>
      <c r="G15" s="9">
        <f>'Item Database'!G250</f>
        <v>10</v>
      </c>
      <c r="H15" s="9">
        <f>'Item Database'!H250</f>
        <v>0</v>
      </c>
      <c r="I15" s="9">
        <f>'Item Database'!I250</f>
        <v>11</v>
      </c>
      <c r="J15" s="9">
        <f>'Item Database'!J250</f>
        <v>10</v>
      </c>
      <c r="K15" s="9">
        <f>'Item Database'!K250</f>
        <v>0</v>
      </c>
      <c r="L15" s="35">
        <f>'Item Database'!L250</f>
        <v>0</v>
      </c>
      <c r="M15" s="35">
        <f>'Item Database'!M250</f>
        <v>0</v>
      </c>
      <c r="N15" s="9">
        <f>'Item Database'!N250</f>
        <v>0</v>
      </c>
      <c r="O15" s="9">
        <f>'Item Database'!O250</f>
        <v>0</v>
      </c>
      <c r="P15" s="9">
        <f>'Item Database'!P250</f>
        <v>0</v>
      </c>
      <c r="Q15" s="9">
        <f>'Item Database'!Q250</f>
        <v>0</v>
      </c>
      <c r="R15" s="9">
        <f>'Item Database'!R250</f>
        <v>0</v>
      </c>
      <c r="S15" s="9">
        <f>'Item Database'!S250</f>
        <v>0</v>
      </c>
      <c r="T15" s="53" t="str">
        <f>HYPERLINK('Item Database'!T250)</f>
        <v>https://classic.wowhead.com/item=21470</v>
      </c>
      <c r="U15" s="9">
        <f>IF(C15&lt;&gt;0,C15-Gear!$C$5,0)</f>
        <v>0.45306011952605041</v>
      </c>
    </row>
    <row r="16" spans="1:21" x14ac:dyDescent="0.25">
      <c r="A16" s="9">
        <f>'Item Database'!A268</f>
        <v>14430</v>
      </c>
      <c r="B16" s="9" t="str">
        <f>'Item Database'!B268</f>
        <v>Windchaser Cloak</v>
      </c>
      <c r="C16" s="12">
        <f>'Item Database'!C268</f>
        <v>0.24712370155966384</v>
      </c>
      <c r="D16" s="9" t="str">
        <f>'Item Database'!D268</f>
        <v>Back</v>
      </c>
      <c r="E16" s="9">
        <f>'Item Database'!E268</f>
        <v>28</v>
      </c>
      <c r="F16" s="9">
        <f>'Item Database'!F268</f>
        <v>0</v>
      </c>
      <c r="G16" s="9">
        <f>'Item Database'!G268</f>
        <v>4</v>
      </c>
      <c r="H16" s="9">
        <f>'Item Database'!H268</f>
        <v>0</v>
      </c>
      <c r="I16" s="9">
        <f>'Item Database'!I268</f>
        <v>6</v>
      </c>
      <c r="J16" s="9">
        <f>'Item Database'!J268</f>
        <v>4</v>
      </c>
      <c r="K16" s="9">
        <f>'Item Database'!K268</f>
        <v>0</v>
      </c>
      <c r="L16" s="35">
        <f>'Item Database'!L268</f>
        <v>0</v>
      </c>
      <c r="M16" s="35">
        <f>'Item Database'!M268</f>
        <v>0</v>
      </c>
      <c r="N16" s="9">
        <f>'Item Database'!N268</f>
        <v>0</v>
      </c>
      <c r="O16" s="9">
        <f>'Item Database'!O268</f>
        <v>0</v>
      </c>
      <c r="P16" s="9">
        <f>'Item Database'!P268</f>
        <v>0</v>
      </c>
      <c r="Q16" s="9">
        <f>'Item Database'!Q268</f>
        <v>0</v>
      </c>
      <c r="R16" s="9">
        <f>'Item Database'!R268</f>
        <v>0</v>
      </c>
      <c r="S16" s="9">
        <f>'Item Database'!S268</f>
        <v>0</v>
      </c>
      <c r="T16" s="53" t="str">
        <f>HYPERLINK('Item Database'!T268)</f>
        <v>https://classic.wowhead.com/item=14430</v>
      </c>
      <c r="U16" s="9">
        <f>IF(C16&lt;&gt;0,C16-Gear!$C$5,0)</f>
        <v>0.24712370155966384</v>
      </c>
    </row>
    <row r="17" spans="1:21" x14ac:dyDescent="0.25">
      <c r="A17" s="24">
        <f>'Item Database'!A272</f>
        <v>10843</v>
      </c>
      <c r="B17" s="9" t="str">
        <f>'Item Database'!B272</f>
        <v>Featherskin Cape</v>
      </c>
      <c r="C17" s="12">
        <f>'Item Database'!C272</f>
        <v>0.16474913437310923</v>
      </c>
      <c r="D17" s="9" t="str">
        <f>'Item Database'!D272</f>
        <v>Back</v>
      </c>
      <c r="E17" s="9">
        <f>'Item Database'!E272</f>
        <v>39</v>
      </c>
      <c r="F17" s="9">
        <f>'Item Database'!F272</f>
        <v>0</v>
      </c>
      <c r="G17" s="9">
        <f>'Item Database'!G272</f>
        <v>4</v>
      </c>
      <c r="H17" s="9">
        <f>'Item Database'!H272</f>
        <v>0</v>
      </c>
      <c r="I17" s="9">
        <f>'Item Database'!I272</f>
        <v>4</v>
      </c>
      <c r="J17" s="9">
        <f>'Item Database'!J272</f>
        <v>15</v>
      </c>
      <c r="K17" s="9">
        <f>'Item Database'!K272</f>
        <v>0</v>
      </c>
      <c r="L17" s="35">
        <f>'Item Database'!L272</f>
        <v>0</v>
      </c>
      <c r="M17" s="35">
        <f>'Item Database'!M272</f>
        <v>0</v>
      </c>
      <c r="N17" s="9">
        <f>'Item Database'!N272</f>
        <v>0</v>
      </c>
      <c r="O17" s="9">
        <f>'Item Database'!O272</f>
        <v>0</v>
      </c>
      <c r="P17" s="9">
        <f>'Item Database'!P272</f>
        <v>0</v>
      </c>
      <c r="Q17" s="9">
        <f>'Item Database'!Q272</f>
        <v>0</v>
      </c>
      <c r="R17" s="9">
        <f>'Item Database'!R272</f>
        <v>0</v>
      </c>
      <c r="S17" s="9">
        <f>'Item Database'!S272</f>
        <v>0</v>
      </c>
      <c r="T17" s="53" t="str">
        <f>HYPERLINK('Item Database'!T272)</f>
        <v>https://classic.wowhead.com/item=10843</v>
      </c>
      <c r="U17" s="9">
        <f>IF(C17&lt;&gt;0,C17-Gear!$C$5,0)</f>
        <v>0.16474913437310923</v>
      </c>
    </row>
    <row r="18" spans="1:21" x14ac:dyDescent="0.25">
      <c r="A18" s="24">
        <f>'Item Database'!A273</f>
        <v>13386</v>
      </c>
      <c r="B18" s="9" t="str">
        <f>'Item Database'!B273</f>
        <v>Archivist Cape</v>
      </c>
      <c r="C18" s="12">
        <f>'Item Database'!C273</f>
        <v>0</v>
      </c>
      <c r="D18" s="9" t="str">
        <f>'Item Database'!D273</f>
        <v>Back</v>
      </c>
      <c r="E18" s="9">
        <f>'Item Database'!E273</f>
        <v>43</v>
      </c>
      <c r="F18" s="9">
        <f>'Item Database'!F273</f>
        <v>0</v>
      </c>
      <c r="G18" s="9">
        <f>'Item Database'!G273</f>
        <v>0</v>
      </c>
      <c r="H18" s="9">
        <f>'Item Database'!H273</f>
        <v>0</v>
      </c>
      <c r="I18" s="9">
        <f>'Item Database'!I273</f>
        <v>0</v>
      </c>
      <c r="J18" s="9">
        <f>'Item Database'!J273</f>
        <v>0</v>
      </c>
      <c r="K18" s="9">
        <f>'Item Database'!K273</f>
        <v>0</v>
      </c>
      <c r="L18" s="35">
        <f>'Item Database'!L273</f>
        <v>0</v>
      </c>
      <c r="M18" s="35">
        <f>'Item Database'!M273</f>
        <v>0</v>
      </c>
      <c r="N18" s="9">
        <f>'Item Database'!N273</f>
        <v>4</v>
      </c>
      <c r="O18" s="9">
        <f>'Item Database'!O273</f>
        <v>0</v>
      </c>
      <c r="P18" s="9">
        <f>'Item Database'!P273</f>
        <v>0</v>
      </c>
      <c r="Q18" s="9">
        <f>'Item Database'!Q273</f>
        <v>0</v>
      </c>
      <c r="R18" s="9">
        <f>'Item Database'!R273</f>
        <v>0</v>
      </c>
      <c r="S18" s="9">
        <f>'Item Database'!S273</f>
        <v>0</v>
      </c>
      <c r="T18" s="53" t="str">
        <f>HYPERLINK('Item Database'!T273)</f>
        <v>https://classic.wowhead.com/item=13386</v>
      </c>
      <c r="U18" s="9">
        <f>IF(C18&lt;&gt;0,C18-Gear!$C$5,0)</f>
        <v>0</v>
      </c>
    </row>
    <row r="19" spans="1:21" x14ac:dyDescent="0.25">
      <c r="A19" s="9">
        <f>'Item Database'!A283</f>
        <v>12608</v>
      </c>
      <c r="B19" s="9" t="str">
        <f>'Item Database'!B283</f>
        <v>Butcher's Apron</v>
      </c>
      <c r="C19" s="12">
        <f>'Item Database'!C283</f>
        <v>0</v>
      </c>
      <c r="D19" s="9" t="str">
        <f>'Item Database'!D283</f>
        <v>Back</v>
      </c>
      <c r="E19" s="9">
        <f>'Item Database'!E283</f>
        <v>41</v>
      </c>
      <c r="F19" s="9">
        <f>'Item Database'!F283</f>
        <v>0</v>
      </c>
      <c r="G19" s="9">
        <f>'Item Database'!G283</f>
        <v>7</v>
      </c>
      <c r="H19" s="9">
        <f>'Item Database'!H283</f>
        <v>0</v>
      </c>
      <c r="I19" s="9">
        <f>'Item Database'!I283</f>
        <v>0</v>
      </c>
      <c r="J19" s="9">
        <f>'Item Database'!J283</f>
        <v>16</v>
      </c>
      <c r="K19" s="9">
        <f>'Item Database'!K283</f>
        <v>0</v>
      </c>
      <c r="L19" s="35">
        <f>'Item Database'!L283</f>
        <v>0</v>
      </c>
      <c r="M19" s="35">
        <f>'Item Database'!M283</f>
        <v>0</v>
      </c>
      <c r="N19" s="9">
        <f>'Item Database'!N283</f>
        <v>0</v>
      </c>
      <c r="O19" s="9">
        <f>'Item Database'!O283</f>
        <v>0</v>
      </c>
      <c r="P19" s="9">
        <f>'Item Database'!P283</f>
        <v>0</v>
      </c>
      <c r="Q19" s="9">
        <f>'Item Database'!Q283</f>
        <v>0</v>
      </c>
      <c r="R19" s="9">
        <f>'Item Database'!R283</f>
        <v>0</v>
      </c>
      <c r="S19" s="9">
        <f>'Item Database'!S283</f>
        <v>0</v>
      </c>
      <c r="T19" s="53" t="str">
        <f>HYPERLINK('Item Database'!T283)</f>
        <v>https://classic.wowhead.com/item=12608</v>
      </c>
      <c r="U19" s="9">
        <f>IF(C19&lt;&gt;0,C19-Gear!$C$5,0)</f>
        <v>0</v>
      </c>
    </row>
    <row r="20" spans="1:21" x14ac:dyDescent="0.25">
      <c r="A20" s="24">
        <f>'Item Database'!A286</f>
        <v>12465</v>
      </c>
      <c r="B20" s="9" t="str">
        <f>'Item Database'!B286</f>
        <v>Nightfall Drape</v>
      </c>
      <c r="C20" s="12">
        <f>'Item Database'!C286</f>
        <v>0</v>
      </c>
      <c r="D20" s="9" t="str">
        <f>'Item Database'!D286</f>
        <v>Back</v>
      </c>
      <c r="E20" s="9">
        <f>'Item Database'!E286</f>
        <v>38</v>
      </c>
      <c r="F20" s="9">
        <f>'Item Database'!F286</f>
        <v>0</v>
      </c>
      <c r="G20" s="9">
        <f>'Item Database'!G286</f>
        <v>14</v>
      </c>
      <c r="H20" s="9">
        <f>'Item Database'!H286</f>
        <v>0</v>
      </c>
      <c r="I20" s="9">
        <f>'Item Database'!I286</f>
        <v>0</v>
      </c>
      <c r="J20" s="9">
        <f>'Item Database'!J286</f>
        <v>8</v>
      </c>
      <c r="K20" s="9">
        <f>'Item Database'!K286</f>
        <v>0</v>
      </c>
      <c r="L20" s="35">
        <f>'Item Database'!L286</f>
        <v>0</v>
      </c>
      <c r="M20" s="35">
        <f>'Item Database'!M286</f>
        <v>0</v>
      </c>
      <c r="N20" s="9">
        <f>'Item Database'!N286</f>
        <v>0</v>
      </c>
      <c r="O20" s="9">
        <f>'Item Database'!O286</f>
        <v>0</v>
      </c>
      <c r="P20" s="9">
        <f>'Item Database'!P286</f>
        <v>0</v>
      </c>
      <c r="Q20" s="9">
        <f>'Item Database'!Q286</f>
        <v>0</v>
      </c>
      <c r="R20" s="9">
        <f>'Item Database'!R286</f>
        <v>0</v>
      </c>
      <c r="S20" s="9">
        <f>'Item Database'!S286</f>
        <v>0</v>
      </c>
      <c r="T20" s="53" t="str">
        <f>HYPERLINK('Item Database'!T286)</f>
        <v>https://classic.wowhead.com/item=12465</v>
      </c>
      <c r="U20" s="9">
        <f>IF(C20&lt;&gt;0,C20-Gear!$C$5,0)</f>
        <v>0</v>
      </c>
    </row>
    <row r="21" spans="1:21" x14ac:dyDescent="0.25">
      <c r="A21" s="24">
        <f>'Item Database'!A290</f>
        <v>21701</v>
      </c>
      <c r="B21" s="9" t="str">
        <f>'Item Database'!B290</f>
        <v>Cloak of Concentrated Hatred</v>
      </c>
      <c r="C21" s="12">
        <f>'Item Database'!C290</f>
        <v>0</v>
      </c>
      <c r="D21" s="9" t="str">
        <f>'Item Database'!D290</f>
        <v>Back</v>
      </c>
      <c r="E21" s="9">
        <f>'Item Database'!E290</f>
        <v>56</v>
      </c>
      <c r="F21" s="9">
        <f>'Item Database'!F290</f>
        <v>0</v>
      </c>
      <c r="G21" s="9">
        <f>'Item Database'!G290</f>
        <v>15</v>
      </c>
      <c r="H21" s="9">
        <f>'Item Database'!H290</f>
        <v>0</v>
      </c>
      <c r="I21" s="9">
        <f>'Item Database'!I290</f>
        <v>0</v>
      </c>
      <c r="J21" s="9">
        <f>'Item Database'!J290</f>
        <v>0</v>
      </c>
      <c r="K21" s="9">
        <f>'Item Database'!K290</f>
        <v>0</v>
      </c>
      <c r="L21" s="35">
        <f>'Item Database'!L290</f>
        <v>0</v>
      </c>
      <c r="M21" s="35">
        <f>'Item Database'!M290</f>
        <v>0</v>
      </c>
      <c r="N21" s="9">
        <f>'Item Database'!N290</f>
        <v>0</v>
      </c>
      <c r="O21" s="9">
        <f>'Item Database'!O290</f>
        <v>0</v>
      </c>
      <c r="P21" s="9">
        <f>'Item Database'!P290</f>
        <v>0</v>
      </c>
      <c r="Q21" s="9">
        <f>'Item Database'!Q290</f>
        <v>0</v>
      </c>
      <c r="R21" s="9">
        <f>'Item Database'!R290</f>
        <v>0</v>
      </c>
      <c r="S21" s="9">
        <f>'Item Database'!S290</f>
        <v>0</v>
      </c>
      <c r="T21" s="53" t="str">
        <f>HYPERLINK('Item Database'!T290)</f>
        <v>https://classic.wowhead.com/item=21701</v>
      </c>
      <c r="U21" s="9">
        <f>IF(C21&lt;&gt;0,C21-Gear!$C$5,0)</f>
        <v>0</v>
      </c>
    </row>
    <row r="22" spans="1:21" x14ac:dyDescent="0.25">
      <c r="U22" s="9">
        <f>IF(C22&lt;&gt;0,C22-Gear!$C$5,0)</f>
        <v>0</v>
      </c>
    </row>
    <row r="23" spans="1:21" x14ac:dyDescent="0.25">
      <c r="U23" s="9">
        <f>IF(C23&lt;&gt;0,C23-Gear!$C$5,0)</f>
        <v>0</v>
      </c>
    </row>
    <row r="24" spans="1:21" x14ac:dyDescent="0.25">
      <c r="U24" s="9">
        <f>IF(C24&lt;&gt;0,C24-Gear!$C$5,0)</f>
        <v>0</v>
      </c>
    </row>
    <row r="25" spans="1:21" x14ac:dyDescent="0.25">
      <c r="U25" s="9">
        <f>IF(C25&lt;&gt;0,C25-Gear!$C$5,0)</f>
        <v>0</v>
      </c>
    </row>
    <row r="26" spans="1:21" x14ac:dyDescent="0.25">
      <c r="U26" s="9">
        <f>IF(C26&lt;&gt;0,C26-Gear!$C$5,0)</f>
        <v>0</v>
      </c>
    </row>
    <row r="27" spans="1:21" x14ac:dyDescent="0.25">
      <c r="U27" s="9">
        <f>IF(C27&lt;&gt;0,C27-Gear!$C$5,0)</f>
        <v>0</v>
      </c>
    </row>
    <row r="28" spans="1:21" x14ac:dyDescent="0.25">
      <c r="U28" s="9">
        <f>IF(C28&lt;&gt;0,C28-Gear!$C$5,0)</f>
        <v>0</v>
      </c>
    </row>
    <row r="29" spans="1:21" x14ac:dyDescent="0.25">
      <c r="U29" s="9">
        <f>IF(C29&lt;&gt;0,C29-Gear!$C$5,0)</f>
        <v>0</v>
      </c>
    </row>
    <row r="30" spans="1:21" x14ac:dyDescent="0.25">
      <c r="U30" s="9">
        <f>IF(C30&lt;&gt;0,C30-Gear!$C$5,0)</f>
        <v>0</v>
      </c>
    </row>
    <row r="31" spans="1:21" x14ac:dyDescent="0.25">
      <c r="U31" s="9">
        <f>IF(C31&lt;&gt;0,C31-Gear!$C$5,0)</f>
        <v>0</v>
      </c>
    </row>
    <row r="32" spans="1:21" x14ac:dyDescent="0.25">
      <c r="U32" s="9">
        <f>IF(C32&lt;&gt;0,C32-Gear!$C$5,0)</f>
        <v>0</v>
      </c>
    </row>
    <row r="33" spans="21:21" x14ac:dyDescent="0.25">
      <c r="U33" s="9">
        <f>IF(C33&lt;&gt;0,C33-Gear!$C$5,0)</f>
        <v>0</v>
      </c>
    </row>
    <row r="34" spans="21:21" x14ac:dyDescent="0.25">
      <c r="U34" s="9">
        <f>IF(C34&lt;&gt;0,C34-Gear!$C$5,0)</f>
        <v>0</v>
      </c>
    </row>
    <row r="35" spans="21:21" x14ac:dyDescent="0.25">
      <c r="U35" s="9">
        <f>IF(C35&lt;&gt;0,C35-Gear!$C$5,0)</f>
        <v>0</v>
      </c>
    </row>
    <row r="36" spans="21:21" x14ac:dyDescent="0.25">
      <c r="U36" s="9">
        <f>IF(C36&lt;&gt;0,C36-Gear!$C$5,0)</f>
        <v>0</v>
      </c>
    </row>
    <row r="37" spans="21:21" x14ac:dyDescent="0.25">
      <c r="U37" s="9">
        <f>IF(C37&lt;&gt;0,C37-Gear!$C$5,0)</f>
        <v>0</v>
      </c>
    </row>
    <row r="38" spans="21:21" x14ac:dyDescent="0.25">
      <c r="U38" s="9">
        <f>IF(C38&lt;&gt;0,C38-Gear!$C$5,0)</f>
        <v>0</v>
      </c>
    </row>
    <row r="39" spans="21:21" x14ac:dyDescent="0.25">
      <c r="U39" s="9">
        <f>IF(C39&lt;&gt;0,C39-Gear!$C$5,0)</f>
        <v>0</v>
      </c>
    </row>
    <row r="40" spans="21:21" x14ac:dyDescent="0.25">
      <c r="U40" s="9">
        <f>IF(C40&lt;&gt;0,C40-Gear!$C$5,0)</f>
        <v>0</v>
      </c>
    </row>
    <row r="41" spans="21:21" x14ac:dyDescent="0.25">
      <c r="U41" s="9">
        <f>IF(C41&lt;&gt;0,C41-Gear!$C$5,0)</f>
        <v>0</v>
      </c>
    </row>
    <row r="42" spans="21:21" x14ac:dyDescent="0.25">
      <c r="U42" s="9">
        <f>IF(C42&lt;&gt;0,C42-Gear!$C$5,0)</f>
        <v>0</v>
      </c>
    </row>
    <row r="43" spans="21:21" x14ac:dyDescent="0.25">
      <c r="U43" s="9">
        <f>IF(C43&lt;&gt;0,C43-Gear!$C$5,0)</f>
        <v>0</v>
      </c>
    </row>
    <row r="44" spans="21:21" x14ac:dyDescent="0.25">
      <c r="U44" s="9">
        <f>IF(C44&lt;&gt;0,C44-Gear!$C$5,0)</f>
        <v>0</v>
      </c>
    </row>
    <row r="45" spans="21:21" x14ac:dyDescent="0.25">
      <c r="U45" s="9">
        <f>IF(C45&lt;&gt;0,C45-Gear!$C$5,0)</f>
        <v>0</v>
      </c>
    </row>
    <row r="46" spans="21:21" x14ac:dyDescent="0.25">
      <c r="U46" s="9">
        <f>IF(C46&lt;&gt;0,C46-Gear!$C$5,0)</f>
        <v>0</v>
      </c>
    </row>
    <row r="47" spans="21:21" x14ac:dyDescent="0.25">
      <c r="U47" s="9">
        <f>IF(C47&lt;&gt;0,C47-Gear!$C$5,0)</f>
        <v>0</v>
      </c>
    </row>
    <row r="48" spans="21:21" x14ac:dyDescent="0.25">
      <c r="U48" s="9">
        <f>IF(C48&lt;&gt;0,C48-Gear!$C$5,0)</f>
        <v>0</v>
      </c>
    </row>
    <row r="49" spans="21:21" x14ac:dyDescent="0.25">
      <c r="U49" s="9">
        <f>IF(C49&lt;&gt;0,C49-Gear!$C$5,0)</f>
        <v>0</v>
      </c>
    </row>
    <row r="50" spans="21:21" x14ac:dyDescent="0.25">
      <c r="U50" s="9">
        <f>IF(C50&lt;&gt;0,C50-Gear!$C$5,0)</f>
        <v>0</v>
      </c>
    </row>
    <row r="51" spans="21:21" x14ac:dyDescent="0.25">
      <c r="U51" s="9">
        <f>IF(C51&lt;&gt;0,C51-Gear!$C$5,0)</f>
        <v>0</v>
      </c>
    </row>
    <row r="52" spans="21:21" x14ac:dyDescent="0.25">
      <c r="U52" s="9">
        <f>IF(C52&lt;&gt;0,C52-Gear!$C$5,0)</f>
        <v>0</v>
      </c>
    </row>
    <row r="53" spans="21:21" x14ac:dyDescent="0.25">
      <c r="U53" s="9">
        <f>IF(C53&lt;&gt;0,C53-Gear!$C$5,0)</f>
        <v>0</v>
      </c>
    </row>
    <row r="54" spans="21:21" x14ac:dyDescent="0.25">
      <c r="U54" s="9">
        <f>IF(C54&lt;&gt;0,C54-Gear!$C$5,0)</f>
        <v>0</v>
      </c>
    </row>
    <row r="55" spans="21:21" x14ac:dyDescent="0.25">
      <c r="U55" s="9">
        <f>IF(C55&lt;&gt;0,C55-Gear!$C$5,0)</f>
        <v>0</v>
      </c>
    </row>
    <row r="56" spans="21:21" x14ac:dyDescent="0.25">
      <c r="U56" s="9">
        <f>IF(C56&lt;&gt;0,C56-Gear!$C$5,0)</f>
        <v>0</v>
      </c>
    </row>
    <row r="57" spans="21:21" x14ac:dyDescent="0.25">
      <c r="U57" s="9">
        <f>IF(C57&lt;&gt;0,C57-Gear!$C$5,0)</f>
        <v>0</v>
      </c>
    </row>
    <row r="58" spans="21:21" x14ac:dyDescent="0.25">
      <c r="U58" s="9">
        <f>IF(C58&lt;&gt;0,C58-Gear!$C$5,0)</f>
        <v>0</v>
      </c>
    </row>
    <row r="59" spans="21:21" x14ac:dyDescent="0.25">
      <c r="U59" s="9">
        <f>IF(C59&lt;&gt;0,C59-Gear!$C$5,0)</f>
        <v>0</v>
      </c>
    </row>
    <row r="60" spans="21:21" x14ac:dyDescent="0.25">
      <c r="U60" s="9">
        <f>IF(C60&lt;&gt;0,C60-Gear!$C$5,0)</f>
        <v>0</v>
      </c>
    </row>
    <row r="61" spans="21:21" x14ac:dyDescent="0.25">
      <c r="U61" s="9">
        <f>IF(C61&lt;&gt;0,C61-Gear!$C$5,0)</f>
        <v>0</v>
      </c>
    </row>
    <row r="62" spans="21:21" x14ac:dyDescent="0.25">
      <c r="U62" s="9">
        <f>IF(C62&lt;&gt;0,C62-Gear!$C$5,0)</f>
        <v>0</v>
      </c>
    </row>
    <row r="63" spans="21:21" x14ac:dyDescent="0.25">
      <c r="U63" s="9">
        <f>IF(C63&lt;&gt;0,C63-Gear!$C$5,0)</f>
        <v>0</v>
      </c>
    </row>
    <row r="64" spans="21:21" x14ac:dyDescent="0.25">
      <c r="U64" s="9">
        <f>IF(C64&lt;&gt;0,C64-Gear!$C$5,0)</f>
        <v>0</v>
      </c>
    </row>
    <row r="65" spans="21:21" x14ac:dyDescent="0.25">
      <c r="U65" s="9">
        <f>IF(C65&lt;&gt;0,C65-Gear!$C$5,0)</f>
        <v>0</v>
      </c>
    </row>
    <row r="66" spans="21:21" x14ac:dyDescent="0.25">
      <c r="U66" s="9">
        <f>IF(C66&lt;&gt;0,C66-Gear!$C$5,0)</f>
        <v>0</v>
      </c>
    </row>
    <row r="67" spans="21:21" x14ac:dyDescent="0.25">
      <c r="U67" s="9">
        <f>IF(C67&lt;&gt;0,C67-Gear!$C$5,0)</f>
        <v>0</v>
      </c>
    </row>
    <row r="68" spans="21:21" x14ac:dyDescent="0.25">
      <c r="U68" s="9">
        <f>IF(C68&lt;&gt;0,C68-Gear!$C$5,0)</f>
        <v>0</v>
      </c>
    </row>
    <row r="69" spans="21:21" x14ac:dyDescent="0.25">
      <c r="U69" s="9">
        <f>IF(C69&lt;&gt;0,C69-Gear!$C$5,0)</f>
        <v>0</v>
      </c>
    </row>
    <row r="70" spans="21:21" x14ac:dyDescent="0.25">
      <c r="U70" s="9">
        <f>IF(C70&lt;&gt;0,C70-Gear!$C$5,0)</f>
        <v>0</v>
      </c>
    </row>
    <row r="71" spans="21:21" x14ac:dyDescent="0.25">
      <c r="U71" s="9">
        <f>IF(C71&lt;&gt;0,C71-Gear!$C$5,0)</f>
        <v>0</v>
      </c>
    </row>
    <row r="72" spans="21:21" x14ac:dyDescent="0.25">
      <c r="U72" s="9">
        <f>IF(C72&lt;&gt;0,C72-Gear!$C$5,0)</f>
        <v>0</v>
      </c>
    </row>
    <row r="73" spans="21:21" x14ac:dyDescent="0.25">
      <c r="U73" s="9">
        <f>IF(C73&lt;&gt;0,C73-Gear!$C$5,0)</f>
        <v>0</v>
      </c>
    </row>
    <row r="74" spans="21:21" x14ac:dyDescent="0.25">
      <c r="U74" s="9">
        <f>IF(C74&lt;&gt;0,C74-Gear!$C$5,0)</f>
        <v>0</v>
      </c>
    </row>
    <row r="75" spans="21:21" x14ac:dyDescent="0.25">
      <c r="U75" s="9">
        <f>IF(C75&lt;&gt;0,C75-Gear!$C$5,0)</f>
        <v>0</v>
      </c>
    </row>
    <row r="76" spans="21:21" x14ac:dyDescent="0.25">
      <c r="U76" s="9">
        <f>IF(C76&lt;&gt;0,C76-Gear!$C$5,0)</f>
        <v>0</v>
      </c>
    </row>
    <row r="77" spans="21:21" x14ac:dyDescent="0.25">
      <c r="U77" s="9">
        <f>IF(C77&lt;&gt;0,C77-Gear!$C$5,0)</f>
        <v>0</v>
      </c>
    </row>
    <row r="78" spans="21:21" x14ac:dyDescent="0.25">
      <c r="U78" s="9">
        <f>IF(C78&lt;&gt;0,C78-Gear!$C$5,0)</f>
        <v>0</v>
      </c>
    </row>
    <row r="79" spans="21:21" x14ac:dyDescent="0.25">
      <c r="U79" s="9">
        <f>IF(C79&lt;&gt;0,C79-Gear!$C$5,0)</f>
        <v>0</v>
      </c>
    </row>
    <row r="80" spans="21:21" x14ac:dyDescent="0.25">
      <c r="U80" s="9">
        <f>IF(C80&lt;&gt;0,C80-Gear!$C$5,0)</f>
        <v>0</v>
      </c>
    </row>
    <row r="81" spans="21:21" x14ac:dyDescent="0.25">
      <c r="U81" s="9">
        <f>IF(C81&lt;&gt;0,C81-Gear!$C$5,0)</f>
        <v>0</v>
      </c>
    </row>
    <row r="82" spans="21:21" x14ac:dyDescent="0.25">
      <c r="U82" s="9">
        <f>IF(C82&lt;&gt;0,C82-Gear!$C$5,0)</f>
        <v>0</v>
      </c>
    </row>
    <row r="83" spans="21:21" x14ac:dyDescent="0.25">
      <c r="U83" s="9">
        <f>IF(C83&lt;&gt;0,C83-Gear!$C$5,0)</f>
        <v>0</v>
      </c>
    </row>
    <row r="84" spans="21:21" x14ac:dyDescent="0.25">
      <c r="U84" s="9">
        <f>IF(C84&lt;&gt;0,C84-Gear!$C$5,0)</f>
        <v>0</v>
      </c>
    </row>
    <row r="85" spans="21:21" x14ac:dyDescent="0.25">
      <c r="U85" s="9">
        <f>IF(C85&lt;&gt;0,C85-Gear!$C$5,0)</f>
        <v>0</v>
      </c>
    </row>
    <row r="86" spans="21:21" x14ac:dyDescent="0.25">
      <c r="U86" s="9">
        <f>IF(C86&lt;&gt;0,C86-Gear!$C$5,0)</f>
        <v>0</v>
      </c>
    </row>
    <row r="87" spans="21:21" x14ac:dyDescent="0.25">
      <c r="U87" s="9">
        <f>IF(C87&lt;&gt;0,C87-Gear!$C$5,0)</f>
        <v>0</v>
      </c>
    </row>
    <row r="88" spans="21:21" x14ac:dyDescent="0.25">
      <c r="U88" s="9">
        <f>IF(C88&lt;&gt;0,C88-Gear!$C$5,0)</f>
        <v>0</v>
      </c>
    </row>
    <row r="89" spans="21:21" x14ac:dyDescent="0.25">
      <c r="U89" s="9">
        <f>IF(C89&lt;&gt;0,C89-Gear!$C$5,0)</f>
        <v>0</v>
      </c>
    </row>
    <row r="90" spans="21:21" x14ac:dyDescent="0.25">
      <c r="U90" s="9">
        <f>IF(C90&lt;&gt;0,C90-Gear!$C$5,0)</f>
        <v>0</v>
      </c>
    </row>
    <row r="91" spans="21:21" x14ac:dyDescent="0.25">
      <c r="U91" s="9">
        <f>IF(C91&lt;&gt;0,C91-Gear!$C$5,0)</f>
        <v>0</v>
      </c>
    </row>
    <row r="92" spans="21:21" x14ac:dyDescent="0.25">
      <c r="U92" s="9">
        <f>IF(C92&lt;&gt;0,C92-Gear!$C$5,0)</f>
        <v>0</v>
      </c>
    </row>
    <row r="93" spans="21:21" x14ac:dyDescent="0.25">
      <c r="U93" s="9">
        <f>IF(C93&lt;&gt;0,C93-Gear!$C$5,0)</f>
        <v>0</v>
      </c>
    </row>
    <row r="94" spans="21:21" x14ac:dyDescent="0.25">
      <c r="U94" s="9">
        <f>IF(C94&lt;&gt;0,C94-Gear!$C$5,0)</f>
        <v>0</v>
      </c>
    </row>
    <row r="95" spans="21:21" x14ac:dyDescent="0.25">
      <c r="U95" s="9">
        <f>IF(C95&lt;&gt;0,C95-Gear!$C$5,0)</f>
        <v>0</v>
      </c>
    </row>
    <row r="96" spans="21:21" x14ac:dyDescent="0.25">
      <c r="U96" s="9">
        <f>IF(C96&lt;&gt;0,C96-Gear!$C$5,0)</f>
        <v>0</v>
      </c>
    </row>
    <row r="97" spans="21:21" x14ac:dyDescent="0.25">
      <c r="U97" s="9">
        <f>IF(C97&lt;&gt;0,C97-Gear!$C$5,0)</f>
        <v>0</v>
      </c>
    </row>
    <row r="98" spans="21:21" x14ac:dyDescent="0.25">
      <c r="U98" s="9">
        <f>IF(C98&lt;&gt;0,C98-Gear!$C$5,0)</f>
        <v>0</v>
      </c>
    </row>
    <row r="99" spans="21:21" x14ac:dyDescent="0.25">
      <c r="U99" s="9">
        <f>IF(C99&lt;&gt;0,C99-Gear!$C$5,0)</f>
        <v>0</v>
      </c>
    </row>
    <row r="100" spans="21:21" x14ac:dyDescent="0.25">
      <c r="U100" s="9">
        <f>IF(C100&lt;&gt;0,C100-Gear!$C$5,0)</f>
        <v>0</v>
      </c>
    </row>
    <row r="101" spans="21:21" x14ac:dyDescent="0.25">
      <c r="U101" s="9">
        <f>IF(C101&lt;&gt;0,C101-Gear!$C$5,0)</f>
        <v>0</v>
      </c>
    </row>
    <row r="102" spans="21:21" x14ac:dyDescent="0.25">
      <c r="U102" s="9">
        <f>IF(C102&lt;&gt;0,C102-Gear!$C$5,0)</f>
        <v>0</v>
      </c>
    </row>
    <row r="103" spans="21:21" x14ac:dyDescent="0.25">
      <c r="U103" s="9">
        <f>IF(C103&lt;&gt;0,C103-Gear!$C$5,0)</f>
        <v>0</v>
      </c>
    </row>
    <row r="104" spans="21:21" x14ac:dyDescent="0.25">
      <c r="U104" s="9">
        <f>IF(C104&lt;&gt;0,C104-Gear!$C$5,0)</f>
        <v>0</v>
      </c>
    </row>
    <row r="105" spans="21:21" x14ac:dyDescent="0.25">
      <c r="U105" s="9">
        <f>IF(C105&lt;&gt;0,C105-Gear!$C$5,0)</f>
        <v>0</v>
      </c>
    </row>
    <row r="106" spans="21:21" x14ac:dyDescent="0.25">
      <c r="U106" s="9">
        <f>IF(C106&lt;&gt;0,C106-Gear!$C$5,0)</f>
        <v>0</v>
      </c>
    </row>
    <row r="107" spans="21:21" x14ac:dyDescent="0.25">
      <c r="U107" s="9">
        <f>IF(C107&lt;&gt;0,C107-Gear!$C$5,0)</f>
        <v>0</v>
      </c>
    </row>
    <row r="108" spans="21:21" x14ac:dyDescent="0.25">
      <c r="U108" s="9">
        <f>IF(C108&lt;&gt;0,C108-Gear!$C$5,0)</f>
        <v>0</v>
      </c>
    </row>
    <row r="109" spans="21:21" x14ac:dyDescent="0.25">
      <c r="U109" s="9">
        <f>IF(C109&lt;&gt;0,C109-Gear!$C$5,0)</f>
        <v>0</v>
      </c>
    </row>
    <row r="110" spans="21:21" x14ac:dyDescent="0.25">
      <c r="U110" s="9">
        <f>IF(C110&lt;&gt;0,C110-Gear!$C$5,0)</f>
        <v>0</v>
      </c>
    </row>
    <row r="111" spans="21:21" x14ac:dyDescent="0.25">
      <c r="U111" s="9">
        <f>IF(C111&lt;&gt;0,C111-Gear!$C$5,0)</f>
        <v>0</v>
      </c>
    </row>
    <row r="112" spans="21:21" x14ac:dyDescent="0.25">
      <c r="U112" s="9">
        <f>IF(C112&lt;&gt;0,C112-Gear!$C$5,0)</f>
        <v>0</v>
      </c>
    </row>
    <row r="113" spans="21:21" x14ac:dyDescent="0.25">
      <c r="U113" s="9">
        <f>IF(C113&lt;&gt;0,C113-Gear!$C$5,0)</f>
        <v>0</v>
      </c>
    </row>
    <row r="114" spans="21:21" x14ac:dyDescent="0.25">
      <c r="U114" s="9">
        <f>IF(C114&lt;&gt;0,C114-Gear!$C$5,0)</f>
        <v>0</v>
      </c>
    </row>
    <row r="115" spans="21:21" x14ac:dyDescent="0.25">
      <c r="U115" s="9">
        <f>IF(C115&lt;&gt;0,C115-Gear!$C$5,0)</f>
        <v>0</v>
      </c>
    </row>
    <row r="116" spans="21:21" x14ac:dyDescent="0.25">
      <c r="U116" s="9">
        <f>IF(C116&lt;&gt;0,C116-Gear!$C$5,0)</f>
        <v>0</v>
      </c>
    </row>
    <row r="117" spans="21:21" x14ac:dyDescent="0.25">
      <c r="U117" s="9">
        <f>IF(C117&lt;&gt;0,C117-Gear!$C$5,0)</f>
        <v>0</v>
      </c>
    </row>
    <row r="118" spans="21:21" x14ac:dyDescent="0.25">
      <c r="U118" s="9">
        <f>IF(C118&lt;&gt;0,C118-Gear!$C$5,0)</f>
        <v>0</v>
      </c>
    </row>
    <row r="119" spans="21:21" x14ac:dyDescent="0.25">
      <c r="U119" s="9">
        <f>IF(C119&lt;&gt;0,C119-Gear!$C$5,0)</f>
        <v>0</v>
      </c>
    </row>
    <row r="120" spans="21:21" x14ac:dyDescent="0.25">
      <c r="U120" s="9">
        <f>IF(C120&lt;&gt;0,C120-Gear!$C$5,0)</f>
        <v>0</v>
      </c>
    </row>
    <row r="121" spans="21:21" x14ac:dyDescent="0.25">
      <c r="U121" s="9">
        <f>IF(C121&lt;&gt;0,C121-Gear!$C$5,0)</f>
        <v>0</v>
      </c>
    </row>
    <row r="122" spans="21:21" x14ac:dyDescent="0.25">
      <c r="U122" s="9">
        <f>IF(C122&lt;&gt;0,C122-Gear!$C$5,0)</f>
        <v>0</v>
      </c>
    </row>
    <row r="123" spans="21:21" x14ac:dyDescent="0.25">
      <c r="U123" s="9">
        <f>IF(C123&lt;&gt;0,C123-Gear!$C$5,0)</f>
        <v>0</v>
      </c>
    </row>
    <row r="124" spans="21:21" x14ac:dyDescent="0.25">
      <c r="U124" s="9">
        <f>IF(C124&lt;&gt;0,C124-Gear!$C$5,0)</f>
        <v>0</v>
      </c>
    </row>
    <row r="125" spans="21:21" x14ac:dyDescent="0.25">
      <c r="U125" s="9">
        <f>IF(C125&lt;&gt;0,C125-Gear!$C$5,0)</f>
        <v>0</v>
      </c>
    </row>
    <row r="126" spans="21:21" x14ac:dyDescent="0.25">
      <c r="U126" s="9">
        <f>IF(C126&lt;&gt;0,C126-Gear!$C$5,0)</f>
        <v>0</v>
      </c>
    </row>
    <row r="127" spans="21:21" x14ac:dyDescent="0.25">
      <c r="U127" s="9">
        <f>IF(C127&lt;&gt;0,C127-Gear!$C$5,0)</f>
        <v>0</v>
      </c>
    </row>
    <row r="128" spans="21:21" x14ac:dyDescent="0.25">
      <c r="U128" s="9">
        <f>IF(C128&lt;&gt;0,C128-Gear!$C$5,0)</f>
        <v>0</v>
      </c>
    </row>
    <row r="129" spans="21:21" x14ac:dyDescent="0.25">
      <c r="U129" s="9">
        <f>IF(C129&lt;&gt;0,C129-Gear!$C$5,0)</f>
        <v>0</v>
      </c>
    </row>
    <row r="130" spans="21:21" x14ac:dyDescent="0.25">
      <c r="U130" s="9">
        <f>IF(C130&lt;&gt;0,C130-Gear!$C$5,0)</f>
        <v>0</v>
      </c>
    </row>
    <row r="131" spans="21:21" x14ac:dyDescent="0.25">
      <c r="U131" s="9">
        <f>IF(C131&lt;&gt;0,C131-Gear!$C$5,0)</f>
        <v>0</v>
      </c>
    </row>
    <row r="132" spans="21:21" x14ac:dyDescent="0.25">
      <c r="U132" s="9">
        <f>IF(C132&lt;&gt;0,C132-Gear!$C$5,0)</f>
        <v>0</v>
      </c>
    </row>
    <row r="133" spans="21:21" x14ac:dyDescent="0.25">
      <c r="U133" s="9">
        <f>IF(C133&lt;&gt;0,C133-Gear!$C$5,0)</f>
        <v>0</v>
      </c>
    </row>
    <row r="134" spans="21:21" x14ac:dyDescent="0.25">
      <c r="U134" s="9">
        <f>IF(C134&lt;&gt;0,C134-Gear!$C$5,0)</f>
        <v>0</v>
      </c>
    </row>
    <row r="135" spans="21:21" x14ac:dyDescent="0.25">
      <c r="U135" s="9">
        <f>IF(C135&lt;&gt;0,C135-Gear!$C$5,0)</f>
        <v>0</v>
      </c>
    </row>
    <row r="136" spans="21:21" x14ac:dyDescent="0.25">
      <c r="U136" s="9">
        <f>IF(C136&lt;&gt;0,C136-Gear!$C$5,0)</f>
        <v>0</v>
      </c>
    </row>
    <row r="137" spans="21:21" x14ac:dyDescent="0.25">
      <c r="U137" s="9">
        <f>IF(C137&lt;&gt;0,C137-Gear!$C$5,0)</f>
        <v>0</v>
      </c>
    </row>
    <row r="138" spans="21:21" x14ac:dyDescent="0.25">
      <c r="U138" s="9">
        <f>IF(C138&lt;&gt;0,C138-Gear!$C$5,0)</f>
        <v>0</v>
      </c>
    </row>
    <row r="139" spans="21:21" x14ac:dyDescent="0.25">
      <c r="U139" s="9">
        <f>IF(C139&lt;&gt;0,C139-Gear!$C$5,0)</f>
        <v>0</v>
      </c>
    </row>
    <row r="140" spans="21:21" x14ac:dyDescent="0.25">
      <c r="U140" s="9">
        <f>IF(C140&lt;&gt;0,C140-Gear!$C$5,0)</f>
        <v>0</v>
      </c>
    </row>
    <row r="141" spans="21:21" x14ac:dyDescent="0.25">
      <c r="U141" s="9">
        <f>IF(C141&lt;&gt;0,C141-Gear!$C$5,0)</f>
        <v>0</v>
      </c>
    </row>
    <row r="142" spans="21:21" x14ac:dyDescent="0.25">
      <c r="U142" s="9">
        <f>IF(C142&lt;&gt;0,C142-Gear!$C$5,0)</f>
        <v>0</v>
      </c>
    </row>
    <row r="143" spans="21:21" x14ac:dyDescent="0.25">
      <c r="U143" s="9">
        <f>IF(C143&lt;&gt;0,C143-Gear!$C$5,0)</f>
        <v>0</v>
      </c>
    </row>
    <row r="144" spans="21:21" x14ac:dyDescent="0.25">
      <c r="U144" s="9">
        <f>IF(C144&lt;&gt;0,C144-Gear!$C$5,0)</f>
        <v>0</v>
      </c>
    </row>
    <row r="145" spans="21:21" x14ac:dyDescent="0.25">
      <c r="U145" s="9">
        <f>IF(C145&lt;&gt;0,C145-Gear!$C$5,0)</f>
        <v>0</v>
      </c>
    </row>
    <row r="146" spans="21:21" x14ac:dyDescent="0.25">
      <c r="U146" s="9">
        <f>IF(C146&lt;&gt;0,C146-Gear!$C$5,0)</f>
        <v>0</v>
      </c>
    </row>
    <row r="147" spans="21:21" x14ac:dyDescent="0.25">
      <c r="U147" s="9">
        <f>IF(C147&lt;&gt;0,C147-Gear!$C$5,0)</f>
        <v>0</v>
      </c>
    </row>
    <row r="148" spans="21:21" x14ac:dyDescent="0.25">
      <c r="U148" s="9">
        <f>IF(C148&lt;&gt;0,C148-Gear!$C$5,0)</f>
        <v>0</v>
      </c>
    </row>
    <row r="149" spans="21:21" x14ac:dyDescent="0.25">
      <c r="U149" s="9">
        <f>IF(C149&lt;&gt;0,C149-Gear!$C$5,0)</f>
        <v>0</v>
      </c>
    </row>
    <row r="150" spans="21:21" x14ac:dyDescent="0.25">
      <c r="U150" s="9">
        <f>IF(C150&lt;&gt;0,C150-Gear!$C$5,0)</f>
        <v>0</v>
      </c>
    </row>
    <row r="151" spans="21:21" x14ac:dyDescent="0.25">
      <c r="U151" s="9">
        <f>IF(C151&lt;&gt;0,C151-Gear!$C$5,0)</f>
        <v>0</v>
      </c>
    </row>
    <row r="152" spans="21:21" x14ac:dyDescent="0.25">
      <c r="U152" s="9">
        <f>IF(C152&lt;&gt;0,C152-Gear!$C$5,0)</f>
        <v>0</v>
      </c>
    </row>
    <row r="153" spans="21:21" x14ac:dyDescent="0.25">
      <c r="U153" s="9">
        <f>IF(C153&lt;&gt;0,C153-Gear!$C$5,0)</f>
        <v>0</v>
      </c>
    </row>
    <row r="154" spans="21:21" x14ac:dyDescent="0.25">
      <c r="U154" s="9">
        <f>IF(C154&lt;&gt;0,C154-Gear!$C$5,0)</f>
        <v>0</v>
      </c>
    </row>
    <row r="155" spans="21:21" x14ac:dyDescent="0.25">
      <c r="U155" s="9">
        <f>IF(C155&lt;&gt;0,C155-Gear!$C$5,0)</f>
        <v>0</v>
      </c>
    </row>
    <row r="156" spans="21:21" x14ac:dyDescent="0.25">
      <c r="U156" s="9">
        <f>IF(C156&lt;&gt;0,C156-Gear!$C$5,0)</f>
        <v>0</v>
      </c>
    </row>
    <row r="157" spans="21:21" x14ac:dyDescent="0.25">
      <c r="U157" s="9">
        <f>IF(C157&lt;&gt;0,C157-Gear!$C$5,0)</f>
        <v>0</v>
      </c>
    </row>
    <row r="158" spans="21:21" x14ac:dyDescent="0.25">
      <c r="U158" s="9">
        <f>IF(C158&lt;&gt;0,C158-Gear!$C$5,0)</f>
        <v>0</v>
      </c>
    </row>
    <row r="159" spans="21:21" x14ac:dyDescent="0.25">
      <c r="U159" s="9">
        <f>IF(C159&lt;&gt;0,C159-Gear!$C$5,0)</f>
        <v>0</v>
      </c>
    </row>
    <row r="160" spans="21:21" x14ac:dyDescent="0.25">
      <c r="U160" s="9">
        <f>IF(C160&lt;&gt;0,C160-Gear!$C$5,0)</f>
        <v>0</v>
      </c>
    </row>
    <row r="161" spans="21:21" x14ac:dyDescent="0.25">
      <c r="U161" s="9">
        <f>IF(C161&lt;&gt;0,C161-Gear!$C$5,0)</f>
        <v>0</v>
      </c>
    </row>
    <row r="162" spans="21:21" x14ac:dyDescent="0.25">
      <c r="U162" s="9">
        <f>IF(C162&lt;&gt;0,C162-Gear!$C$5,0)</f>
        <v>0</v>
      </c>
    </row>
    <row r="163" spans="21:21" x14ac:dyDescent="0.25">
      <c r="U163" s="9">
        <f>IF(C163&lt;&gt;0,C163-Gear!$C$5,0)</f>
        <v>0</v>
      </c>
    </row>
    <row r="164" spans="21:21" x14ac:dyDescent="0.25">
      <c r="U164" s="9">
        <f>IF(C164&lt;&gt;0,C164-Gear!$C$5,0)</f>
        <v>0</v>
      </c>
    </row>
    <row r="165" spans="21:21" x14ac:dyDescent="0.25">
      <c r="U165" s="9">
        <f>IF(C165&lt;&gt;0,C165-Gear!$C$5,0)</f>
        <v>0</v>
      </c>
    </row>
    <row r="166" spans="21:21" x14ac:dyDescent="0.25">
      <c r="U166" s="9">
        <f>IF(C166&lt;&gt;0,C166-Gear!$C$5,0)</f>
        <v>0</v>
      </c>
    </row>
    <row r="167" spans="21:21" x14ac:dyDescent="0.25">
      <c r="U167" s="9">
        <f>IF(C167&lt;&gt;0,C167-Gear!$C$5,0)</f>
        <v>0</v>
      </c>
    </row>
    <row r="168" spans="21:21" x14ac:dyDescent="0.25">
      <c r="U168" s="9">
        <f>IF(C168&lt;&gt;0,C168-Gear!$C$5,0)</f>
        <v>0</v>
      </c>
    </row>
    <row r="169" spans="21:21" x14ac:dyDescent="0.25">
      <c r="U169" s="9">
        <f>IF(C169&lt;&gt;0,C169-Gear!$C$5,0)</f>
        <v>0</v>
      </c>
    </row>
    <row r="170" spans="21:21" x14ac:dyDescent="0.25">
      <c r="U170" s="9">
        <f>IF(C170&lt;&gt;0,C170-Gear!$C$5,0)</f>
        <v>0</v>
      </c>
    </row>
    <row r="171" spans="21:21" x14ac:dyDescent="0.25">
      <c r="U171" s="9">
        <f>IF(C171&lt;&gt;0,C171-Gear!$C$5,0)</f>
        <v>0</v>
      </c>
    </row>
    <row r="172" spans="21:21" x14ac:dyDescent="0.25">
      <c r="U172" s="9">
        <f>IF(C172&lt;&gt;0,C172-Gear!$C$5,0)</f>
        <v>0</v>
      </c>
    </row>
    <row r="173" spans="21:21" x14ac:dyDescent="0.25">
      <c r="U173" s="9">
        <f>IF(C173&lt;&gt;0,C173-Gear!$C$5,0)</f>
        <v>0</v>
      </c>
    </row>
    <row r="174" spans="21:21" x14ac:dyDescent="0.25">
      <c r="U174" s="9">
        <f>IF(C174&lt;&gt;0,C174-Gear!$C$5,0)</f>
        <v>0</v>
      </c>
    </row>
    <row r="175" spans="21:21" x14ac:dyDescent="0.25">
      <c r="U175" s="9">
        <f>IF(C175&lt;&gt;0,C175-Gear!$C$5,0)</f>
        <v>0</v>
      </c>
    </row>
    <row r="176" spans="21:21" x14ac:dyDescent="0.25">
      <c r="U176" s="9">
        <f>IF(C176&lt;&gt;0,C176-Gear!$C$5,0)</f>
        <v>0</v>
      </c>
    </row>
    <row r="177" spans="21:21" x14ac:dyDescent="0.25">
      <c r="U177" s="9">
        <f>IF(C177&lt;&gt;0,C177-Gear!$C$5,0)</f>
        <v>0</v>
      </c>
    </row>
    <row r="178" spans="21:21" x14ac:dyDescent="0.25">
      <c r="U178" s="9">
        <f>IF(C178&lt;&gt;0,C178-Gear!$C$5,0)</f>
        <v>0</v>
      </c>
    </row>
    <row r="179" spans="21:21" x14ac:dyDescent="0.25">
      <c r="U179" s="9">
        <f>IF(C179&lt;&gt;0,C179-Gear!$C$5,0)</f>
        <v>0</v>
      </c>
    </row>
    <row r="180" spans="21:21" x14ac:dyDescent="0.25">
      <c r="U180" s="9">
        <f>IF(C180&lt;&gt;0,C180-Gear!$C$5,0)</f>
        <v>0</v>
      </c>
    </row>
    <row r="181" spans="21:21" x14ac:dyDescent="0.25">
      <c r="U181" s="9">
        <f>IF(C181&lt;&gt;0,C181-Gear!$C$5,0)</f>
        <v>0</v>
      </c>
    </row>
    <row r="182" spans="21:21" x14ac:dyDescent="0.25">
      <c r="U182" s="9">
        <f>IF(C182&lt;&gt;0,C182-Gear!$C$5,0)</f>
        <v>0</v>
      </c>
    </row>
    <row r="183" spans="21:21" x14ac:dyDescent="0.25">
      <c r="U183" s="9">
        <f>IF(C183&lt;&gt;0,C183-Gear!$C$5,0)</f>
        <v>0</v>
      </c>
    </row>
    <row r="184" spans="21:21" x14ac:dyDescent="0.25">
      <c r="U184" s="9">
        <f>IF(C184&lt;&gt;0,C184-Gear!$C$5,0)</f>
        <v>0</v>
      </c>
    </row>
    <row r="185" spans="21:21" x14ac:dyDescent="0.25">
      <c r="U185" s="9">
        <f>IF(C185&lt;&gt;0,C185-Gear!$C$5,0)</f>
        <v>0</v>
      </c>
    </row>
    <row r="186" spans="21:21" x14ac:dyDescent="0.25">
      <c r="U186" s="9">
        <f>IF(C186&lt;&gt;0,C186-Gear!$C$5,0)</f>
        <v>0</v>
      </c>
    </row>
    <row r="187" spans="21:21" x14ac:dyDescent="0.25">
      <c r="U187" s="9">
        <f>IF(C187&lt;&gt;0,C187-Gear!$C$5,0)</f>
        <v>0</v>
      </c>
    </row>
    <row r="188" spans="21:21" x14ac:dyDescent="0.25">
      <c r="U188" s="9">
        <f>IF(C188&lt;&gt;0,C188-Gear!$C$5,0)</f>
        <v>0</v>
      </c>
    </row>
    <row r="189" spans="21:21" x14ac:dyDescent="0.25">
      <c r="U189" s="9">
        <f>IF(C189&lt;&gt;0,C189-Gear!$C$5,0)</f>
        <v>0</v>
      </c>
    </row>
    <row r="190" spans="21:21" x14ac:dyDescent="0.25">
      <c r="U190" s="9">
        <f>IF(C190&lt;&gt;0,C190-Gear!$C$5,0)</f>
        <v>0</v>
      </c>
    </row>
    <row r="191" spans="21:21" x14ac:dyDescent="0.25">
      <c r="U191" s="9">
        <f>IF(C191&lt;&gt;0,C191-Gear!$C$5,0)</f>
        <v>0</v>
      </c>
    </row>
    <row r="192" spans="21:21" x14ac:dyDescent="0.25">
      <c r="U192" s="9">
        <f>IF(C192&lt;&gt;0,C192-Gear!$C$5,0)</f>
        <v>0</v>
      </c>
    </row>
    <row r="193" spans="21:21" x14ac:dyDescent="0.25">
      <c r="U193" s="9">
        <f>IF(C193&lt;&gt;0,C193-Gear!$C$5,0)</f>
        <v>0</v>
      </c>
    </row>
    <row r="194" spans="21:21" x14ac:dyDescent="0.25">
      <c r="U194" s="9">
        <f>IF(C194&lt;&gt;0,C194-Gear!$C$5,0)</f>
        <v>0</v>
      </c>
    </row>
    <row r="195" spans="21:21" x14ac:dyDescent="0.25">
      <c r="U195" s="9">
        <f>IF(C195&lt;&gt;0,C195-Gear!$C$5,0)</f>
        <v>0</v>
      </c>
    </row>
    <row r="196" spans="21:21" x14ac:dyDescent="0.25">
      <c r="U196" s="9">
        <f>IF(C196&lt;&gt;0,C196-Gear!$C$5,0)</f>
        <v>0</v>
      </c>
    </row>
    <row r="197" spans="21:21" x14ac:dyDescent="0.25">
      <c r="U197" s="9">
        <f>IF(C197&lt;&gt;0,C197-Gear!$C$5,0)</f>
        <v>0</v>
      </c>
    </row>
    <row r="198" spans="21:21" x14ac:dyDescent="0.25">
      <c r="U198" s="9">
        <f>IF(C198&lt;&gt;0,C198-Gear!$C$5,0)</f>
        <v>0</v>
      </c>
    </row>
    <row r="199" spans="21:21" x14ac:dyDescent="0.25">
      <c r="U199" s="9">
        <f>IF(C199&lt;&gt;0,C199-Gear!$C$5,0)</f>
        <v>0</v>
      </c>
    </row>
    <row r="200" spans="21:21" x14ac:dyDescent="0.25">
      <c r="U200" s="9">
        <f>IF(C200&lt;&gt;0,C200-Gear!$C$5,0)</f>
        <v>0</v>
      </c>
    </row>
    <row r="201" spans="21:21" x14ac:dyDescent="0.25">
      <c r="U201" s="9">
        <f>IF(C201&lt;&gt;0,C201-Gear!$C$5,0)</f>
        <v>0</v>
      </c>
    </row>
    <row r="202" spans="21:21" x14ac:dyDescent="0.25">
      <c r="U202" s="9">
        <f>IF(C202&lt;&gt;0,C202-Gear!$C$5,0)</f>
        <v>0</v>
      </c>
    </row>
    <row r="203" spans="21:21" x14ac:dyDescent="0.25">
      <c r="U203" s="9">
        <f>IF(C203&lt;&gt;0,C203-Gear!$C$5,0)</f>
        <v>0</v>
      </c>
    </row>
    <row r="204" spans="21:21" x14ac:dyDescent="0.25">
      <c r="U204" s="9">
        <f>IF(C204&lt;&gt;0,C204-Gear!$C$5,0)</f>
        <v>0</v>
      </c>
    </row>
    <row r="205" spans="21:21" x14ac:dyDescent="0.25">
      <c r="U205" s="9">
        <f>IF(C205&lt;&gt;0,C205-Gear!$C$5,0)</f>
        <v>0</v>
      </c>
    </row>
    <row r="206" spans="21:21" x14ac:dyDescent="0.25">
      <c r="U206" s="9">
        <f>IF(C206&lt;&gt;0,C206-Gear!$C$5,0)</f>
        <v>0</v>
      </c>
    </row>
    <row r="207" spans="21:21" x14ac:dyDescent="0.25">
      <c r="U207" s="9">
        <f>IF(C207&lt;&gt;0,C207-Gear!$C$5,0)</f>
        <v>0</v>
      </c>
    </row>
    <row r="208" spans="21:21" x14ac:dyDescent="0.25">
      <c r="U208" s="9">
        <f>IF(C208&lt;&gt;0,C208-Gear!$C$5,0)</f>
        <v>0</v>
      </c>
    </row>
    <row r="209" spans="21:21" x14ac:dyDescent="0.25">
      <c r="U209" s="9">
        <f>IF(C209&lt;&gt;0,C209-Gear!$C$5,0)</f>
        <v>0</v>
      </c>
    </row>
    <row r="210" spans="21:21" x14ac:dyDescent="0.25">
      <c r="U210" s="9">
        <f>IF(C210&lt;&gt;0,C210-Gear!$C$5,0)</f>
        <v>0</v>
      </c>
    </row>
    <row r="211" spans="21:21" x14ac:dyDescent="0.25">
      <c r="U211" s="9">
        <f>IF(C211&lt;&gt;0,C211-Gear!$C$5,0)</f>
        <v>0</v>
      </c>
    </row>
    <row r="212" spans="21:21" x14ac:dyDescent="0.25">
      <c r="U212" s="9">
        <f>IF(C212&lt;&gt;0,C212-Gear!$C$5,0)</f>
        <v>0</v>
      </c>
    </row>
    <row r="213" spans="21:21" x14ac:dyDescent="0.25">
      <c r="U213" s="9">
        <f>IF(C213&lt;&gt;0,C213-Gear!$C$5,0)</f>
        <v>0</v>
      </c>
    </row>
    <row r="214" spans="21:21" x14ac:dyDescent="0.25">
      <c r="U214" s="9">
        <f>IF(C214&lt;&gt;0,C214-Gear!$C$5,0)</f>
        <v>0</v>
      </c>
    </row>
    <row r="215" spans="21:21" x14ac:dyDescent="0.25">
      <c r="U215" s="9">
        <f>IF(C215&lt;&gt;0,C215-Gear!$C$5,0)</f>
        <v>0</v>
      </c>
    </row>
    <row r="216" spans="21:21" x14ac:dyDescent="0.25">
      <c r="U216" s="9">
        <f>IF(C216&lt;&gt;0,C216-Gear!$C$5,0)</f>
        <v>0</v>
      </c>
    </row>
    <row r="217" spans="21:21" x14ac:dyDescent="0.25">
      <c r="U217" s="9">
        <f>IF(C217&lt;&gt;0,C217-Gear!$C$5,0)</f>
        <v>0</v>
      </c>
    </row>
    <row r="218" spans="21:21" x14ac:dyDescent="0.25">
      <c r="U218" s="9">
        <f>IF(C218&lt;&gt;0,C218-Gear!$C$5,0)</f>
        <v>0</v>
      </c>
    </row>
    <row r="219" spans="21:21" x14ac:dyDescent="0.25">
      <c r="U219" s="9">
        <f>IF(C219&lt;&gt;0,C219-Gear!$C$5,0)</f>
        <v>0</v>
      </c>
    </row>
    <row r="220" spans="21:21" x14ac:dyDescent="0.25">
      <c r="U220" s="9">
        <f>IF(C220&lt;&gt;0,C220-Gear!$C$5,0)</f>
        <v>0</v>
      </c>
    </row>
    <row r="221" spans="21:21" x14ac:dyDescent="0.25">
      <c r="U221" s="9">
        <f>IF(C221&lt;&gt;0,C221-Gear!$C$5,0)</f>
        <v>0</v>
      </c>
    </row>
    <row r="222" spans="21:21" x14ac:dyDescent="0.25">
      <c r="U222" s="9">
        <f>IF(C222&lt;&gt;0,C222-Gear!$C$5,0)</f>
        <v>0</v>
      </c>
    </row>
    <row r="223" spans="21:21" x14ac:dyDescent="0.25">
      <c r="U223" s="9">
        <f>IF(C223&lt;&gt;0,C223-Gear!$C$5,0)</f>
        <v>0</v>
      </c>
    </row>
    <row r="224" spans="21:21" x14ac:dyDescent="0.25">
      <c r="U224" s="9">
        <f>IF(C224&lt;&gt;0,C224-Gear!$C$5,0)</f>
        <v>0</v>
      </c>
    </row>
    <row r="225" spans="21:21" x14ac:dyDescent="0.25">
      <c r="U225" s="9">
        <f>IF(C225&lt;&gt;0,C225-Gear!$C$5,0)</f>
        <v>0</v>
      </c>
    </row>
    <row r="226" spans="21:21" x14ac:dyDescent="0.25">
      <c r="U226" s="9">
        <f>IF(C226&lt;&gt;0,C226-Gear!$C$5,0)</f>
        <v>0</v>
      </c>
    </row>
    <row r="227" spans="21:21" x14ac:dyDescent="0.25">
      <c r="U227" s="9">
        <f>IF(C227&lt;&gt;0,C227-Gear!$C$5,0)</f>
        <v>0</v>
      </c>
    </row>
    <row r="228" spans="21:21" x14ac:dyDescent="0.25">
      <c r="U228" s="9">
        <f>IF(C228&lt;&gt;0,C228-Gear!$C$5,0)</f>
        <v>0</v>
      </c>
    </row>
    <row r="229" spans="21:21" x14ac:dyDescent="0.25">
      <c r="U229" s="9">
        <f>IF(C229&lt;&gt;0,C229-Gear!$C$5,0)</f>
        <v>0</v>
      </c>
    </row>
    <row r="230" spans="21:21" x14ac:dyDescent="0.25">
      <c r="U230" s="9">
        <f>IF(C230&lt;&gt;0,C230-Gear!$C$5,0)</f>
        <v>0</v>
      </c>
    </row>
    <row r="231" spans="21:21" x14ac:dyDescent="0.25">
      <c r="U231" s="9">
        <f>IF(C231&lt;&gt;0,C231-Gear!$C$5,0)</f>
        <v>0</v>
      </c>
    </row>
    <row r="232" spans="21:21" x14ac:dyDescent="0.25">
      <c r="U232" s="9">
        <f>IF(C232&lt;&gt;0,C232-Gear!$C$5,0)</f>
        <v>0</v>
      </c>
    </row>
    <row r="233" spans="21:21" x14ac:dyDescent="0.25">
      <c r="U233" s="9">
        <f>IF(C233&lt;&gt;0,C233-Gear!$C$5,0)</f>
        <v>0</v>
      </c>
    </row>
    <row r="234" spans="21:21" x14ac:dyDescent="0.25">
      <c r="U234" s="9">
        <f>IF(C234&lt;&gt;0,C234-Gear!$C$5,0)</f>
        <v>0</v>
      </c>
    </row>
    <row r="235" spans="21:21" x14ac:dyDescent="0.25">
      <c r="U235" s="9">
        <f>IF(C235&lt;&gt;0,C235-Gear!$C$5,0)</f>
        <v>0</v>
      </c>
    </row>
    <row r="236" spans="21:21" x14ac:dyDescent="0.25">
      <c r="U236" s="9">
        <f>IF(C236&lt;&gt;0,C236-Gear!$C$5,0)</f>
        <v>0</v>
      </c>
    </row>
    <row r="237" spans="21:21" x14ac:dyDescent="0.25">
      <c r="U237" s="9">
        <f>IF(C237&lt;&gt;0,C237-Gear!$C$5,0)</f>
        <v>0</v>
      </c>
    </row>
    <row r="238" spans="21:21" x14ac:dyDescent="0.25">
      <c r="U238" s="9">
        <f>IF(C238&lt;&gt;0,C238-Gear!$C$5,0)</f>
        <v>0</v>
      </c>
    </row>
    <row r="239" spans="21:21" x14ac:dyDescent="0.25">
      <c r="U239" s="9">
        <f>IF(C239&lt;&gt;0,C239-Gear!$C$5,0)</f>
        <v>0</v>
      </c>
    </row>
    <row r="240" spans="21:21" x14ac:dyDescent="0.25">
      <c r="U240" s="9">
        <f>IF(C240&lt;&gt;0,C240-Gear!$C$5,0)</f>
        <v>0</v>
      </c>
    </row>
    <row r="241" spans="21:21" x14ac:dyDescent="0.25">
      <c r="U241" s="9">
        <f>IF(C241&lt;&gt;0,C241-Gear!$C$5,0)</f>
        <v>0</v>
      </c>
    </row>
    <row r="242" spans="21:21" x14ac:dyDescent="0.25">
      <c r="U242" s="9">
        <f>IF(C242&lt;&gt;0,C242-Gear!$C$5,0)</f>
        <v>0</v>
      </c>
    </row>
    <row r="243" spans="21:21" x14ac:dyDescent="0.25">
      <c r="U243" s="9">
        <f>IF(C243&lt;&gt;0,C243-Gear!$C$5,0)</f>
        <v>0</v>
      </c>
    </row>
    <row r="244" spans="21:21" x14ac:dyDescent="0.25">
      <c r="U244" s="9">
        <f>IF(C244&lt;&gt;0,C244-Gear!$C$5,0)</f>
        <v>0</v>
      </c>
    </row>
    <row r="245" spans="21:21" x14ac:dyDescent="0.25">
      <c r="U245" s="9">
        <f>IF(C245&lt;&gt;0,C245-Gear!$C$5,0)</f>
        <v>0</v>
      </c>
    </row>
    <row r="246" spans="21:21" x14ac:dyDescent="0.25">
      <c r="U246" s="9">
        <f>IF(C246&lt;&gt;0,C246-Gear!$C$5,0)</f>
        <v>0</v>
      </c>
    </row>
    <row r="247" spans="21:21" x14ac:dyDescent="0.25">
      <c r="U247" s="9">
        <f>IF(C247&lt;&gt;0,C247-Gear!$C$5,0)</f>
        <v>0</v>
      </c>
    </row>
    <row r="248" spans="21:21" x14ac:dyDescent="0.25">
      <c r="U248" s="9">
        <f>IF(C248&lt;&gt;0,C248-Gear!$C$5,0)</f>
        <v>0</v>
      </c>
    </row>
    <row r="249" spans="21:21" x14ac:dyDescent="0.25">
      <c r="U249" s="9">
        <f>IF(C249&lt;&gt;0,C249-Gear!$C$5,0)</f>
        <v>0</v>
      </c>
    </row>
    <row r="250" spans="21:21" x14ac:dyDescent="0.25">
      <c r="U250" s="9">
        <f>IF(C250&lt;&gt;0,C250-Gear!$C$5,0)</f>
        <v>0</v>
      </c>
    </row>
    <row r="251" spans="21:21" x14ac:dyDescent="0.25">
      <c r="U251" s="9">
        <f>IF(C251&lt;&gt;0,C251-Gear!$C$5,0)</f>
        <v>0</v>
      </c>
    </row>
    <row r="252" spans="21:21" x14ac:dyDescent="0.25">
      <c r="U252" s="9">
        <f>IF(C252&lt;&gt;0,C252-Gear!$C$5,0)</f>
        <v>0</v>
      </c>
    </row>
    <row r="253" spans="21:21" x14ac:dyDescent="0.25">
      <c r="U253" s="9">
        <f>IF(C253&lt;&gt;0,C253-Gear!$C$5,0)</f>
        <v>0</v>
      </c>
    </row>
    <row r="254" spans="21:21" x14ac:dyDescent="0.25">
      <c r="U254" s="9">
        <f>IF(C254&lt;&gt;0,C254-Gear!$C$5,0)</f>
        <v>0</v>
      </c>
    </row>
    <row r="255" spans="21:21" x14ac:dyDescent="0.25">
      <c r="U255" s="9">
        <f>IF(C255&lt;&gt;0,C255-Gear!$C$5,0)</f>
        <v>0</v>
      </c>
    </row>
    <row r="256" spans="21:21" x14ac:dyDescent="0.25">
      <c r="U256" s="9">
        <f>IF(C256&lt;&gt;0,C256-Gear!$C$5,0)</f>
        <v>0</v>
      </c>
    </row>
    <row r="257" spans="21:21" x14ac:dyDescent="0.25">
      <c r="U257" s="9">
        <f>IF(C257&lt;&gt;0,C257-Gear!$C$5,0)</f>
        <v>0</v>
      </c>
    </row>
    <row r="258" spans="21:21" x14ac:dyDescent="0.25">
      <c r="U258" s="9">
        <f>IF(C258&lt;&gt;0,C258-Gear!$C$5,0)</f>
        <v>0</v>
      </c>
    </row>
    <row r="259" spans="21:21" x14ac:dyDescent="0.25">
      <c r="U259" s="9">
        <f>IF(C259&lt;&gt;0,C259-Gear!$C$5,0)</f>
        <v>0</v>
      </c>
    </row>
    <row r="260" spans="21:21" x14ac:dyDescent="0.25">
      <c r="U260" s="9">
        <f>IF(C260&lt;&gt;0,C260-Gear!$C$5,0)</f>
        <v>0</v>
      </c>
    </row>
    <row r="261" spans="21:21" x14ac:dyDescent="0.25">
      <c r="U261" s="9">
        <f>IF(C261&lt;&gt;0,C261-Gear!$C$5,0)</f>
        <v>0</v>
      </c>
    </row>
    <row r="262" spans="21:21" x14ac:dyDescent="0.25">
      <c r="U262" s="9">
        <f>IF(C262&lt;&gt;0,C262-Gear!$C$5,0)</f>
        <v>0</v>
      </c>
    </row>
    <row r="263" spans="21:21" x14ac:dyDescent="0.25">
      <c r="U263" s="9">
        <f>IF(C263&lt;&gt;0,C263-Gear!$C$5,0)</f>
        <v>0</v>
      </c>
    </row>
    <row r="264" spans="21:21" x14ac:dyDescent="0.25">
      <c r="U264" s="9">
        <f>IF(C264&lt;&gt;0,C264-Gear!$C$5,0)</f>
        <v>0</v>
      </c>
    </row>
    <row r="265" spans="21:21" x14ac:dyDescent="0.25">
      <c r="U265" s="9">
        <f>IF(C265&lt;&gt;0,C265-Gear!$C$5,0)</f>
        <v>0</v>
      </c>
    </row>
    <row r="266" spans="21:21" x14ac:dyDescent="0.25">
      <c r="U266" s="9">
        <f>IF(C266&lt;&gt;0,C266-Gear!$C$5,0)</f>
        <v>0</v>
      </c>
    </row>
    <row r="267" spans="21:21" x14ac:dyDescent="0.25">
      <c r="U267" s="9">
        <f>IF(C267&lt;&gt;0,C267-Gear!$C$5,0)</f>
        <v>0</v>
      </c>
    </row>
    <row r="268" spans="21:21" x14ac:dyDescent="0.25">
      <c r="U268" s="9">
        <f>IF(C268&lt;&gt;0,C268-Gear!$C$5,0)</f>
        <v>0</v>
      </c>
    </row>
    <row r="269" spans="21:21" x14ac:dyDescent="0.25">
      <c r="U269" s="9">
        <f>IF(C269&lt;&gt;0,C269-Gear!$C$5,0)</f>
        <v>0</v>
      </c>
    </row>
    <row r="270" spans="21:21" x14ac:dyDescent="0.25">
      <c r="U270" s="9">
        <f>IF(C270&lt;&gt;0,C270-Gear!$C$5,0)</f>
        <v>0</v>
      </c>
    </row>
    <row r="271" spans="21:21" x14ac:dyDescent="0.25">
      <c r="U271" s="9">
        <f>IF(C271&lt;&gt;0,C271-Gear!$C$5,0)</f>
        <v>0</v>
      </c>
    </row>
    <row r="272" spans="21:21" x14ac:dyDescent="0.25">
      <c r="U272" s="9">
        <f>IF(C272&lt;&gt;0,C272-Gear!$C$5,0)</f>
        <v>0</v>
      </c>
    </row>
    <row r="273" spans="21:21" x14ac:dyDescent="0.25">
      <c r="U273" s="9">
        <f>IF(C273&lt;&gt;0,C273-Gear!$C$5,0)</f>
        <v>0</v>
      </c>
    </row>
    <row r="274" spans="21:21" x14ac:dyDescent="0.25">
      <c r="U274" s="9">
        <f>IF(C274&lt;&gt;0,C274-Gear!$C$5,0)</f>
        <v>0</v>
      </c>
    </row>
    <row r="275" spans="21:21" x14ac:dyDescent="0.25">
      <c r="U275" s="9">
        <f>IF(C275&lt;&gt;0,C275-Gear!$C$5,0)</f>
        <v>0</v>
      </c>
    </row>
    <row r="276" spans="21:21" x14ac:dyDescent="0.25">
      <c r="U276" s="9">
        <f>IF(C276&lt;&gt;0,C276-Gear!$C$5,0)</f>
        <v>0</v>
      </c>
    </row>
    <row r="277" spans="21:21" x14ac:dyDescent="0.25">
      <c r="U277" s="9">
        <f>IF(C277&lt;&gt;0,C277-Gear!$C$5,0)</f>
        <v>0</v>
      </c>
    </row>
    <row r="278" spans="21:21" x14ac:dyDescent="0.25">
      <c r="U278" s="9">
        <f>IF(C278&lt;&gt;0,C278-Gear!$C$5,0)</f>
        <v>0</v>
      </c>
    </row>
    <row r="279" spans="21:21" x14ac:dyDescent="0.25">
      <c r="U279" s="9">
        <f>IF(C279&lt;&gt;0,C279-Gear!$C$5,0)</f>
        <v>0</v>
      </c>
    </row>
    <row r="280" spans="21:21" x14ac:dyDescent="0.25">
      <c r="U280" s="9">
        <f>IF(C280&lt;&gt;0,C280-Gear!$C$5,0)</f>
        <v>0</v>
      </c>
    </row>
    <row r="281" spans="21:21" x14ac:dyDescent="0.25">
      <c r="U281" s="9">
        <f>IF(C281&lt;&gt;0,C281-Gear!$C$5,0)</f>
        <v>0</v>
      </c>
    </row>
    <row r="282" spans="21:21" x14ac:dyDescent="0.25">
      <c r="U282" s="9">
        <f>IF(C282&lt;&gt;0,C282-Gear!$C$5,0)</f>
        <v>0</v>
      </c>
    </row>
    <row r="283" spans="21:21" x14ac:dyDescent="0.25">
      <c r="U283" s="9">
        <f>IF(C283&lt;&gt;0,C283-Gear!$C$5,0)</f>
        <v>0</v>
      </c>
    </row>
    <row r="284" spans="21:21" x14ac:dyDescent="0.25">
      <c r="U284" s="9">
        <f>IF(C284&lt;&gt;0,C284-Gear!$C$5,0)</f>
        <v>0</v>
      </c>
    </row>
    <row r="285" spans="21:21" x14ac:dyDescent="0.25">
      <c r="U285" s="9">
        <f>IF(C285&lt;&gt;0,C285-Gear!$C$5,0)</f>
        <v>0</v>
      </c>
    </row>
    <row r="286" spans="21:21" x14ac:dyDescent="0.25">
      <c r="U286" s="9">
        <f>IF(C286&lt;&gt;0,C286-Gear!$C$5,0)</f>
        <v>0</v>
      </c>
    </row>
    <row r="287" spans="21:21" x14ac:dyDescent="0.25">
      <c r="U287" s="9">
        <f>IF(C287&lt;&gt;0,C287-Gear!$C$5,0)</f>
        <v>0</v>
      </c>
    </row>
    <row r="288" spans="21:21" x14ac:dyDescent="0.25">
      <c r="U288" s="9">
        <f>IF(C288&lt;&gt;0,C288-Gear!$C$5,0)</f>
        <v>0</v>
      </c>
    </row>
    <row r="289" spans="21:21" x14ac:dyDescent="0.25">
      <c r="U289" s="9">
        <f>IF(C289&lt;&gt;0,C289-Gear!$C$5,0)</f>
        <v>0</v>
      </c>
    </row>
    <row r="290" spans="21:21" x14ac:dyDescent="0.25">
      <c r="U290" s="9">
        <f>IF(C290&lt;&gt;0,C290-Gear!$C$5,0)</f>
        <v>0</v>
      </c>
    </row>
    <row r="291" spans="21:21" x14ac:dyDescent="0.25">
      <c r="U291" s="9">
        <f>IF(C291&lt;&gt;0,C291-Gear!$C$5,0)</f>
        <v>0</v>
      </c>
    </row>
    <row r="292" spans="21:21" x14ac:dyDescent="0.25">
      <c r="U292" s="9">
        <f>IF(C292&lt;&gt;0,C292-Gear!$C$5,0)</f>
        <v>0</v>
      </c>
    </row>
    <row r="293" spans="21:21" x14ac:dyDescent="0.25">
      <c r="U293" s="9">
        <f>IF(C293&lt;&gt;0,C293-Gear!$C$5,0)</f>
        <v>0</v>
      </c>
    </row>
    <row r="294" spans="21:21" x14ac:dyDescent="0.25">
      <c r="U294" s="9">
        <f>IF(C294&lt;&gt;0,C294-Gear!$C$5,0)</f>
        <v>0</v>
      </c>
    </row>
    <row r="295" spans="21:21" x14ac:dyDescent="0.25">
      <c r="U295" s="9">
        <f>IF(C295&lt;&gt;0,C295-Gear!$C$5,0)</f>
        <v>0</v>
      </c>
    </row>
    <row r="296" spans="21:21" x14ac:dyDescent="0.25">
      <c r="U296" s="9">
        <f>IF(C296&lt;&gt;0,C296-Gear!$C$5,0)</f>
        <v>0</v>
      </c>
    </row>
    <row r="297" spans="21:21" x14ac:dyDescent="0.25">
      <c r="U297" s="9">
        <f>IF(C297&lt;&gt;0,C297-Gear!$C$5,0)</f>
        <v>0</v>
      </c>
    </row>
    <row r="298" spans="21:21" x14ac:dyDescent="0.25">
      <c r="U298" s="9">
        <f>IF(C298&lt;&gt;0,C298-Gear!$C$5,0)</f>
        <v>0</v>
      </c>
    </row>
    <row r="299" spans="21:21" x14ac:dyDescent="0.25">
      <c r="U299" s="9">
        <f>IF(C299&lt;&gt;0,C299-Gear!$C$5,0)</f>
        <v>0</v>
      </c>
    </row>
    <row r="300" spans="21:21" x14ac:dyDescent="0.25">
      <c r="U300" s="9">
        <f>IF(C300&lt;&gt;0,C300-Gear!$C$5,0)</f>
        <v>0</v>
      </c>
    </row>
    <row r="301" spans="21:21" x14ac:dyDescent="0.25">
      <c r="U301" s="9">
        <f>IF(C301&lt;&gt;0,C301-Gear!$C$5,0)</f>
        <v>0</v>
      </c>
    </row>
    <row r="302" spans="21:21" x14ac:dyDescent="0.25">
      <c r="U302" s="9">
        <f>IF(C302&lt;&gt;0,C302-Gear!$C$5,0)</f>
        <v>0</v>
      </c>
    </row>
    <row r="303" spans="21:21" x14ac:dyDescent="0.25">
      <c r="U303" s="9">
        <f>IF(C303&lt;&gt;0,C303-Gear!$C$5,0)</f>
        <v>0</v>
      </c>
    </row>
    <row r="304" spans="21:21" x14ac:dyDescent="0.25">
      <c r="U304" s="9">
        <f>IF(C304&lt;&gt;0,C304-Gear!$C$5,0)</f>
        <v>0</v>
      </c>
    </row>
    <row r="305" spans="21:21" x14ac:dyDescent="0.25">
      <c r="U305" s="9">
        <f>IF(C305&lt;&gt;0,C305-Gear!$C$5,0)</f>
        <v>0</v>
      </c>
    </row>
    <row r="306" spans="21:21" x14ac:dyDescent="0.25">
      <c r="U306" s="9">
        <f>IF(C306&lt;&gt;0,C306-Gear!$C$5,0)</f>
        <v>0</v>
      </c>
    </row>
    <row r="307" spans="21:21" x14ac:dyDescent="0.25">
      <c r="U307" s="9">
        <f>IF(C307&lt;&gt;0,C307-Gear!$C$5,0)</f>
        <v>0</v>
      </c>
    </row>
    <row r="308" spans="21:21" x14ac:dyDescent="0.25">
      <c r="U308" s="9">
        <f>IF(C308&lt;&gt;0,C308-Gear!$C$5,0)</f>
        <v>0</v>
      </c>
    </row>
    <row r="309" spans="21:21" x14ac:dyDescent="0.25">
      <c r="U309" s="9">
        <f>IF(C309&lt;&gt;0,C309-Gear!$C$5,0)</f>
        <v>0</v>
      </c>
    </row>
    <row r="310" spans="21:21" x14ac:dyDescent="0.25">
      <c r="U310" s="9">
        <f>IF(C310&lt;&gt;0,C310-Gear!$C$5,0)</f>
        <v>0</v>
      </c>
    </row>
    <row r="311" spans="21:21" x14ac:dyDescent="0.25">
      <c r="U311" s="9">
        <f>IF(C311&lt;&gt;0,C311-Gear!$C$5,0)</f>
        <v>0</v>
      </c>
    </row>
    <row r="312" spans="21:21" x14ac:dyDescent="0.25">
      <c r="U312" s="9">
        <f>IF(C312&lt;&gt;0,C312-Gear!$C$5,0)</f>
        <v>0</v>
      </c>
    </row>
    <row r="313" spans="21:21" x14ac:dyDescent="0.25">
      <c r="U313" s="9">
        <f>IF(C313&lt;&gt;0,C313-Gear!$C$5,0)</f>
        <v>0</v>
      </c>
    </row>
    <row r="314" spans="21:21" x14ac:dyDescent="0.25">
      <c r="U314" s="9">
        <f>IF(C314&lt;&gt;0,C314-Gear!$C$5,0)</f>
        <v>0</v>
      </c>
    </row>
    <row r="315" spans="21:21" x14ac:dyDescent="0.25">
      <c r="U315" s="9">
        <f>IF(C315&lt;&gt;0,C315-Gear!$C$5,0)</f>
        <v>0</v>
      </c>
    </row>
    <row r="316" spans="21:21" x14ac:dyDescent="0.25">
      <c r="U316" s="9">
        <f>IF(C316&lt;&gt;0,C316-Gear!$C$5,0)</f>
        <v>0</v>
      </c>
    </row>
    <row r="317" spans="21:21" x14ac:dyDescent="0.25">
      <c r="U317" s="9">
        <f>IF(C317&lt;&gt;0,C317-Gear!$C$5,0)</f>
        <v>0</v>
      </c>
    </row>
    <row r="318" spans="21:21" x14ac:dyDescent="0.25">
      <c r="U318" s="9">
        <f>IF(C318&lt;&gt;0,C318-Gear!$C$5,0)</f>
        <v>0</v>
      </c>
    </row>
    <row r="319" spans="21:21" x14ac:dyDescent="0.25">
      <c r="U319" s="9">
        <f>IF(C319&lt;&gt;0,C319-Gear!$C$5,0)</f>
        <v>0</v>
      </c>
    </row>
    <row r="320" spans="21:21" x14ac:dyDescent="0.25">
      <c r="U320" s="9">
        <f>IF(C320&lt;&gt;0,C320-Gear!$C$5,0)</f>
        <v>0</v>
      </c>
    </row>
    <row r="321" spans="21:21" x14ac:dyDescent="0.25">
      <c r="U321" s="9">
        <f>IF(C321&lt;&gt;0,C321-Gear!$C$5,0)</f>
        <v>0</v>
      </c>
    </row>
    <row r="322" spans="21:21" x14ac:dyDescent="0.25">
      <c r="U322" s="9">
        <f>IF(C322&lt;&gt;0,C322-Gear!$C$5,0)</f>
        <v>0</v>
      </c>
    </row>
    <row r="323" spans="21:21" x14ac:dyDescent="0.25">
      <c r="U323" s="9">
        <f>IF(C323&lt;&gt;0,C323-Gear!$C$5,0)</f>
        <v>0</v>
      </c>
    </row>
    <row r="324" spans="21:21" x14ac:dyDescent="0.25">
      <c r="U324" s="9">
        <f>IF(C324&lt;&gt;0,C324-Gear!$C$5,0)</f>
        <v>0</v>
      </c>
    </row>
    <row r="325" spans="21:21" x14ac:dyDescent="0.25">
      <c r="U325" s="9">
        <f>IF(C325&lt;&gt;0,C325-Gear!$C$5,0)</f>
        <v>0</v>
      </c>
    </row>
    <row r="326" spans="21:21" x14ac:dyDescent="0.25">
      <c r="U326" s="9">
        <f>IF(C326&lt;&gt;0,C326-Gear!$C$5,0)</f>
        <v>0</v>
      </c>
    </row>
    <row r="327" spans="21:21" x14ac:dyDescent="0.25">
      <c r="U327" s="9">
        <f>IF(C327&lt;&gt;0,C327-Gear!$C$5,0)</f>
        <v>0</v>
      </c>
    </row>
    <row r="328" spans="21:21" x14ac:dyDescent="0.25">
      <c r="U328" s="9">
        <f>IF(C328&lt;&gt;0,C328-Gear!$C$5,0)</f>
        <v>0</v>
      </c>
    </row>
    <row r="329" spans="21:21" x14ac:dyDescent="0.25">
      <c r="U329" s="9">
        <f>IF(C329&lt;&gt;0,C329-Gear!$C$5,0)</f>
        <v>0</v>
      </c>
    </row>
    <row r="330" spans="21:21" x14ac:dyDescent="0.25">
      <c r="U330" s="9">
        <f>IF(C330&lt;&gt;0,C330-Gear!$C$5,0)</f>
        <v>0</v>
      </c>
    </row>
    <row r="331" spans="21:21" x14ac:dyDescent="0.25">
      <c r="U331" s="9">
        <f>IF(C331&lt;&gt;0,C331-Gear!$C$5,0)</f>
        <v>0</v>
      </c>
    </row>
    <row r="332" spans="21:21" x14ac:dyDescent="0.25">
      <c r="U332" s="9">
        <f>IF(C332&lt;&gt;0,C332-Gear!$C$5,0)</f>
        <v>0</v>
      </c>
    </row>
    <row r="333" spans="21:21" x14ac:dyDescent="0.25">
      <c r="U333" s="9">
        <f>IF(C333&lt;&gt;0,C333-Gear!$C$5,0)</f>
        <v>0</v>
      </c>
    </row>
    <row r="334" spans="21:21" x14ac:dyDescent="0.25">
      <c r="U334" s="9">
        <f>IF(C334&lt;&gt;0,C334-Gear!$C$5,0)</f>
        <v>0</v>
      </c>
    </row>
    <row r="335" spans="21:21" x14ac:dyDescent="0.25">
      <c r="U335" s="9">
        <f>IF(C335&lt;&gt;0,C335-Gear!$C$5,0)</f>
        <v>0</v>
      </c>
    </row>
    <row r="336" spans="21:21" x14ac:dyDescent="0.25">
      <c r="U336" s="9">
        <f>IF(C336&lt;&gt;0,C336-Gear!$C$5,0)</f>
        <v>0</v>
      </c>
    </row>
    <row r="337" spans="21:21" x14ac:dyDescent="0.25">
      <c r="U337" s="9">
        <f>IF(C337&lt;&gt;0,C337-Gear!$C$5,0)</f>
        <v>0</v>
      </c>
    </row>
    <row r="338" spans="21:21" x14ac:dyDescent="0.25">
      <c r="U338" s="9">
        <f>IF(C338&lt;&gt;0,C338-Gear!$C$5,0)</f>
        <v>0</v>
      </c>
    </row>
    <row r="339" spans="21:21" x14ac:dyDescent="0.25">
      <c r="U339" s="9">
        <f>IF(C339&lt;&gt;0,C339-Gear!$C$5,0)</f>
        <v>0</v>
      </c>
    </row>
    <row r="340" spans="21:21" x14ac:dyDescent="0.25">
      <c r="U340" s="9">
        <f>IF(C340&lt;&gt;0,C340-Gear!$C$5,0)</f>
        <v>0</v>
      </c>
    </row>
    <row r="341" spans="21:21" x14ac:dyDescent="0.25">
      <c r="U341" s="9">
        <f>IF(C341&lt;&gt;0,C341-Gear!$C$5,0)</f>
        <v>0</v>
      </c>
    </row>
    <row r="342" spans="21:21" x14ac:dyDescent="0.25">
      <c r="U342" s="9">
        <f>IF(C342&lt;&gt;0,C342-Gear!$C$5,0)</f>
        <v>0</v>
      </c>
    </row>
    <row r="343" spans="21:21" x14ac:dyDescent="0.25">
      <c r="U343" s="9">
        <f>IF(C343&lt;&gt;0,C343-Gear!$C$5,0)</f>
        <v>0</v>
      </c>
    </row>
    <row r="344" spans="21:21" x14ac:dyDescent="0.25">
      <c r="U344" s="9">
        <f>IF(C344&lt;&gt;0,C344-Gear!$C$5,0)</f>
        <v>0</v>
      </c>
    </row>
    <row r="345" spans="21:21" x14ac:dyDescent="0.25">
      <c r="U345" s="9">
        <f>IF(C345&lt;&gt;0,C345-Gear!$C$5,0)</f>
        <v>0</v>
      </c>
    </row>
    <row r="346" spans="21:21" x14ac:dyDescent="0.25">
      <c r="U346" s="9">
        <f>IF(C346&lt;&gt;0,C346-Gear!$C$5,0)</f>
        <v>0</v>
      </c>
    </row>
    <row r="347" spans="21:21" x14ac:dyDescent="0.25">
      <c r="U347" s="9">
        <f>IF(C347&lt;&gt;0,C347-Gear!$C$5,0)</f>
        <v>0</v>
      </c>
    </row>
    <row r="348" spans="21:21" x14ac:dyDescent="0.25">
      <c r="U348" s="9">
        <f>IF(C348&lt;&gt;0,C348-Gear!$C$5,0)</f>
        <v>0</v>
      </c>
    </row>
    <row r="349" spans="21:21" x14ac:dyDescent="0.25">
      <c r="U349" s="9">
        <f>IF(C349&lt;&gt;0,C349-Gear!$C$5,0)</f>
        <v>0</v>
      </c>
    </row>
    <row r="350" spans="21:21" x14ac:dyDescent="0.25">
      <c r="U350" s="9">
        <f>IF(C350&lt;&gt;0,C350-Gear!$C$5,0)</f>
        <v>0</v>
      </c>
    </row>
    <row r="351" spans="21:21" x14ac:dyDescent="0.25">
      <c r="U351" s="9">
        <f>IF(C351&lt;&gt;0,C351-Gear!$C$5,0)</f>
        <v>0</v>
      </c>
    </row>
    <row r="352" spans="21:21" x14ac:dyDescent="0.25">
      <c r="U352" s="9">
        <f>IF(C352&lt;&gt;0,C352-Gear!$C$5,0)</f>
        <v>0</v>
      </c>
    </row>
    <row r="353" spans="21:21" x14ac:dyDescent="0.25">
      <c r="U353" s="9">
        <f>IF(C353&lt;&gt;0,C353-Gear!$C$5,0)</f>
        <v>0</v>
      </c>
    </row>
    <row r="354" spans="21:21" x14ac:dyDescent="0.25">
      <c r="U354" s="9">
        <f>IF(C354&lt;&gt;0,C354-Gear!$C$5,0)</f>
        <v>0</v>
      </c>
    </row>
    <row r="355" spans="21:21" x14ac:dyDescent="0.25">
      <c r="U355" s="9">
        <f>IF(C355&lt;&gt;0,C355-Gear!$C$5,0)</f>
        <v>0</v>
      </c>
    </row>
    <row r="356" spans="21:21" x14ac:dyDescent="0.25">
      <c r="U356" s="9">
        <f>IF(C356&lt;&gt;0,C356-Gear!$C$5,0)</f>
        <v>0</v>
      </c>
    </row>
    <row r="357" spans="21:21" x14ac:dyDescent="0.25">
      <c r="U357" s="9">
        <f>IF(C357&lt;&gt;0,C357-Gear!$C$5,0)</f>
        <v>0</v>
      </c>
    </row>
    <row r="358" spans="21:21" x14ac:dyDescent="0.25">
      <c r="U358" s="9">
        <f>IF(C358&lt;&gt;0,C358-Gear!$C$5,0)</f>
        <v>0</v>
      </c>
    </row>
    <row r="359" spans="21:21" x14ac:dyDescent="0.25">
      <c r="U359" s="9">
        <f>IF(C359&lt;&gt;0,C359-Gear!$C$5,0)</f>
        <v>0</v>
      </c>
    </row>
    <row r="360" spans="21:21" x14ac:dyDescent="0.25">
      <c r="U360" s="9">
        <f>IF(C360&lt;&gt;0,C360-Gear!$C$5,0)</f>
        <v>0</v>
      </c>
    </row>
    <row r="361" spans="21:21" x14ac:dyDescent="0.25">
      <c r="U361" s="9">
        <f>IF(C361&lt;&gt;0,C361-Gear!$C$5,0)</f>
        <v>0</v>
      </c>
    </row>
    <row r="362" spans="21:21" x14ac:dyDescent="0.25">
      <c r="U362" s="9">
        <f>IF(C362&lt;&gt;0,C362-Gear!$C$5,0)</f>
        <v>0</v>
      </c>
    </row>
    <row r="363" spans="21:21" x14ac:dyDescent="0.25">
      <c r="U363" s="9">
        <f>IF(C363&lt;&gt;0,C363-Gear!$C$5,0)</f>
        <v>0</v>
      </c>
    </row>
    <row r="364" spans="21:21" x14ac:dyDescent="0.25">
      <c r="U364" s="9">
        <f>IF(C364&lt;&gt;0,C364-Gear!$C$5,0)</f>
        <v>0</v>
      </c>
    </row>
    <row r="365" spans="21:21" x14ac:dyDescent="0.25">
      <c r="U365" s="9">
        <f>IF(C365&lt;&gt;0,C365-Gear!$C$5,0)</f>
        <v>0</v>
      </c>
    </row>
    <row r="366" spans="21:21" x14ac:dyDescent="0.25">
      <c r="U366" s="9">
        <f>IF(C366&lt;&gt;0,C366-Gear!$C$5,0)</f>
        <v>0</v>
      </c>
    </row>
    <row r="367" spans="21:21" x14ac:dyDescent="0.25">
      <c r="U367" s="9">
        <f>IF(C367&lt;&gt;0,C367-Gear!$C$5,0)</f>
        <v>0</v>
      </c>
    </row>
    <row r="368" spans="21:21" x14ac:dyDescent="0.25">
      <c r="U368" s="9">
        <f>IF(C368&lt;&gt;0,C368-Gear!$C$5,0)</f>
        <v>0</v>
      </c>
    </row>
    <row r="369" spans="21:21" x14ac:dyDescent="0.25">
      <c r="U369" s="9">
        <f>IF(C369&lt;&gt;0,C369-Gear!$C$5,0)</f>
        <v>0</v>
      </c>
    </row>
    <row r="370" spans="21:21" x14ac:dyDescent="0.25">
      <c r="U370" s="9">
        <f>IF(C370&lt;&gt;0,C370-Gear!$C$5,0)</f>
        <v>0</v>
      </c>
    </row>
    <row r="371" spans="21:21" x14ac:dyDescent="0.25">
      <c r="U371" s="9">
        <f>IF(C371&lt;&gt;0,C371-Gear!$C$5,0)</f>
        <v>0</v>
      </c>
    </row>
    <row r="372" spans="21:21" x14ac:dyDescent="0.25">
      <c r="U372" s="9">
        <f>IF(C372&lt;&gt;0,C372-Gear!$C$5,0)</f>
        <v>0</v>
      </c>
    </row>
    <row r="373" spans="21:21" x14ac:dyDescent="0.25">
      <c r="U373" s="9">
        <f>IF(C373&lt;&gt;0,C373-Gear!$C$5,0)</f>
        <v>0</v>
      </c>
    </row>
    <row r="374" spans="21:21" x14ac:dyDescent="0.25">
      <c r="U374" s="9">
        <f>IF(C374&lt;&gt;0,C374-Gear!$C$5,0)</f>
        <v>0</v>
      </c>
    </row>
    <row r="375" spans="21:21" x14ac:dyDescent="0.25">
      <c r="U375" s="9">
        <f>IF(C375&lt;&gt;0,C375-Gear!$C$5,0)</f>
        <v>0</v>
      </c>
    </row>
    <row r="376" spans="21:21" x14ac:dyDescent="0.25">
      <c r="U376" s="9">
        <f>IF(C376&lt;&gt;0,C376-Gear!$C$5,0)</f>
        <v>0</v>
      </c>
    </row>
    <row r="377" spans="21:21" x14ac:dyDescent="0.25">
      <c r="U377" s="9">
        <f>IF(C377&lt;&gt;0,C377-Gear!$C$5,0)</f>
        <v>0</v>
      </c>
    </row>
    <row r="378" spans="21:21" x14ac:dyDescent="0.25">
      <c r="U378" s="9">
        <f>IF(C378&lt;&gt;0,C378-Gear!$C$5,0)</f>
        <v>0</v>
      </c>
    </row>
    <row r="379" spans="21:21" x14ac:dyDescent="0.25">
      <c r="U379" s="9">
        <f>IF(C379&lt;&gt;0,C379-Gear!$C$5,0)</f>
        <v>0</v>
      </c>
    </row>
    <row r="380" spans="21:21" x14ac:dyDescent="0.25">
      <c r="U380" s="9">
        <f>IF(C380&lt;&gt;0,C380-Gear!$C$5,0)</f>
        <v>0</v>
      </c>
    </row>
    <row r="381" spans="21:21" x14ac:dyDescent="0.25">
      <c r="U381" s="9">
        <f>IF(C381&lt;&gt;0,C381-Gear!$C$5,0)</f>
        <v>0</v>
      </c>
    </row>
    <row r="382" spans="21:21" x14ac:dyDescent="0.25">
      <c r="U382" s="9">
        <f>IF(C382&lt;&gt;0,C382-Gear!$C$5,0)</f>
        <v>0</v>
      </c>
    </row>
    <row r="383" spans="21:21" x14ac:dyDescent="0.25">
      <c r="U383" s="9">
        <f>IF(C383&lt;&gt;0,C383-Gear!$C$5,0)</f>
        <v>0</v>
      </c>
    </row>
    <row r="384" spans="21:21" x14ac:dyDescent="0.25">
      <c r="U384" s="9">
        <f>IF(C384&lt;&gt;0,C384-Gear!$C$5,0)</f>
        <v>0</v>
      </c>
    </row>
    <row r="385" spans="21:21" x14ac:dyDescent="0.25">
      <c r="U385" s="9">
        <f>IF(C385&lt;&gt;0,C385-Gear!$C$5,0)</f>
        <v>0</v>
      </c>
    </row>
    <row r="386" spans="21:21" x14ac:dyDescent="0.25">
      <c r="U386" s="9">
        <f>IF(C386&lt;&gt;0,C386-Gear!$C$5,0)</f>
        <v>0</v>
      </c>
    </row>
    <row r="387" spans="21:21" x14ac:dyDescent="0.25">
      <c r="U387" s="9">
        <f>IF(C387&lt;&gt;0,C387-Gear!$C$5,0)</f>
        <v>0</v>
      </c>
    </row>
    <row r="388" spans="21:21" x14ac:dyDescent="0.25">
      <c r="U388" s="9">
        <f>IF(C388&lt;&gt;0,C388-Gear!$C$5,0)</f>
        <v>0</v>
      </c>
    </row>
    <row r="389" spans="21:21" x14ac:dyDescent="0.25">
      <c r="U389" s="9">
        <f>IF(C389&lt;&gt;0,C389-Gear!$C$5,0)</f>
        <v>0</v>
      </c>
    </row>
    <row r="390" spans="21:21" x14ac:dyDescent="0.25">
      <c r="U390" s="9">
        <f>IF(C390&lt;&gt;0,C390-Gear!$C$5,0)</f>
        <v>0</v>
      </c>
    </row>
    <row r="391" spans="21:21" x14ac:dyDescent="0.25">
      <c r="U391" s="9">
        <f>IF(C391&lt;&gt;0,C391-Gear!$C$5,0)</f>
        <v>0</v>
      </c>
    </row>
    <row r="392" spans="21:21" x14ac:dyDescent="0.25">
      <c r="U392" s="9">
        <f>IF(C392&lt;&gt;0,C392-Gear!$C$5,0)</f>
        <v>0</v>
      </c>
    </row>
    <row r="393" spans="21:21" x14ac:dyDescent="0.25">
      <c r="U393" s="9">
        <f>IF(C393&lt;&gt;0,C393-Gear!$C$5,0)</f>
        <v>0</v>
      </c>
    </row>
    <row r="394" spans="21:21" x14ac:dyDescent="0.25">
      <c r="U394" s="9">
        <f>IF(C394&lt;&gt;0,C394-Gear!$C$5,0)</f>
        <v>0</v>
      </c>
    </row>
    <row r="395" spans="21:21" x14ac:dyDescent="0.25">
      <c r="U395" s="9">
        <f>IF(C395&lt;&gt;0,C395-Gear!$C$5,0)</f>
        <v>0</v>
      </c>
    </row>
    <row r="396" spans="21:21" x14ac:dyDescent="0.25">
      <c r="U396" s="9">
        <f>IF(C396&lt;&gt;0,C396-Gear!$C$5,0)</f>
        <v>0</v>
      </c>
    </row>
    <row r="397" spans="21:21" x14ac:dyDescent="0.25">
      <c r="U397" s="9">
        <f>IF(C397&lt;&gt;0,C397-Gear!$C$5,0)</f>
        <v>0</v>
      </c>
    </row>
    <row r="398" spans="21:21" x14ac:dyDescent="0.25">
      <c r="U398" s="9">
        <f>IF(C398&lt;&gt;0,C398-Gear!$C$5,0)</f>
        <v>0</v>
      </c>
    </row>
    <row r="399" spans="21:21" x14ac:dyDescent="0.25">
      <c r="U399" s="9">
        <f>IF(C399&lt;&gt;0,C399-Gear!$C$5,0)</f>
        <v>0</v>
      </c>
    </row>
    <row r="400" spans="21:21" x14ac:dyDescent="0.25">
      <c r="U400" s="9">
        <f>IF(C400&lt;&gt;0,C400-Gear!$C$5,0)</f>
        <v>0</v>
      </c>
    </row>
    <row r="401" spans="21:21" x14ac:dyDescent="0.25">
      <c r="U401" s="9">
        <f>IF(C401&lt;&gt;0,C401-Gear!$C$5,0)</f>
        <v>0</v>
      </c>
    </row>
    <row r="402" spans="21:21" x14ac:dyDescent="0.25">
      <c r="U402" s="9">
        <f>IF(C402&lt;&gt;0,C402-Gear!$C$5,0)</f>
        <v>0</v>
      </c>
    </row>
    <row r="403" spans="21:21" x14ac:dyDescent="0.25">
      <c r="U403" s="9">
        <f>IF(C403&lt;&gt;0,C403-Gear!$C$5,0)</f>
        <v>0</v>
      </c>
    </row>
    <row r="404" spans="21:21" x14ac:dyDescent="0.25">
      <c r="U404" s="9">
        <f>IF(C404&lt;&gt;0,C404-Gear!$C$5,0)</f>
        <v>0</v>
      </c>
    </row>
    <row r="405" spans="21:21" x14ac:dyDescent="0.25">
      <c r="U405" s="9">
        <f>IF(C405&lt;&gt;0,C405-Gear!$C$5,0)</f>
        <v>0</v>
      </c>
    </row>
    <row r="406" spans="21:21" x14ac:dyDescent="0.25">
      <c r="U406" s="9">
        <f>IF(C406&lt;&gt;0,C406-Gear!$C$5,0)</f>
        <v>0</v>
      </c>
    </row>
    <row r="407" spans="21:21" x14ac:dyDescent="0.25">
      <c r="U407" s="9">
        <f>IF(C407&lt;&gt;0,C407-Gear!$C$5,0)</f>
        <v>0</v>
      </c>
    </row>
    <row r="408" spans="21:21" x14ac:dyDescent="0.25">
      <c r="U408" s="9">
        <f>IF(C408&lt;&gt;0,C408-Gear!$C$5,0)</f>
        <v>0</v>
      </c>
    </row>
    <row r="409" spans="21:21" x14ac:dyDescent="0.25">
      <c r="U409" s="9">
        <f>IF(C409&lt;&gt;0,C409-Gear!$C$5,0)</f>
        <v>0</v>
      </c>
    </row>
    <row r="410" spans="21:21" x14ac:dyDescent="0.25">
      <c r="U410" s="9">
        <f>IF(C410&lt;&gt;0,C410-Gear!$C$5,0)</f>
        <v>0</v>
      </c>
    </row>
    <row r="411" spans="21:21" x14ac:dyDescent="0.25">
      <c r="U411" s="9">
        <f>IF(C411&lt;&gt;0,C411-Gear!$C$5,0)</f>
        <v>0</v>
      </c>
    </row>
    <row r="412" spans="21:21" x14ac:dyDescent="0.25">
      <c r="U412" s="9">
        <f>IF(C412&lt;&gt;0,C412-Gear!$C$5,0)</f>
        <v>0</v>
      </c>
    </row>
    <row r="413" spans="21:21" x14ac:dyDescent="0.25">
      <c r="U413" s="9">
        <f>IF(C413&lt;&gt;0,C413-Gear!$C$5,0)</f>
        <v>0</v>
      </c>
    </row>
    <row r="414" spans="21:21" x14ac:dyDescent="0.25">
      <c r="U414" s="9">
        <f>IF(C414&lt;&gt;0,C414-Gear!$C$5,0)</f>
        <v>0</v>
      </c>
    </row>
    <row r="415" spans="21:21" x14ac:dyDescent="0.25">
      <c r="U415" s="9">
        <f>IF(C415&lt;&gt;0,C415-Gear!$C$5,0)</f>
        <v>0</v>
      </c>
    </row>
    <row r="416" spans="21:21" x14ac:dyDescent="0.25">
      <c r="U416" s="9">
        <f>IF(C416&lt;&gt;0,C416-Gear!$C$5,0)</f>
        <v>0</v>
      </c>
    </row>
    <row r="417" spans="21:21" x14ac:dyDescent="0.25">
      <c r="U417" s="9">
        <f>IF(C417&lt;&gt;0,C417-Gear!$C$5,0)</f>
        <v>0</v>
      </c>
    </row>
    <row r="418" spans="21:21" x14ac:dyDescent="0.25">
      <c r="U418" s="9">
        <f>IF(C418&lt;&gt;0,C418-Gear!$C$5,0)</f>
        <v>0</v>
      </c>
    </row>
    <row r="419" spans="21:21" x14ac:dyDescent="0.25">
      <c r="U419" s="9">
        <f>IF(C419&lt;&gt;0,C419-Gear!$C$5,0)</f>
        <v>0</v>
      </c>
    </row>
    <row r="420" spans="21:21" x14ac:dyDescent="0.25">
      <c r="U420" s="9">
        <f>IF(C420&lt;&gt;0,C420-Gear!$C$5,0)</f>
        <v>0</v>
      </c>
    </row>
    <row r="421" spans="21:21" x14ac:dyDescent="0.25">
      <c r="U421" s="9">
        <f>IF(C421&lt;&gt;0,C421-Gear!$C$5,0)</f>
        <v>0</v>
      </c>
    </row>
    <row r="422" spans="21:21" x14ac:dyDescent="0.25">
      <c r="U422" s="9">
        <f>IF(C422&lt;&gt;0,C422-Gear!$C$5,0)</f>
        <v>0</v>
      </c>
    </row>
    <row r="423" spans="21:21" x14ac:dyDescent="0.25">
      <c r="U423" s="9">
        <f>IF(C423&lt;&gt;0,C423-Gear!$C$5,0)</f>
        <v>0</v>
      </c>
    </row>
    <row r="424" spans="21:21" x14ac:dyDescent="0.25">
      <c r="U424" s="9">
        <f>IF(C424&lt;&gt;0,C424-Gear!$C$5,0)</f>
        <v>0</v>
      </c>
    </row>
    <row r="425" spans="21:21" x14ac:dyDescent="0.25">
      <c r="U425" s="9">
        <f>IF(C425&lt;&gt;0,C425-Gear!$C$5,0)</f>
        <v>0</v>
      </c>
    </row>
    <row r="426" spans="21:21" x14ac:dyDescent="0.25">
      <c r="U426" s="9">
        <f>IF(C426&lt;&gt;0,C426-Gear!$C$5,0)</f>
        <v>0</v>
      </c>
    </row>
    <row r="427" spans="21:21" x14ac:dyDescent="0.25">
      <c r="U427" s="9">
        <f>IF(C427&lt;&gt;0,C427-Gear!$C$5,0)</f>
        <v>0</v>
      </c>
    </row>
    <row r="428" spans="21:21" x14ac:dyDescent="0.25">
      <c r="U428" s="9">
        <f>IF(C428&lt;&gt;0,C428-Gear!$C$5,0)</f>
        <v>0</v>
      </c>
    </row>
    <row r="429" spans="21:21" x14ac:dyDescent="0.25">
      <c r="U429" s="9">
        <f>IF(C429&lt;&gt;0,C429-Gear!$C$5,0)</f>
        <v>0</v>
      </c>
    </row>
    <row r="430" spans="21:21" x14ac:dyDescent="0.25">
      <c r="U430" s="9">
        <f>IF(C430&lt;&gt;0,C430-Gear!$C$5,0)</f>
        <v>0</v>
      </c>
    </row>
    <row r="431" spans="21:21" x14ac:dyDescent="0.25">
      <c r="U431" s="9">
        <f>IF(C431&lt;&gt;0,C431-Gear!$C$5,0)</f>
        <v>0</v>
      </c>
    </row>
    <row r="432" spans="21:21" x14ac:dyDescent="0.25">
      <c r="U432" s="9">
        <f>IF(C432&lt;&gt;0,C432-Gear!$C$5,0)</f>
        <v>0</v>
      </c>
    </row>
    <row r="433" spans="21:21" x14ac:dyDescent="0.25">
      <c r="U433" s="9">
        <f>IF(C433&lt;&gt;0,C433-Gear!$C$5,0)</f>
        <v>0</v>
      </c>
    </row>
    <row r="434" spans="21:21" x14ac:dyDescent="0.25">
      <c r="U434" s="9">
        <f>IF(C434&lt;&gt;0,C434-Gear!$C$5,0)</f>
        <v>0</v>
      </c>
    </row>
    <row r="435" spans="21:21" x14ac:dyDescent="0.25">
      <c r="U435" s="9">
        <f>IF(C435&lt;&gt;0,C435-Gear!$C$5,0)</f>
        <v>0</v>
      </c>
    </row>
    <row r="436" spans="21:21" x14ac:dyDescent="0.25">
      <c r="U436" s="9">
        <f>IF(C436&lt;&gt;0,C436-Gear!$C$5,0)</f>
        <v>0</v>
      </c>
    </row>
    <row r="437" spans="21:21" x14ac:dyDescent="0.25">
      <c r="U437" s="9">
        <f>IF(C437&lt;&gt;0,C437-Gear!$C$5,0)</f>
        <v>0</v>
      </c>
    </row>
    <row r="438" spans="21:21" x14ac:dyDescent="0.25">
      <c r="U438" s="9">
        <f>IF(C438&lt;&gt;0,C438-Gear!$C$5,0)</f>
        <v>0</v>
      </c>
    </row>
    <row r="439" spans="21:21" x14ac:dyDescent="0.25">
      <c r="U439" s="9">
        <f>IF(C439&lt;&gt;0,C439-Gear!$C$5,0)</f>
        <v>0</v>
      </c>
    </row>
    <row r="440" spans="21:21" x14ac:dyDescent="0.25">
      <c r="U440" s="9">
        <f>IF(C440&lt;&gt;0,C440-Gear!$C$5,0)</f>
        <v>0</v>
      </c>
    </row>
    <row r="441" spans="21:21" x14ac:dyDescent="0.25">
      <c r="U441" s="9">
        <f>IF(C441&lt;&gt;0,C441-Gear!$C$5,0)</f>
        <v>0</v>
      </c>
    </row>
    <row r="442" spans="21:21" x14ac:dyDescent="0.25">
      <c r="U442" s="9">
        <f>IF(C442&lt;&gt;0,C442-Gear!$C$5,0)</f>
        <v>0</v>
      </c>
    </row>
    <row r="443" spans="21:21" x14ac:dyDescent="0.25">
      <c r="U443" s="9">
        <f>IF(C443&lt;&gt;0,C443-Gear!$C$5,0)</f>
        <v>0</v>
      </c>
    </row>
    <row r="444" spans="21:21" x14ac:dyDescent="0.25">
      <c r="U444" s="9">
        <f>IF(C444&lt;&gt;0,C444-Gear!$C$5,0)</f>
        <v>0</v>
      </c>
    </row>
    <row r="445" spans="21:21" x14ac:dyDescent="0.25">
      <c r="U445" s="9">
        <f>IF(C445&lt;&gt;0,C445-Gear!$C$5,0)</f>
        <v>0</v>
      </c>
    </row>
    <row r="446" spans="21:21" x14ac:dyDescent="0.25">
      <c r="U446" s="9">
        <f>IF(C446&lt;&gt;0,C446-Gear!$C$5,0)</f>
        <v>0</v>
      </c>
    </row>
    <row r="447" spans="21:21" x14ac:dyDescent="0.25">
      <c r="U447" s="9">
        <f>IF(C447&lt;&gt;0,C447-Gear!$C$5,0)</f>
        <v>0</v>
      </c>
    </row>
    <row r="448" spans="21:21" x14ac:dyDescent="0.25">
      <c r="U448" s="9">
        <f>IF(C448&lt;&gt;0,C448-Gear!$C$5,0)</f>
        <v>0</v>
      </c>
    </row>
    <row r="449" spans="21:21" x14ac:dyDescent="0.25">
      <c r="U449" s="9">
        <f>IF(C449&lt;&gt;0,C449-Gear!$C$5,0)</f>
        <v>0</v>
      </c>
    </row>
    <row r="450" spans="21:21" x14ac:dyDescent="0.25">
      <c r="U450" s="9">
        <f>IF(C450&lt;&gt;0,C450-Gear!$C$5,0)</f>
        <v>0</v>
      </c>
    </row>
    <row r="451" spans="21:21" x14ac:dyDescent="0.25">
      <c r="U451" s="9">
        <f>IF(C451&lt;&gt;0,C451-Gear!$C$5,0)</f>
        <v>0</v>
      </c>
    </row>
    <row r="452" spans="21:21" x14ac:dyDescent="0.25">
      <c r="U452" s="9">
        <f>IF(C452&lt;&gt;0,C452-Gear!$C$5,0)</f>
        <v>0</v>
      </c>
    </row>
    <row r="453" spans="21:21" x14ac:dyDescent="0.25">
      <c r="U453" s="9">
        <f>IF(C453&lt;&gt;0,C453-Gear!$C$5,0)</f>
        <v>0</v>
      </c>
    </row>
    <row r="454" spans="21:21" x14ac:dyDescent="0.25">
      <c r="U454" s="9">
        <f>IF(C454&lt;&gt;0,C454-Gear!$C$5,0)</f>
        <v>0</v>
      </c>
    </row>
    <row r="455" spans="21:21" x14ac:dyDescent="0.25">
      <c r="U455" s="9">
        <f>IF(C455&lt;&gt;0,C455-Gear!$C$5,0)</f>
        <v>0</v>
      </c>
    </row>
    <row r="456" spans="21:21" x14ac:dyDescent="0.25">
      <c r="U456" s="9">
        <f>IF(C456&lt;&gt;0,C456-Gear!$C$5,0)</f>
        <v>0</v>
      </c>
    </row>
    <row r="457" spans="21:21" x14ac:dyDescent="0.25">
      <c r="U457" s="9">
        <f>IF(C457&lt;&gt;0,C457-Gear!$C$5,0)</f>
        <v>0</v>
      </c>
    </row>
    <row r="458" spans="21:21" x14ac:dyDescent="0.25">
      <c r="U458" s="9">
        <f>IF(C458&lt;&gt;0,C458-Gear!$C$5,0)</f>
        <v>0</v>
      </c>
    </row>
    <row r="459" spans="21:21" x14ac:dyDescent="0.25">
      <c r="U459" s="9">
        <f>IF(C459&lt;&gt;0,C459-Gear!$C$5,0)</f>
        <v>0</v>
      </c>
    </row>
    <row r="460" spans="21:21" x14ac:dyDescent="0.25">
      <c r="U460" s="9">
        <f>IF(C460&lt;&gt;0,C460-Gear!$C$5,0)</f>
        <v>0</v>
      </c>
    </row>
    <row r="461" spans="21:21" x14ac:dyDescent="0.25">
      <c r="U461" s="9">
        <f>IF(C461&lt;&gt;0,C461-Gear!$C$5,0)</f>
        <v>0</v>
      </c>
    </row>
    <row r="462" spans="21:21" x14ac:dyDescent="0.25">
      <c r="U462" s="9">
        <f>IF(C462&lt;&gt;0,C462-Gear!$C$5,0)</f>
        <v>0</v>
      </c>
    </row>
    <row r="463" spans="21:21" x14ac:dyDescent="0.25">
      <c r="U463" s="9">
        <f>IF(C463&lt;&gt;0,C463-Gear!$C$5,0)</f>
        <v>0</v>
      </c>
    </row>
    <row r="464" spans="21:21" x14ac:dyDescent="0.25">
      <c r="U464" s="9">
        <f>IF(C464&lt;&gt;0,C464-Gear!$C$5,0)</f>
        <v>0</v>
      </c>
    </row>
    <row r="465" spans="21:21" x14ac:dyDescent="0.25">
      <c r="U465" s="9">
        <f>IF(C465&lt;&gt;0,C465-Gear!$C$5,0)</f>
        <v>0</v>
      </c>
    </row>
    <row r="466" spans="21:21" x14ac:dyDescent="0.25">
      <c r="U466" s="9">
        <f>IF(C466&lt;&gt;0,C466-Gear!$C$5,0)</f>
        <v>0</v>
      </c>
    </row>
    <row r="467" spans="21:21" x14ac:dyDescent="0.25">
      <c r="U467" s="9">
        <f>IF(C467&lt;&gt;0,C467-Gear!$C$5,0)</f>
        <v>0</v>
      </c>
    </row>
    <row r="468" spans="21:21" x14ac:dyDescent="0.25">
      <c r="U468" s="9">
        <f>IF(C468&lt;&gt;0,C468-Gear!$C$5,0)</f>
        <v>0</v>
      </c>
    </row>
    <row r="469" spans="21:21" x14ac:dyDescent="0.25">
      <c r="U469" s="9">
        <f>IF(C469&lt;&gt;0,C469-Gear!$C$5,0)</f>
        <v>0</v>
      </c>
    </row>
    <row r="470" spans="21:21" x14ac:dyDescent="0.25">
      <c r="U470" s="9">
        <f>IF(C470&lt;&gt;0,C470-Gear!$C$5,0)</f>
        <v>0</v>
      </c>
    </row>
    <row r="471" spans="21:21" x14ac:dyDescent="0.25">
      <c r="U471" s="9">
        <f>IF(C471&lt;&gt;0,C471-Gear!$C$5,0)</f>
        <v>0</v>
      </c>
    </row>
    <row r="472" spans="21:21" x14ac:dyDescent="0.25">
      <c r="U472" s="9">
        <f>IF(C472&lt;&gt;0,C472-Gear!$C$5,0)</f>
        <v>0</v>
      </c>
    </row>
    <row r="473" spans="21:21" x14ac:dyDescent="0.25">
      <c r="U473" s="9">
        <f>IF(C473&lt;&gt;0,C473-Gear!$C$5,0)</f>
        <v>0</v>
      </c>
    </row>
    <row r="474" spans="21:21" x14ac:dyDescent="0.25">
      <c r="U474" s="9">
        <f>IF(C474&lt;&gt;0,C474-Gear!$C$5,0)</f>
        <v>0</v>
      </c>
    </row>
    <row r="475" spans="21:21" x14ac:dyDescent="0.25">
      <c r="U475" s="9">
        <f>IF(C475&lt;&gt;0,C475-Gear!$C$5,0)</f>
        <v>0</v>
      </c>
    </row>
    <row r="476" spans="21:21" x14ac:dyDescent="0.25">
      <c r="U476" s="9">
        <f>IF(C476&lt;&gt;0,C476-Gear!$C$5,0)</f>
        <v>0</v>
      </c>
    </row>
    <row r="477" spans="21:21" x14ac:dyDescent="0.25">
      <c r="U477" s="9">
        <f>IF(C477&lt;&gt;0,C477-Gear!$C$5,0)</f>
        <v>0</v>
      </c>
    </row>
    <row r="478" spans="21:21" x14ac:dyDescent="0.25">
      <c r="U478" s="9">
        <f>IF(C478&lt;&gt;0,C478-Gear!$C$5,0)</f>
        <v>0</v>
      </c>
    </row>
    <row r="479" spans="21:21" x14ac:dyDescent="0.25">
      <c r="U479" s="9">
        <f>IF(C479&lt;&gt;0,C479-Gear!$C$5,0)</f>
        <v>0</v>
      </c>
    </row>
    <row r="480" spans="21:21" x14ac:dyDescent="0.25">
      <c r="U480" s="9">
        <f>IF(C480&lt;&gt;0,C480-Gear!$C$5,0)</f>
        <v>0</v>
      </c>
    </row>
    <row r="481" spans="21:21" x14ac:dyDescent="0.25">
      <c r="U481" s="9">
        <f>IF(C481&lt;&gt;0,C481-Gear!$C$5,0)</f>
        <v>0</v>
      </c>
    </row>
    <row r="482" spans="21:21" x14ac:dyDescent="0.25">
      <c r="U482" s="9">
        <f>IF(C482&lt;&gt;0,C482-Gear!$C$5,0)</f>
        <v>0</v>
      </c>
    </row>
    <row r="483" spans="21:21" x14ac:dyDescent="0.25">
      <c r="U483" s="9">
        <f>IF(C483&lt;&gt;0,C483-Gear!$C$5,0)</f>
        <v>0</v>
      </c>
    </row>
    <row r="484" spans="21:21" x14ac:dyDescent="0.25">
      <c r="U484" s="9">
        <f>IF(C484&lt;&gt;0,C484-Gear!$C$5,0)</f>
        <v>0</v>
      </c>
    </row>
    <row r="485" spans="21:21" x14ac:dyDescent="0.25">
      <c r="U485" s="9">
        <f>IF(C485&lt;&gt;0,C485-Gear!$C$5,0)</f>
        <v>0</v>
      </c>
    </row>
    <row r="486" spans="21:21" x14ac:dyDescent="0.25">
      <c r="U486" s="9">
        <f>IF(C486&lt;&gt;0,C486-Gear!$C$5,0)</f>
        <v>0</v>
      </c>
    </row>
    <row r="487" spans="21:21" x14ac:dyDescent="0.25">
      <c r="U487" s="9">
        <f>IF(C487&lt;&gt;0,C487-Gear!$C$5,0)</f>
        <v>0</v>
      </c>
    </row>
    <row r="488" spans="21:21" x14ac:dyDescent="0.25">
      <c r="U488" s="9">
        <f>IF(C488&lt;&gt;0,C488-Gear!$C$5,0)</f>
        <v>0</v>
      </c>
    </row>
    <row r="489" spans="21:21" x14ac:dyDescent="0.25">
      <c r="U489" s="9">
        <f>IF(C489&lt;&gt;0,C489-Gear!$C$5,0)</f>
        <v>0</v>
      </c>
    </row>
    <row r="490" spans="21:21" x14ac:dyDescent="0.25">
      <c r="U490" s="9">
        <f>IF(C490&lt;&gt;0,C490-Gear!$C$5,0)</f>
        <v>0</v>
      </c>
    </row>
    <row r="491" spans="21:21" x14ac:dyDescent="0.25">
      <c r="U491" s="9">
        <f>IF(C491&lt;&gt;0,C491-Gear!$C$5,0)</f>
        <v>0</v>
      </c>
    </row>
    <row r="492" spans="21:21" x14ac:dyDescent="0.25">
      <c r="U492" s="9">
        <f>IF(C492&lt;&gt;0,C492-Gear!$C$5,0)</f>
        <v>0</v>
      </c>
    </row>
    <row r="493" spans="21:21" x14ac:dyDescent="0.25">
      <c r="U493" s="9">
        <f>IF(C493&lt;&gt;0,C493-Gear!$C$5,0)</f>
        <v>0</v>
      </c>
    </row>
    <row r="494" spans="21:21" x14ac:dyDescent="0.25">
      <c r="U494" s="9">
        <f>IF(C494&lt;&gt;0,C494-Gear!$C$5,0)</f>
        <v>0</v>
      </c>
    </row>
    <row r="495" spans="21:21" x14ac:dyDescent="0.25">
      <c r="U495" s="9">
        <f>IF(C495&lt;&gt;0,C495-Gear!$C$5,0)</f>
        <v>0</v>
      </c>
    </row>
    <row r="496" spans="21:21" x14ac:dyDescent="0.25">
      <c r="U496" s="9">
        <f>IF(C496&lt;&gt;0,C496-Gear!$C$5,0)</f>
        <v>0</v>
      </c>
    </row>
    <row r="497" spans="21:21" x14ac:dyDescent="0.25">
      <c r="U497" s="9">
        <f>IF(C497&lt;&gt;0,C497-Gear!$C$5,0)</f>
        <v>0</v>
      </c>
    </row>
    <row r="498" spans="21:21" x14ac:dyDescent="0.25">
      <c r="U498" s="9">
        <f>IF(C498&lt;&gt;0,C498-Gear!$C$5,0)</f>
        <v>0</v>
      </c>
    </row>
    <row r="499" spans="21:21" x14ac:dyDescent="0.25">
      <c r="U499" s="9">
        <f>IF(C499&lt;&gt;0,C499-Gear!$C$5,0)</f>
        <v>0</v>
      </c>
    </row>
    <row r="500" spans="21:21" x14ac:dyDescent="0.25">
      <c r="U500" s="9">
        <f>IF(C500&lt;&gt;0,C500-Gear!$C$5,0)</f>
        <v>0</v>
      </c>
    </row>
    <row r="501" spans="21:21" x14ac:dyDescent="0.25">
      <c r="U501" s="9">
        <f>IF(C501&lt;&gt;0,C501-Gear!$C$5,0)</f>
        <v>0</v>
      </c>
    </row>
    <row r="502" spans="21:21" x14ac:dyDescent="0.25">
      <c r="U502" s="9">
        <f>IF(C502&lt;&gt;0,C502-Gear!$C$5,0)</f>
        <v>0</v>
      </c>
    </row>
    <row r="503" spans="21:21" x14ac:dyDescent="0.25">
      <c r="U503" s="9">
        <f>IF(C503&lt;&gt;0,C503-Gear!$C$5,0)</f>
        <v>0</v>
      </c>
    </row>
    <row r="504" spans="21:21" x14ac:dyDescent="0.25">
      <c r="U504" s="9">
        <f>IF(C504&lt;&gt;0,C504-Gear!$C$5,0)</f>
        <v>0</v>
      </c>
    </row>
    <row r="505" spans="21:21" x14ac:dyDescent="0.25">
      <c r="U505" s="9">
        <f>IF(C505&lt;&gt;0,C505-Gear!$C$5,0)</f>
        <v>0</v>
      </c>
    </row>
    <row r="506" spans="21:21" x14ac:dyDescent="0.25">
      <c r="U506" s="9">
        <f>IF(C506&lt;&gt;0,C506-Gear!$C$5,0)</f>
        <v>0</v>
      </c>
    </row>
    <row r="507" spans="21:21" x14ac:dyDescent="0.25">
      <c r="U507" s="9">
        <f>IF(C507&lt;&gt;0,C507-Gear!$C$5,0)</f>
        <v>0</v>
      </c>
    </row>
    <row r="508" spans="21:21" x14ac:dyDescent="0.25">
      <c r="U508" s="9">
        <f>IF(C508&lt;&gt;0,C508-Gear!$C$5,0)</f>
        <v>0</v>
      </c>
    </row>
    <row r="509" spans="21:21" x14ac:dyDescent="0.25">
      <c r="U509" s="9">
        <f>IF(C509&lt;&gt;0,C509-Gear!$C$5,0)</f>
        <v>0</v>
      </c>
    </row>
    <row r="510" spans="21:21" x14ac:dyDescent="0.25">
      <c r="U510" s="9">
        <f>IF(C510&lt;&gt;0,C510-Gear!$C$5,0)</f>
        <v>0</v>
      </c>
    </row>
    <row r="511" spans="21:21" x14ac:dyDescent="0.25">
      <c r="U511" s="9">
        <f>IF(C511&lt;&gt;0,C511-Gear!$C$5,0)</f>
        <v>0</v>
      </c>
    </row>
    <row r="512" spans="21:21" x14ac:dyDescent="0.25">
      <c r="U512" s="9">
        <f>IF(C512&lt;&gt;0,C512-Gear!$C$5,0)</f>
        <v>0</v>
      </c>
    </row>
    <row r="513" spans="21:21" x14ac:dyDescent="0.25">
      <c r="U513" s="9">
        <f>IF(C513&lt;&gt;0,C513-Gear!$C$5,0)</f>
        <v>0</v>
      </c>
    </row>
    <row r="514" spans="21:21" x14ac:dyDescent="0.25">
      <c r="U514" s="9">
        <f>IF(C514&lt;&gt;0,C514-Gear!$C$5,0)</f>
        <v>0</v>
      </c>
    </row>
    <row r="515" spans="21:21" x14ac:dyDescent="0.25">
      <c r="U515" s="9">
        <f>IF(C515&lt;&gt;0,C515-Gear!$C$5,0)</f>
        <v>0</v>
      </c>
    </row>
    <row r="516" spans="21:21" x14ac:dyDescent="0.25">
      <c r="U516" s="9">
        <f>IF(C516&lt;&gt;0,C516-Gear!$C$5,0)</f>
        <v>0</v>
      </c>
    </row>
    <row r="517" spans="21:21" x14ac:dyDescent="0.25">
      <c r="U517" s="9">
        <f>IF(C517&lt;&gt;0,C517-Gear!$C$5,0)</f>
        <v>0</v>
      </c>
    </row>
    <row r="518" spans="21:21" x14ac:dyDescent="0.25">
      <c r="U518" s="9">
        <f>IF(C518&lt;&gt;0,C518-Gear!$C$5,0)</f>
        <v>0</v>
      </c>
    </row>
    <row r="519" spans="21:21" x14ac:dyDescent="0.25">
      <c r="U519" s="9">
        <f>IF(C519&lt;&gt;0,C519-Gear!$C$5,0)</f>
        <v>0</v>
      </c>
    </row>
    <row r="520" spans="21:21" x14ac:dyDescent="0.25">
      <c r="U520" s="9">
        <f>IF(C520&lt;&gt;0,C520-Gear!$C$5,0)</f>
        <v>0</v>
      </c>
    </row>
    <row r="521" spans="21:21" x14ac:dyDescent="0.25">
      <c r="U521" s="9">
        <f>IF(C521&lt;&gt;0,C521-Gear!$C$5,0)</f>
        <v>0</v>
      </c>
    </row>
    <row r="522" spans="21:21" x14ac:dyDescent="0.25">
      <c r="U522" s="9">
        <f>IF(C522&lt;&gt;0,C522-Gear!$C$5,0)</f>
        <v>0</v>
      </c>
    </row>
    <row r="523" spans="21:21" x14ac:dyDescent="0.25">
      <c r="U523" s="9">
        <f>IF(C523&lt;&gt;0,C523-Gear!$C$5,0)</f>
        <v>0</v>
      </c>
    </row>
    <row r="524" spans="21:21" x14ac:dyDescent="0.25">
      <c r="U524" s="9">
        <f>IF(C524&lt;&gt;0,C524-Gear!$C$5,0)</f>
        <v>0</v>
      </c>
    </row>
    <row r="525" spans="21:21" x14ac:dyDescent="0.25">
      <c r="U525" s="9">
        <f>IF(C525&lt;&gt;0,C525-Gear!$C$5,0)</f>
        <v>0</v>
      </c>
    </row>
    <row r="526" spans="21:21" x14ac:dyDescent="0.25">
      <c r="U526" s="9">
        <f>IF(C526&lt;&gt;0,C526-Gear!$C$5,0)</f>
        <v>0</v>
      </c>
    </row>
    <row r="527" spans="21:21" x14ac:dyDescent="0.25">
      <c r="U527" s="9">
        <f>IF(C527&lt;&gt;0,C527-Gear!$C$5,0)</f>
        <v>0</v>
      </c>
    </row>
    <row r="528" spans="21:21" x14ac:dyDescent="0.25">
      <c r="U528" s="9">
        <f>IF(C528&lt;&gt;0,C528-Gear!$C$5,0)</f>
        <v>0</v>
      </c>
    </row>
    <row r="529" spans="21:21" x14ac:dyDescent="0.25">
      <c r="U529" s="9">
        <f>IF(C529&lt;&gt;0,C529-Gear!$C$5,0)</f>
        <v>0</v>
      </c>
    </row>
    <row r="530" spans="21:21" x14ac:dyDescent="0.25">
      <c r="U530" s="9">
        <f>IF(C530&lt;&gt;0,C530-Gear!$C$5,0)</f>
        <v>0</v>
      </c>
    </row>
    <row r="531" spans="21:21" x14ac:dyDescent="0.25">
      <c r="U531" s="9">
        <f>IF(C531&lt;&gt;0,C531-Gear!$C$5,0)</f>
        <v>0</v>
      </c>
    </row>
    <row r="532" spans="21:21" x14ac:dyDescent="0.25">
      <c r="U532" s="9">
        <f>IF(C532&lt;&gt;0,C532-Gear!$C$5,0)</f>
        <v>0</v>
      </c>
    </row>
    <row r="533" spans="21:21" x14ac:dyDescent="0.25">
      <c r="U533" s="9">
        <f>IF(C533&lt;&gt;0,C533-Gear!$C$5,0)</f>
        <v>0</v>
      </c>
    </row>
    <row r="534" spans="21:21" x14ac:dyDescent="0.25">
      <c r="U534" s="9">
        <f>IF(C534&lt;&gt;0,C534-Gear!$C$5,0)</f>
        <v>0</v>
      </c>
    </row>
    <row r="535" spans="21:21" x14ac:dyDescent="0.25">
      <c r="U535" s="9">
        <f>IF(C535&lt;&gt;0,C535-Gear!$C$5,0)</f>
        <v>0</v>
      </c>
    </row>
    <row r="536" spans="21:21" x14ac:dyDescent="0.25">
      <c r="U536" s="9">
        <f>IF(C536&lt;&gt;0,C536-Gear!$C$5,0)</f>
        <v>0</v>
      </c>
    </row>
    <row r="537" spans="21:21" x14ac:dyDescent="0.25">
      <c r="U537" s="9">
        <f>IF(C537&lt;&gt;0,C537-Gear!$C$5,0)</f>
        <v>0</v>
      </c>
    </row>
    <row r="538" spans="21:21" x14ac:dyDescent="0.25">
      <c r="U538" s="9">
        <f>IF(C538&lt;&gt;0,C538-Gear!$C$5,0)</f>
        <v>0</v>
      </c>
    </row>
    <row r="539" spans="21:21" x14ac:dyDescent="0.25">
      <c r="U539" s="9">
        <f>IF(C539&lt;&gt;0,C539-Gear!$C$5,0)</f>
        <v>0</v>
      </c>
    </row>
    <row r="540" spans="21:21" x14ac:dyDescent="0.25">
      <c r="U540" s="9">
        <f>IF(C540&lt;&gt;0,C540-Gear!$C$5,0)</f>
        <v>0</v>
      </c>
    </row>
    <row r="541" spans="21:21" x14ac:dyDescent="0.25">
      <c r="U541" s="9">
        <f>IF(C541&lt;&gt;0,C541-Gear!$C$5,0)</f>
        <v>0</v>
      </c>
    </row>
    <row r="542" spans="21:21" x14ac:dyDescent="0.25">
      <c r="U542" s="9">
        <f>IF(C542&lt;&gt;0,C542-Gear!$C$5,0)</f>
        <v>0</v>
      </c>
    </row>
    <row r="543" spans="21:21" x14ac:dyDescent="0.25">
      <c r="U543" s="9">
        <f>IF(C543&lt;&gt;0,C543-Gear!$C$5,0)</f>
        <v>0</v>
      </c>
    </row>
    <row r="544" spans="21:21" x14ac:dyDescent="0.25">
      <c r="U544" s="9">
        <f>IF(C544&lt;&gt;0,C544-Gear!$C$5,0)</f>
        <v>0</v>
      </c>
    </row>
    <row r="545" spans="21:21" x14ac:dyDescent="0.25">
      <c r="U545" s="9">
        <f>IF(C545&lt;&gt;0,C545-Gear!$C$5,0)</f>
        <v>0</v>
      </c>
    </row>
    <row r="546" spans="21:21" x14ac:dyDescent="0.25">
      <c r="U546" s="9">
        <f>IF(C546&lt;&gt;0,C546-Gear!$C$5,0)</f>
        <v>0</v>
      </c>
    </row>
    <row r="547" spans="21:21" x14ac:dyDescent="0.25">
      <c r="U547" s="9">
        <f>IF(C547&lt;&gt;0,C547-Gear!$C$5,0)</f>
        <v>0</v>
      </c>
    </row>
    <row r="548" spans="21:21" x14ac:dyDescent="0.25">
      <c r="U548" s="9">
        <f>IF(C548&lt;&gt;0,C548-Gear!$C$5,0)</f>
        <v>0</v>
      </c>
    </row>
    <row r="549" spans="21:21" x14ac:dyDescent="0.25">
      <c r="U549" s="9">
        <f>IF(C549&lt;&gt;0,C549-Gear!$C$5,0)</f>
        <v>0</v>
      </c>
    </row>
    <row r="550" spans="21:21" x14ac:dyDescent="0.25">
      <c r="U550" s="9">
        <f>IF(C550&lt;&gt;0,C550-Gear!$C$5,0)</f>
        <v>0</v>
      </c>
    </row>
    <row r="551" spans="21:21" x14ac:dyDescent="0.25">
      <c r="U551" s="9">
        <f>IF(C551&lt;&gt;0,C551-Gear!$C$5,0)</f>
        <v>0</v>
      </c>
    </row>
    <row r="552" spans="21:21" x14ac:dyDescent="0.25">
      <c r="U552" s="9">
        <f>IF(C552&lt;&gt;0,C552-Gear!$C$5,0)</f>
        <v>0</v>
      </c>
    </row>
    <row r="553" spans="21:21" x14ac:dyDescent="0.25">
      <c r="U553" s="9">
        <f>IF(C553&lt;&gt;0,C553-Gear!$C$5,0)</f>
        <v>0</v>
      </c>
    </row>
    <row r="554" spans="21:21" x14ac:dyDescent="0.25">
      <c r="U554" s="9">
        <f>IF(C554&lt;&gt;0,C554-Gear!$C$5,0)</f>
        <v>0</v>
      </c>
    </row>
    <row r="555" spans="21:21" x14ac:dyDescent="0.25">
      <c r="U555" s="9">
        <f>IF(C555&lt;&gt;0,C555-Gear!$C$5,0)</f>
        <v>0</v>
      </c>
    </row>
    <row r="556" spans="21:21" x14ac:dyDescent="0.25">
      <c r="U556" s="9">
        <f>IF(C556&lt;&gt;0,C556-Gear!$C$5,0)</f>
        <v>0</v>
      </c>
    </row>
    <row r="557" spans="21:21" x14ac:dyDescent="0.25">
      <c r="U557" s="9">
        <f>IF(C557&lt;&gt;0,C557-Gear!$C$5,0)</f>
        <v>0</v>
      </c>
    </row>
    <row r="558" spans="21:21" x14ac:dyDescent="0.25">
      <c r="U558" s="9">
        <f>IF(C558&lt;&gt;0,C558-Gear!$C$5,0)</f>
        <v>0</v>
      </c>
    </row>
    <row r="559" spans="21:21" x14ac:dyDescent="0.25">
      <c r="U559" s="9">
        <f>IF(C559&lt;&gt;0,C559-Gear!$C$5,0)</f>
        <v>0</v>
      </c>
    </row>
    <row r="560" spans="21:21" x14ac:dyDescent="0.25">
      <c r="U560" s="9">
        <f>IF(C560&lt;&gt;0,C560-Gear!$C$5,0)</f>
        <v>0</v>
      </c>
    </row>
    <row r="561" spans="21:21" x14ac:dyDescent="0.25">
      <c r="U561" s="9">
        <f>IF(C561&lt;&gt;0,C561-Gear!$C$5,0)</f>
        <v>0</v>
      </c>
    </row>
    <row r="562" spans="21:21" x14ac:dyDescent="0.25">
      <c r="U562" s="9">
        <f>IF(C562&lt;&gt;0,C562-Gear!$C$5,0)</f>
        <v>0</v>
      </c>
    </row>
    <row r="563" spans="21:21" x14ac:dyDescent="0.25">
      <c r="U563" s="9">
        <f>IF(C563&lt;&gt;0,C563-Gear!$C$5,0)</f>
        <v>0</v>
      </c>
    </row>
    <row r="564" spans="21:21" x14ac:dyDescent="0.25">
      <c r="U564" s="9">
        <f>IF(C564&lt;&gt;0,C564-Gear!$C$5,0)</f>
        <v>0</v>
      </c>
    </row>
    <row r="565" spans="21:21" x14ac:dyDescent="0.25">
      <c r="U565" s="9">
        <f>IF(C565&lt;&gt;0,C565-Gear!$C$5,0)</f>
        <v>0</v>
      </c>
    </row>
    <row r="566" spans="21:21" x14ac:dyDescent="0.25">
      <c r="U566" s="9">
        <f>IF(C566&lt;&gt;0,C566-Gear!$C$5,0)</f>
        <v>0</v>
      </c>
    </row>
    <row r="567" spans="21:21" x14ac:dyDescent="0.25">
      <c r="U567" s="9">
        <f>IF(C567&lt;&gt;0,C567-Gear!$C$5,0)</f>
        <v>0</v>
      </c>
    </row>
    <row r="568" spans="21:21" x14ac:dyDescent="0.25">
      <c r="U568" s="9">
        <f>IF(C568&lt;&gt;0,C568-Gear!$C$5,0)</f>
        <v>0</v>
      </c>
    </row>
    <row r="569" spans="21:21" x14ac:dyDescent="0.25">
      <c r="U569" s="9">
        <f>IF(C569&lt;&gt;0,C569-Gear!$C$5,0)</f>
        <v>0</v>
      </c>
    </row>
    <row r="570" spans="21:21" x14ac:dyDescent="0.25">
      <c r="U570" s="9">
        <f>IF(C570&lt;&gt;0,C570-Gear!$C$5,0)</f>
        <v>0</v>
      </c>
    </row>
    <row r="571" spans="21:21" x14ac:dyDescent="0.25">
      <c r="U571" s="9">
        <f>IF(C571&lt;&gt;0,C571-Gear!$C$5,0)</f>
        <v>0</v>
      </c>
    </row>
    <row r="572" spans="21:21" x14ac:dyDescent="0.25">
      <c r="U572" s="9">
        <f>IF(C572&lt;&gt;0,C572-Gear!$C$5,0)</f>
        <v>0</v>
      </c>
    </row>
    <row r="573" spans="21:21" x14ac:dyDescent="0.25">
      <c r="U573" s="9">
        <f>IF(C573&lt;&gt;0,C573-Gear!$C$5,0)</f>
        <v>0</v>
      </c>
    </row>
    <row r="574" spans="21:21" x14ac:dyDescent="0.25">
      <c r="U574" s="9">
        <f>IF(C574&lt;&gt;0,C574-Gear!$C$5,0)</f>
        <v>0</v>
      </c>
    </row>
    <row r="575" spans="21:21" x14ac:dyDescent="0.25">
      <c r="U575" s="9">
        <f>IF(C575&lt;&gt;0,C575-Gear!$C$5,0)</f>
        <v>0</v>
      </c>
    </row>
    <row r="576" spans="21:21" x14ac:dyDescent="0.25">
      <c r="U576" s="9">
        <f>IF(C576&lt;&gt;0,C576-Gear!$C$5,0)</f>
        <v>0</v>
      </c>
    </row>
    <row r="577" spans="21:21" x14ac:dyDescent="0.25">
      <c r="U577" s="9">
        <f>IF(C577&lt;&gt;0,C577-Gear!$C$5,0)</f>
        <v>0</v>
      </c>
    </row>
    <row r="578" spans="21:21" x14ac:dyDescent="0.25">
      <c r="U578" s="9">
        <f>IF(C578&lt;&gt;0,C578-Gear!$C$5,0)</f>
        <v>0</v>
      </c>
    </row>
    <row r="579" spans="21:21" x14ac:dyDescent="0.25">
      <c r="U579" s="9">
        <f>IF(C579&lt;&gt;0,C579-Gear!$C$5,0)</f>
        <v>0</v>
      </c>
    </row>
    <row r="580" spans="21:21" x14ac:dyDescent="0.25">
      <c r="U580" s="9">
        <f>IF(C580&lt;&gt;0,C580-Gear!$C$5,0)</f>
        <v>0</v>
      </c>
    </row>
    <row r="581" spans="21:21" x14ac:dyDescent="0.25">
      <c r="U581" s="9">
        <f>IF(C581&lt;&gt;0,C581-Gear!$C$5,0)</f>
        <v>0</v>
      </c>
    </row>
    <row r="582" spans="21:21" x14ac:dyDescent="0.25">
      <c r="U582" s="9">
        <f>IF(C582&lt;&gt;0,C582-Gear!$C$5,0)</f>
        <v>0</v>
      </c>
    </row>
    <row r="583" spans="21:21" x14ac:dyDescent="0.25">
      <c r="U583" s="9">
        <f>IF(C583&lt;&gt;0,C583-Gear!$C$5,0)</f>
        <v>0</v>
      </c>
    </row>
    <row r="584" spans="21:21" x14ac:dyDescent="0.25">
      <c r="U584" s="9">
        <f>IF(C584&lt;&gt;0,C584-Gear!$C$5,0)</f>
        <v>0</v>
      </c>
    </row>
    <row r="585" spans="21:21" x14ac:dyDescent="0.25">
      <c r="U585" s="9">
        <f>IF(C585&lt;&gt;0,C585-Gear!$C$5,0)</f>
        <v>0</v>
      </c>
    </row>
    <row r="586" spans="21:21" x14ac:dyDescent="0.25">
      <c r="U586" s="9">
        <f>IF(C586&lt;&gt;0,C586-Gear!$C$5,0)</f>
        <v>0</v>
      </c>
    </row>
    <row r="587" spans="21:21" x14ac:dyDescent="0.25">
      <c r="U587" s="9">
        <f>IF(C587&lt;&gt;0,C587-Gear!$C$5,0)</f>
        <v>0</v>
      </c>
    </row>
    <row r="588" spans="21:21" x14ac:dyDescent="0.25">
      <c r="U588" s="9">
        <f>IF(C588&lt;&gt;0,C588-Gear!$C$5,0)</f>
        <v>0</v>
      </c>
    </row>
    <row r="589" spans="21:21" x14ac:dyDescent="0.25">
      <c r="U589" s="9">
        <f>IF(C589&lt;&gt;0,C589-Gear!$C$5,0)</f>
        <v>0</v>
      </c>
    </row>
    <row r="590" spans="21:21" x14ac:dyDescent="0.25">
      <c r="U590" s="9">
        <f>IF(C590&lt;&gt;0,C590-Gear!$C$5,0)</f>
        <v>0</v>
      </c>
    </row>
    <row r="591" spans="21:21" x14ac:dyDescent="0.25">
      <c r="U591" s="9">
        <f>IF(C591&lt;&gt;0,C591-Gear!$C$5,0)</f>
        <v>0</v>
      </c>
    </row>
    <row r="592" spans="21:21" x14ac:dyDescent="0.25">
      <c r="U592" s="9">
        <f>IF(C592&lt;&gt;0,C592-Gear!$C$5,0)</f>
        <v>0</v>
      </c>
    </row>
    <row r="593" spans="21:21" x14ac:dyDescent="0.25">
      <c r="U593" s="9">
        <f>IF(C593&lt;&gt;0,C593-Gear!$C$5,0)</f>
        <v>0</v>
      </c>
    </row>
    <row r="594" spans="21:21" x14ac:dyDescent="0.25">
      <c r="U594" s="9">
        <f>IF(C594&lt;&gt;0,C594-Gear!$C$5,0)</f>
        <v>0</v>
      </c>
    </row>
    <row r="595" spans="21:21" x14ac:dyDescent="0.25">
      <c r="U595" s="9">
        <f>IF(C595&lt;&gt;0,C595-Gear!$C$5,0)</f>
        <v>0</v>
      </c>
    </row>
    <row r="596" spans="21:21" x14ac:dyDescent="0.25">
      <c r="U596" s="9">
        <f>IF(C596&lt;&gt;0,C596-Gear!$C$5,0)</f>
        <v>0</v>
      </c>
    </row>
    <row r="597" spans="21:21" x14ac:dyDescent="0.25">
      <c r="U597" s="9">
        <f>IF(C597&lt;&gt;0,C597-Gear!$C$5,0)</f>
        <v>0</v>
      </c>
    </row>
    <row r="598" spans="21:21" x14ac:dyDescent="0.25">
      <c r="U598" s="9">
        <f>IF(C598&lt;&gt;0,C598-Gear!$C$5,0)</f>
        <v>0</v>
      </c>
    </row>
    <row r="599" spans="21:21" x14ac:dyDescent="0.25">
      <c r="U599" s="9">
        <f>IF(C599&lt;&gt;0,C599-Gear!$C$5,0)</f>
        <v>0</v>
      </c>
    </row>
    <row r="600" spans="21:21" x14ac:dyDescent="0.25">
      <c r="U600" s="9">
        <f>IF(C600&lt;&gt;0,C600-Gear!$C$5,0)</f>
        <v>0</v>
      </c>
    </row>
    <row r="601" spans="21:21" x14ac:dyDescent="0.25">
      <c r="U601" s="9">
        <f>IF(C601&lt;&gt;0,C601-Gear!$C$5,0)</f>
        <v>0</v>
      </c>
    </row>
    <row r="602" spans="21:21" x14ac:dyDescent="0.25">
      <c r="U602" s="9">
        <f>IF(C602&lt;&gt;0,C602-Gear!$C$5,0)</f>
        <v>0</v>
      </c>
    </row>
    <row r="603" spans="21:21" x14ac:dyDescent="0.25">
      <c r="U603" s="9">
        <f>IF(C603&lt;&gt;0,C603-Gear!$C$5,0)</f>
        <v>0</v>
      </c>
    </row>
    <row r="604" spans="21:21" x14ac:dyDescent="0.25">
      <c r="U604" s="9">
        <f>IF(C604&lt;&gt;0,C604-Gear!$C$5,0)</f>
        <v>0</v>
      </c>
    </row>
    <row r="605" spans="21:21" x14ac:dyDescent="0.25">
      <c r="U605" s="9">
        <f>IF(C605&lt;&gt;0,C605-Gear!$C$5,0)</f>
        <v>0</v>
      </c>
    </row>
    <row r="606" spans="21:21" x14ac:dyDescent="0.25">
      <c r="U606" s="9">
        <f>IF(C606&lt;&gt;0,C606-Gear!$C$5,0)</f>
        <v>0</v>
      </c>
    </row>
    <row r="607" spans="21:21" x14ac:dyDescent="0.25">
      <c r="U607" s="9">
        <f>IF(C607&lt;&gt;0,C607-Gear!$C$5,0)</f>
        <v>0</v>
      </c>
    </row>
    <row r="608" spans="21:21" x14ac:dyDescent="0.25">
      <c r="U608" s="9">
        <f>IF(C608&lt;&gt;0,C608-Gear!$C$5,0)</f>
        <v>0</v>
      </c>
    </row>
    <row r="609" spans="21:21" x14ac:dyDescent="0.25">
      <c r="U609" s="9">
        <f>IF(C609&lt;&gt;0,C609-Gear!$C$5,0)</f>
        <v>0</v>
      </c>
    </row>
    <row r="610" spans="21:21" x14ac:dyDescent="0.25">
      <c r="U610" s="9">
        <f>IF(C610&lt;&gt;0,C610-Gear!$C$5,0)</f>
        <v>0</v>
      </c>
    </row>
    <row r="611" spans="21:21" x14ac:dyDescent="0.25">
      <c r="U611" s="9">
        <f>IF(C611&lt;&gt;0,C611-Gear!$C$5,0)</f>
        <v>0</v>
      </c>
    </row>
    <row r="612" spans="21:21" x14ac:dyDescent="0.25">
      <c r="U612" s="9">
        <f>IF(C612&lt;&gt;0,C612-Gear!$C$5,0)</f>
        <v>0</v>
      </c>
    </row>
    <row r="613" spans="21:21" x14ac:dyDescent="0.25">
      <c r="U613" s="9">
        <f>IF(C613&lt;&gt;0,C613-Gear!$C$5,0)</f>
        <v>0</v>
      </c>
    </row>
    <row r="614" spans="21:21" x14ac:dyDescent="0.25">
      <c r="U614" s="9">
        <f>IF(C614&lt;&gt;0,C614-Gear!$C$5,0)</f>
        <v>0</v>
      </c>
    </row>
    <row r="615" spans="21:21" x14ac:dyDescent="0.25">
      <c r="U615" s="9">
        <f>IF(C615&lt;&gt;0,C615-Gear!$C$5,0)</f>
        <v>0</v>
      </c>
    </row>
    <row r="616" spans="21:21" x14ac:dyDescent="0.25">
      <c r="U616" s="9">
        <f>IF(C616&lt;&gt;0,C616-Gear!$C$5,0)</f>
        <v>0</v>
      </c>
    </row>
    <row r="617" spans="21:21" x14ac:dyDescent="0.25">
      <c r="U617" s="9">
        <f>IF(C617&lt;&gt;0,C617-Gear!$C$5,0)</f>
        <v>0</v>
      </c>
    </row>
    <row r="618" spans="21:21" x14ac:dyDescent="0.25">
      <c r="U618" s="9">
        <f>IF(C618&lt;&gt;0,C618-Gear!$C$5,0)</f>
        <v>0</v>
      </c>
    </row>
    <row r="619" spans="21:21" x14ac:dyDescent="0.25">
      <c r="U619" s="9">
        <f>IF(C619&lt;&gt;0,C619-Gear!$C$5,0)</f>
        <v>0</v>
      </c>
    </row>
    <row r="620" spans="21:21" x14ac:dyDescent="0.25">
      <c r="U620" s="9">
        <f>IF(C620&lt;&gt;0,C620-Gear!$C$5,0)</f>
        <v>0</v>
      </c>
    </row>
    <row r="621" spans="21:21" x14ac:dyDescent="0.25">
      <c r="U621" s="9">
        <f>IF(C621&lt;&gt;0,C621-Gear!$C$5,0)</f>
        <v>0</v>
      </c>
    </row>
    <row r="622" spans="21:21" x14ac:dyDescent="0.25">
      <c r="U622" s="9">
        <f>IF(C622&lt;&gt;0,C622-Gear!$C$5,0)</f>
        <v>0</v>
      </c>
    </row>
    <row r="623" spans="21:21" x14ac:dyDescent="0.25">
      <c r="U623" s="9">
        <f>IF(C623&lt;&gt;0,C623-Gear!$C$5,0)</f>
        <v>0</v>
      </c>
    </row>
    <row r="624" spans="21:21" x14ac:dyDescent="0.25">
      <c r="U624" s="9">
        <f>IF(C624&lt;&gt;0,C624-Gear!$C$5,0)</f>
        <v>0</v>
      </c>
    </row>
    <row r="625" spans="21:21" x14ac:dyDescent="0.25">
      <c r="U625" s="9">
        <f>IF(C625&lt;&gt;0,C625-Gear!$C$5,0)</f>
        <v>0</v>
      </c>
    </row>
    <row r="626" spans="21:21" x14ac:dyDescent="0.25">
      <c r="U626" s="9">
        <f>IF(C626&lt;&gt;0,C626-Gear!$C$5,0)</f>
        <v>0</v>
      </c>
    </row>
    <row r="627" spans="21:21" x14ac:dyDescent="0.25">
      <c r="U627" s="9">
        <f>IF(C627&lt;&gt;0,C627-Gear!$C$5,0)</f>
        <v>0</v>
      </c>
    </row>
  </sheetData>
  <conditionalFormatting sqref="U2:U500">
    <cfRule type="cellIs" dxfId="11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7894-83FC-441C-A146-F89EF6D9B8D6}">
  <sheetPr codeName="Tabelle9"/>
  <dimension ref="A1:U245"/>
  <sheetViews>
    <sheetView showGridLines="0" workbookViewId="0">
      <selection activeCell="C2" sqref="C2"/>
    </sheetView>
  </sheetViews>
  <sheetFormatPr baseColWidth="10" defaultRowHeight="15" x14ac:dyDescent="0.25"/>
  <cols>
    <col min="1" max="1" width="6" style="9" bestFit="1" customWidth="1"/>
    <col min="2" max="2" width="30.28515625" style="9" bestFit="1" customWidth="1"/>
    <col min="3" max="3" width="12" style="9" bestFit="1" customWidth="1"/>
    <col min="4" max="4" width="6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21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  <col min="21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4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Database'!A8</f>
        <v>22496</v>
      </c>
      <c r="B2" s="9" t="str">
        <f>'Item Database'!B8</f>
        <v>Frostfire Robe</v>
      </c>
      <c r="C2" s="12">
        <f>'Item Database'!C8</f>
        <v>23.649708231748789</v>
      </c>
      <c r="D2" s="9" t="str">
        <f>'Item Database'!D8</f>
        <v>Chest</v>
      </c>
      <c r="E2" s="9">
        <f>'Item Database'!E8</f>
        <v>138</v>
      </c>
      <c r="F2" s="9">
        <f>'Item Database'!F8</f>
        <v>0</v>
      </c>
      <c r="G2" s="9">
        <f>'Item Database'!G8</f>
        <v>21</v>
      </c>
      <c r="H2" s="9">
        <f>'Item Database'!H8</f>
        <v>0</v>
      </c>
      <c r="I2" s="9">
        <f>'Item Database'!I8</f>
        <v>27</v>
      </c>
      <c r="J2" s="9">
        <f>'Item Database'!J8</f>
        <v>0</v>
      </c>
      <c r="K2" s="9">
        <f>'Item Database'!K8</f>
        <v>47</v>
      </c>
      <c r="L2" s="21">
        <f>'Item Database'!L8</f>
        <v>0.01</v>
      </c>
      <c r="M2" s="35">
        <f>'Item Database'!M8</f>
        <v>0.01</v>
      </c>
      <c r="N2" s="9">
        <f>'Item Database'!N8</f>
        <v>0</v>
      </c>
      <c r="O2" s="9">
        <f>'Item Database'!O8</f>
        <v>0</v>
      </c>
      <c r="P2" s="9">
        <f>'Item Database'!P8</f>
        <v>0</v>
      </c>
      <c r="Q2" s="9">
        <f>'Item Database'!Q8</f>
        <v>0</v>
      </c>
      <c r="R2" s="9">
        <f>'Item Database'!R8</f>
        <v>0</v>
      </c>
      <c r="S2" s="9">
        <f>'Item Database'!S8</f>
        <v>0</v>
      </c>
      <c r="T2" s="53" t="str">
        <f>HYPERLINK('Item Database'!T8)</f>
        <v>https://classic.wowhead.com/item=22496</v>
      </c>
      <c r="U2" s="9">
        <f>IF(C2&lt;&gt;0,C2-Gear!$C$6,0)</f>
        <v>23.649708231748789</v>
      </c>
    </row>
    <row r="3" spans="1:21" x14ac:dyDescent="0.25">
      <c r="A3" s="24">
        <f>'Item Database'!A18</f>
        <v>21838</v>
      </c>
      <c r="B3" s="9" t="str">
        <f>'Item Database'!B18</f>
        <v>Garb of Royal Ascension</v>
      </c>
      <c r="C3" s="12">
        <f>'Item Database'!C18</f>
        <v>17.197181752122315</v>
      </c>
      <c r="D3" s="9" t="str">
        <f>'Item Database'!D18</f>
        <v>Chest</v>
      </c>
      <c r="E3" s="9">
        <f>'Item Database'!E18</f>
        <v>109</v>
      </c>
      <c r="F3" s="9">
        <f>'Item Database'!F18</f>
        <v>0</v>
      </c>
      <c r="G3" s="9">
        <f>'Item Database'!G18</f>
        <v>21</v>
      </c>
      <c r="H3" s="9">
        <f>'Item Database'!H18</f>
        <v>0</v>
      </c>
      <c r="I3" s="9">
        <f>'Item Database'!I18</f>
        <v>0</v>
      </c>
      <c r="J3" s="9">
        <f>'Item Database'!J18</f>
        <v>0</v>
      </c>
      <c r="K3" s="9">
        <f>'Item Database'!K18</f>
        <v>30</v>
      </c>
      <c r="L3" s="21">
        <f>'Item Database'!L18</f>
        <v>0</v>
      </c>
      <c r="M3" s="35">
        <f>'Item Database'!M18</f>
        <v>0.02</v>
      </c>
      <c r="N3" s="9">
        <f>'Item Database'!N18</f>
        <v>0</v>
      </c>
      <c r="O3" s="9">
        <f>'Item Database'!O18</f>
        <v>0</v>
      </c>
      <c r="P3" s="9">
        <f>'Item Database'!P18</f>
        <v>0</v>
      </c>
      <c r="Q3" s="9">
        <f>'Item Database'!Q18</f>
        <v>0</v>
      </c>
      <c r="R3" s="9">
        <f>'Item Database'!R18</f>
        <v>25</v>
      </c>
      <c r="S3" s="9">
        <f>'Item Database'!S18</f>
        <v>0</v>
      </c>
      <c r="T3" s="53" t="str">
        <f>HYPERLINK('Item Database'!T18)</f>
        <v>https://classic.wowhead.com/item=21838</v>
      </c>
      <c r="U3" s="9">
        <f>IF(C3&lt;&gt;0,C3-Gear!$C$6,0)</f>
        <v>17.197181752122315</v>
      </c>
    </row>
    <row r="4" spans="1:21" x14ac:dyDescent="0.25">
      <c r="A4" s="24">
        <f>'Item Database'!A19</f>
        <v>19682</v>
      </c>
      <c r="B4" s="9" t="str">
        <f>'Item Database'!B19</f>
        <v>Bloodvine Vest</v>
      </c>
      <c r="C4" s="12">
        <f>'Item Database'!C19</f>
        <v>16.655577314628438</v>
      </c>
      <c r="D4" s="9" t="str">
        <f>'Item Database'!D19</f>
        <v>Chest</v>
      </c>
      <c r="E4" s="9">
        <f>'Item Database'!E19</f>
        <v>92</v>
      </c>
      <c r="F4" s="9">
        <f>'Item Database'!F19</f>
        <v>0</v>
      </c>
      <c r="G4" s="9">
        <f>'Item Database'!G19</f>
        <v>0</v>
      </c>
      <c r="H4" s="9">
        <f>'Item Database'!H19</f>
        <v>0</v>
      </c>
      <c r="I4" s="9">
        <f>'Item Database'!I19</f>
        <v>13</v>
      </c>
      <c r="J4" s="9">
        <f>'Item Database'!J19</f>
        <v>0</v>
      </c>
      <c r="K4" s="9">
        <f>'Item Database'!K19</f>
        <v>27</v>
      </c>
      <c r="L4" s="21">
        <f>'Item Database'!L19</f>
        <v>0</v>
      </c>
      <c r="M4" s="35">
        <f>'Item Database'!M19</f>
        <v>0.02</v>
      </c>
      <c r="N4" s="9">
        <f>'Item Database'!N19</f>
        <v>0</v>
      </c>
      <c r="O4" s="9">
        <f>'Item Database'!O19</f>
        <v>0</v>
      </c>
      <c r="P4" s="9">
        <f>'Item Database'!P19</f>
        <v>0</v>
      </c>
      <c r="Q4" s="9">
        <f>'Item Database'!Q19</f>
        <v>0</v>
      </c>
      <c r="R4" s="9">
        <f>'Item Database'!R19</f>
        <v>0</v>
      </c>
      <c r="S4" s="9">
        <f>'Item Database'!S19</f>
        <v>0</v>
      </c>
      <c r="T4" s="53" t="str">
        <f>HYPERLINK('Item Database'!T19)</f>
        <v>https://classic.wowhead.com/item=19682</v>
      </c>
      <c r="U4" s="9">
        <f>IF(C4&lt;&gt;0,C4-Gear!$C$6,0)</f>
        <v>16.655577314628438</v>
      </c>
    </row>
    <row r="5" spans="1:21" x14ac:dyDescent="0.25">
      <c r="A5" s="24">
        <f>'Item Database'!A21</f>
        <v>21413</v>
      </c>
      <c r="B5" s="9" t="str">
        <f>'Item Database'!B21</f>
        <v>Blade of Vaulted Secrets</v>
      </c>
      <c r="C5" s="12">
        <f>'Item Database'!C21</f>
        <v>18.232913448607615</v>
      </c>
      <c r="D5" s="9" t="str">
        <f>'Item Database'!D21</f>
        <v>Weapon</v>
      </c>
      <c r="E5" s="9">
        <f>'Item Database'!E21</f>
        <v>0</v>
      </c>
      <c r="F5" s="9">
        <f>'Item Database'!F21</f>
        <v>0</v>
      </c>
      <c r="G5" s="9">
        <f>'Item Database'!G21</f>
        <v>8</v>
      </c>
      <c r="H5" s="9">
        <f>'Item Database'!H21</f>
        <v>0</v>
      </c>
      <c r="I5" s="9">
        <f>'Item Database'!I21</f>
        <v>16</v>
      </c>
      <c r="J5" s="9">
        <f>'Item Database'!J21</f>
        <v>0</v>
      </c>
      <c r="K5" s="9">
        <f>'Item Database'!K21</f>
        <v>40</v>
      </c>
      <c r="L5" s="21">
        <f>'Item Database'!L21</f>
        <v>0</v>
      </c>
      <c r="M5" s="35">
        <f>'Item Database'!M21</f>
        <v>0.01</v>
      </c>
      <c r="N5" s="9">
        <f>'Item Database'!N21</f>
        <v>0</v>
      </c>
      <c r="O5" s="9">
        <f>'Item Database'!O21</f>
        <v>0</v>
      </c>
      <c r="P5" s="9">
        <f>'Item Database'!P21</f>
        <v>0</v>
      </c>
      <c r="Q5" s="9">
        <f>'Item Database'!Q21</f>
        <v>0</v>
      </c>
      <c r="R5" s="9">
        <f>'Item Database'!R21</f>
        <v>0</v>
      </c>
      <c r="S5" s="9">
        <f>'Item Database'!S21</f>
        <v>0</v>
      </c>
      <c r="T5" s="53" t="str">
        <f>HYPERLINK('Item Database'!T21)</f>
        <v>https://classic.wowhead.com/item=21413</v>
      </c>
      <c r="U5" s="9">
        <f>IF(C5&lt;&gt;0,C5-Gear!$C$6,0)</f>
        <v>18.232913448607615</v>
      </c>
    </row>
    <row r="6" spans="1:21" x14ac:dyDescent="0.25">
      <c r="A6" s="24">
        <f>'Item Database'!A29</f>
        <v>21709</v>
      </c>
      <c r="B6" s="9" t="str">
        <f>'Item Database'!B29</f>
        <v>Ring of the Fallen God</v>
      </c>
      <c r="C6" s="12">
        <f>'Item Database'!C29</f>
        <v>16.74400148846836</v>
      </c>
      <c r="D6" s="9" t="str">
        <f>'Item Database'!D29</f>
        <v>Ring</v>
      </c>
      <c r="E6" s="9">
        <f>'Item Database'!E29</f>
        <v>0</v>
      </c>
      <c r="F6" s="9">
        <f>'Item Database'!F29</f>
        <v>0</v>
      </c>
      <c r="G6" s="9">
        <f>'Item Database'!G29</f>
        <v>5</v>
      </c>
      <c r="H6" s="9">
        <f>'Item Database'!H29</f>
        <v>0</v>
      </c>
      <c r="I6" s="9">
        <f>'Item Database'!I29</f>
        <v>6</v>
      </c>
      <c r="J6" s="9">
        <f>'Item Database'!J29</f>
        <v>0</v>
      </c>
      <c r="K6" s="9">
        <f>'Item Database'!K29</f>
        <v>37</v>
      </c>
      <c r="L6" s="21">
        <f>'Item Database'!L29</f>
        <v>0</v>
      </c>
      <c r="M6" s="35">
        <f>'Item Database'!M29</f>
        <v>0.01</v>
      </c>
      <c r="N6" s="9">
        <f>'Item Database'!N29</f>
        <v>0</v>
      </c>
      <c r="O6" s="9">
        <f>'Item Database'!O29</f>
        <v>0</v>
      </c>
      <c r="P6" s="9">
        <f>'Item Database'!P29</f>
        <v>0</v>
      </c>
      <c r="Q6" s="9">
        <f>'Item Database'!Q29</f>
        <v>0</v>
      </c>
      <c r="R6" s="9">
        <f>'Item Database'!R29</f>
        <v>0</v>
      </c>
      <c r="S6" s="9">
        <f>'Item Database'!S29</f>
        <v>0</v>
      </c>
      <c r="T6" s="53" t="str">
        <f>HYPERLINK('Item Database'!T29)</f>
        <v>https://classic.wowhead.com/item=21709</v>
      </c>
      <c r="U6" s="9">
        <f>IF(C6&lt;&gt;0,C6-Gear!$C$6,0)</f>
        <v>16.74400148846836</v>
      </c>
    </row>
    <row r="7" spans="1:21" x14ac:dyDescent="0.25">
      <c r="A7" s="24">
        <f>'Item Database'!A36</f>
        <v>16916</v>
      </c>
      <c r="B7" s="9" t="str">
        <f>'Item Database'!B36</f>
        <v>Netherwind Robes</v>
      </c>
      <c r="C7" s="12">
        <f>'Item Database'!C36</f>
        <v>15.009930072094354</v>
      </c>
      <c r="D7" s="9" t="str">
        <f>'Item Database'!D36</f>
        <v>Chest</v>
      </c>
      <c r="E7" s="9">
        <f>'Item Database'!E36</f>
        <v>116</v>
      </c>
      <c r="F7" s="9">
        <f>'Item Database'!F36</f>
        <v>0</v>
      </c>
      <c r="G7" s="9">
        <f>'Item Database'!G36</f>
        <v>16</v>
      </c>
      <c r="H7" s="9">
        <f>'Item Database'!H36</f>
        <v>0</v>
      </c>
      <c r="I7" s="9">
        <f>'Item Database'!I36</f>
        <v>26</v>
      </c>
      <c r="J7" s="9">
        <f>'Item Database'!J36</f>
        <v>8</v>
      </c>
      <c r="K7" s="9">
        <f>'Item Database'!K36</f>
        <v>32</v>
      </c>
      <c r="L7" s="21">
        <f>'Item Database'!L36</f>
        <v>0.01</v>
      </c>
      <c r="M7" s="35">
        <f>'Item Database'!M36</f>
        <v>0</v>
      </c>
      <c r="N7" s="9">
        <f>'Item Database'!N36</f>
        <v>0</v>
      </c>
      <c r="O7" s="9">
        <f>'Item Database'!O36</f>
        <v>10</v>
      </c>
      <c r="P7" s="9">
        <f>'Item Database'!P36</f>
        <v>0</v>
      </c>
      <c r="Q7" s="9">
        <f>'Item Database'!Q36</f>
        <v>10</v>
      </c>
      <c r="R7" s="9">
        <f>'Item Database'!R36</f>
        <v>0</v>
      </c>
      <c r="S7" s="9">
        <f>'Item Database'!S36</f>
        <v>0</v>
      </c>
      <c r="T7" s="53" t="str">
        <f>HYPERLINK('Item Database'!T36)</f>
        <v>https://classic.wowhead.com/item=16916</v>
      </c>
      <c r="U7" s="9">
        <f>IF(C7&lt;&gt;0,C7-Gear!$C$6,0)</f>
        <v>15.009930072094354</v>
      </c>
    </row>
    <row r="8" spans="1:21" x14ac:dyDescent="0.25">
      <c r="A8" s="24">
        <f>'Item Database'!A38</f>
        <v>16443</v>
      </c>
      <c r="B8" s="9" t="str">
        <f>'Item Database'!B38</f>
        <v>Field Marshal's Silk Vestments</v>
      </c>
      <c r="C8" s="12">
        <f>'Item Database'!C38</f>
        <v>14.99825756115702</v>
      </c>
      <c r="D8" s="9" t="str">
        <f>'Item Database'!D38</f>
        <v>Chest</v>
      </c>
      <c r="E8" s="9">
        <f>'Item Database'!E38</f>
        <v>183</v>
      </c>
      <c r="F8" s="9">
        <f>'Item Database'!F38</f>
        <v>0</v>
      </c>
      <c r="G8" s="9">
        <f>'Item Database'!G38</f>
        <v>28</v>
      </c>
      <c r="H8" s="9">
        <f>'Item Database'!H38</f>
        <v>0</v>
      </c>
      <c r="I8" s="9">
        <f>'Item Database'!I38</f>
        <v>17</v>
      </c>
      <c r="J8" s="9">
        <f>'Item Database'!J38</f>
        <v>6</v>
      </c>
      <c r="K8" s="9">
        <f>'Item Database'!K38</f>
        <v>33</v>
      </c>
      <c r="L8" s="21">
        <f>'Item Database'!L38</f>
        <v>0.01</v>
      </c>
      <c r="M8" s="35">
        <f>'Item Database'!M38</f>
        <v>0</v>
      </c>
      <c r="N8" s="9">
        <f>'Item Database'!N38</f>
        <v>0</v>
      </c>
      <c r="O8" s="9">
        <f>'Item Database'!O38</f>
        <v>0</v>
      </c>
      <c r="P8" s="9">
        <f>'Item Database'!P38</f>
        <v>0</v>
      </c>
      <c r="Q8" s="9">
        <f>'Item Database'!Q38</f>
        <v>0</v>
      </c>
      <c r="R8" s="9">
        <f>'Item Database'!R38</f>
        <v>0</v>
      </c>
      <c r="S8" s="9">
        <f>'Item Database'!S38</f>
        <v>0</v>
      </c>
      <c r="T8" s="53" t="str">
        <f>HYPERLINK('Item Database'!T38)</f>
        <v>https://classic.wowhead.com/item=16443</v>
      </c>
      <c r="U8" s="9">
        <f>IF(C8&lt;&gt;0,C8-Gear!$C$6,0)</f>
        <v>14.99825756115702</v>
      </c>
    </row>
    <row r="9" spans="1:21" x14ac:dyDescent="0.25">
      <c r="A9" s="24">
        <f>'Item Database'!A41</f>
        <v>22502</v>
      </c>
      <c r="B9" s="9" t="str">
        <f>'Item Database'!B41</f>
        <v>Frostfire Belt</v>
      </c>
      <c r="C9" s="12">
        <f>'Item Database'!C41</f>
        <v>14.130693369748069</v>
      </c>
      <c r="D9" s="9" t="str">
        <f>'Item Database'!D41</f>
        <v>Waist</v>
      </c>
      <c r="E9" s="9">
        <f>'Item Database'!E41</f>
        <v>75</v>
      </c>
      <c r="F9" s="9">
        <f>'Item Database'!F41</f>
        <v>0</v>
      </c>
      <c r="G9" s="9">
        <f>'Item Database'!G41</f>
        <v>19</v>
      </c>
      <c r="H9" s="9">
        <f>'Item Database'!H41</f>
        <v>0</v>
      </c>
      <c r="I9" s="9">
        <f>'Item Database'!I41</f>
        <v>21</v>
      </c>
      <c r="J9" s="9">
        <f>'Item Database'!J41</f>
        <v>10</v>
      </c>
      <c r="K9" s="9">
        <f>'Item Database'!K41</f>
        <v>28</v>
      </c>
      <c r="L9" s="21">
        <f>'Item Database'!L41</f>
        <v>0</v>
      </c>
      <c r="M9" s="35">
        <f>'Item Database'!M41</f>
        <v>0.01</v>
      </c>
      <c r="N9" s="9">
        <f>'Item Database'!N41</f>
        <v>0</v>
      </c>
      <c r="O9" s="9">
        <f>'Item Database'!O41</f>
        <v>0</v>
      </c>
      <c r="P9" s="9">
        <f>'Item Database'!P41</f>
        <v>0</v>
      </c>
      <c r="Q9" s="9">
        <f>'Item Database'!Q41</f>
        <v>0</v>
      </c>
      <c r="R9" s="9">
        <f>'Item Database'!R41</f>
        <v>0</v>
      </c>
      <c r="S9" s="9">
        <f>'Item Database'!S41</f>
        <v>0</v>
      </c>
      <c r="T9" s="53" t="str">
        <f>HYPERLINK('Item Database'!T41)</f>
        <v>https://classic.wowhead.com/item=22502</v>
      </c>
      <c r="U9" s="9">
        <f>IF(C9&lt;&gt;0,C9-Gear!$C$6,0)</f>
        <v>14.130693369748069</v>
      </c>
    </row>
    <row r="10" spans="1:21" x14ac:dyDescent="0.25">
      <c r="A10" s="24">
        <f>'Item Database'!A42</f>
        <v>19145</v>
      </c>
      <c r="B10" s="9" t="str">
        <f>'Item Database'!B42</f>
        <v>Robe of Volatile Power</v>
      </c>
      <c r="C10" s="12">
        <f>'Item Database'!C42</f>
        <v>13.776395953748857</v>
      </c>
      <c r="D10" s="9" t="str">
        <f>'Item Database'!D42</f>
        <v>Chest</v>
      </c>
      <c r="E10" s="9">
        <f>'Item Database'!E42</f>
        <v>102</v>
      </c>
      <c r="F10" s="9">
        <f>'Item Database'!F42</f>
        <v>0</v>
      </c>
      <c r="G10" s="9">
        <f>'Item Database'!G42</f>
        <v>10</v>
      </c>
      <c r="H10" s="9">
        <f>'Item Database'!H42</f>
        <v>0</v>
      </c>
      <c r="I10" s="9">
        <f>'Item Database'!I42</f>
        <v>15</v>
      </c>
      <c r="J10" s="9">
        <f>'Item Database'!J42</f>
        <v>10</v>
      </c>
      <c r="K10" s="9">
        <f>'Item Database'!K42</f>
        <v>23</v>
      </c>
      <c r="L10" s="21">
        <f>'Item Database'!L42</f>
        <v>0.02</v>
      </c>
      <c r="M10" s="35">
        <f>'Item Database'!M42</f>
        <v>0</v>
      </c>
      <c r="N10" s="9">
        <f>'Item Database'!N42</f>
        <v>0</v>
      </c>
      <c r="O10" s="9">
        <f>'Item Database'!O42</f>
        <v>0</v>
      </c>
      <c r="P10" s="9">
        <f>'Item Database'!P42</f>
        <v>0</v>
      </c>
      <c r="Q10" s="9">
        <f>'Item Database'!Q42</f>
        <v>0</v>
      </c>
      <c r="R10" s="9">
        <f>'Item Database'!R42</f>
        <v>0</v>
      </c>
      <c r="S10" s="9">
        <f>'Item Database'!S42</f>
        <v>0</v>
      </c>
      <c r="T10" s="53" t="str">
        <f>HYPERLINK('Item Database'!T42)</f>
        <v>https://classic.wowhead.com/item=19145</v>
      </c>
      <c r="U10" s="9">
        <f>IF(C10&lt;&gt;0,C10-Gear!$C$6,0)</f>
        <v>13.776395953748857</v>
      </c>
    </row>
    <row r="11" spans="1:21" x14ac:dyDescent="0.25">
      <c r="A11" s="9">
        <f>'Item Database'!A46</f>
        <v>16915</v>
      </c>
      <c r="B11" s="9" t="str">
        <f>'Item Database'!B46</f>
        <v>Netherwind Pants</v>
      </c>
      <c r="C11" s="12">
        <f>'Item Database'!C46</f>
        <v>14.33309127288331</v>
      </c>
      <c r="D11" s="9" t="str">
        <f>'Item Database'!D46</f>
        <v>Legs</v>
      </c>
      <c r="E11" s="9">
        <f>'Item Database'!E46</f>
        <v>101</v>
      </c>
      <c r="F11" s="9">
        <f>'Item Database'!F46</f>
        <v>0</v>
      </c>
      <c r="G11" s="9">
        <f>'Item Database'!G46</f>
        <v>16</v>
      </c>
      <c r="H11" s="9">
        <f>'Item Database'!H46</f>
        <v>0</v>
      </c>
      <c r="I11" s="9">
        <f>'Item Database'!I46</f>
        <v>27</v>
      </c>
      <c r="J11" s="9">
        <f>'Item Database'!J46</f>
        <v>5</v>
      </c>
      <c r="K11" s="9">
        <f>'Item Database'!K46</f>
        <v>30</v>
      </c>
      <c r="L11" s="21">
        <f>'Item Database'!L46</f>
        <v>0.01</v>
      </c>
      <c r="M11" s="35">
        <f>'Item Database'!M46</f>
        <v>0</v>
      </c>
      <c r="N11" s="9">
        <f>'Item Database'!N46</f>
        <v>0</v>
      </c>
      <c r="O11" s="9">
        <f>'Item Database'!O46</f>
        <v>10</v>
      </c>
      <c r="P11" s="9">
        <f>'Item Database'!P46</f>
        <v>0</v>
      </c>
      <c r="Q11" s="9">
        <f>'Item Database'!Q46</f>
        <v>0</v>
      </c>
      <c r="R11" s="9">
        <f>'Item Database'!R46</f>
        <v>0</v>
      </c>
      <c r="S11" s="9">
        <f>'Item Database'!S46</f>
        <v>10</v>
      </c>
      <c r="T11" s="53" t="str">
        <f>HYPERLINK('Item Database'!T46)</f>
        <v>https://classic.wowhead.com/item=16915</v>
      </c>
      <c r="U11" s="9">
        <f>IF(C11&lt;&gt;0,C11-Gear!$C$6,0)</f>
        <v>14.33309127288331</v>
      </c>
    </row>
    <row r="12" spans="1:21" x14ac:dyDescent="0.25">
      <c r="A12" s="24">
        <f>'Item Database'!A48</f>
        <v>16442</v>
      </c>
      <c r="B12" s="9" t="str">
        <f>'Item Database'!B48</f>
        <v>Marshal's Silk Leggings</v>
      </c>
      <c r="C12" s="12">
        <f>'Item Database'!C48</f>
        <v>14.04478028773037</v>
      </c>
      <c r="D12" s="9" t="str">
        <f>'Item Database'!D48</f>
        <v>Legs</v>
      </c>
      <c r="E12" s="9">
        <f>'Item Database'!E48</f>
        <v>155</v>
      </c>
      <c r="F12" s="9">
        <f>'Item Database'!F48</f>
        <v>0</v>
      </c>
      <c r="G12" s="9">
        <f>'Item Database'!G48</f>
        <v>26</v>
      </c>
      <c r="H12" s="9">
        <f>'Item Database'!H48</f>
        <v>0</v>
      </c>
      <c r="I12" s="9">
        <f>'Item Database'!I48</f>
        <v>20</v>
      </c>
      <c r="J12" s="9">
        <f>'Item Database'!J48</f>
        <v>10</v>
      </c>
      <c r="K12" s="9">
        <f>'Item Database'!K48</f>
        <v>30</v>
      </c>
      <c r="L12" s="21">
        <f>'Item Database'!L48</f>
        <v>0.01</v>
      </c>
      <c r="M12" s="35">
        <f>'Item Database'!M48</f>
        <v>0</v>
      </c>
      <c r="N12" s="9">
        <f>'Item Database'!N48</f>
        <v>0</v>
      </c>
      <c r="O12" s="9">
        <f>'Item Database'!O48</f>
        <v>0</v>
      </c>
      <c r="P12" s="9">
        <f>'Item Database'!P48</f>
        <v>0</v>
      </c>
      <c r="Q12" s="9">
        <f>'Item Database'!Q48</f>
        <v>0</v>
      </c>
      <c r="R12" s="9">
        <f>'Item Database'!R48</f>
        <v>0</v>
      </c>
      <c r="S12" s="9">
        <f>'Item Database'!S48</f>
        <v>0</v>
      </c>
      <c r="T12" s="53" t="str">
        <f>HYPERLINK('Item Database'!T48)</f>
        <v>https://classic.wowhead.com/item=16442</v>
      </c>
      <c r="U12" s="9">
        <f>IF(C12&lt;&gt;0,C12-Gear!$C$6,0)</f>
        <v>14.04478028773037</v>
      </c>
    </row>
    <row r="13" spans="1:21" x14ac:dyDescent="0.25">
      <c r="A13" s="24">
        <f>'Item Database'!A51</f>
        <v>21527</v>
      </c>
      <c r="B13" s="9" t="str">
        <f>'Item Database'!B51</f>
        <v>Darkwater Robes</v>
      </c>
      <c r="C13" s="12">
        <f>'Item Database'!C51</f>
        <v>14.701692435769985</v>
      </c>
      <c r="D13" s="9" t="str">
        <f>'Item Database'!D51</f>
        <v>Chest</v>
      </c>
      <c r="E13" s="9">
        <f>'Item Database'!E51</f>
        <v>117</v>
      </c>
      <c r="F13" s="9">
        <f>'Item Database'!F51</f>
        <v>0</v>
      </c>
      <c r="G13" s="9">
        <f>'Item Database'!G51</f>
        <v>17</v>
      </c>
      <c r="H13" s="9">
        <f>'Item Database'!H51</f>
        <v>0</v>
      </c>
      <c r="I13" s="9">
        <f>'Item Database'!I51</f>
        <v>17</v>
      </c>
      <c r="J13" s="9">
        <f>'Item Database'!J51</f>
        <v>0</v>
      </c>
      <c r="K13" s="9">
        <f>'Item Database'!K51</f>
        <v>39</v>
      </c>
      <c r="L13" s="21">
        <f>'Item Database'!L51</f>
        <v>0</v>
      </c>
      <c r="M13" s="35">
        <f>'Item Database'!M51</f>
        <v>0</v>
      </c>
      <c r="N13" s="9">
        <f>'Item Database'!N51</f>
        <v>0</v>
      </c>
      <c r="O13" s="9">
        <f>'Item Database'!O51</f>
        <v>30</v>
      </c>
      <c r="P13" s="9">
        <f>'Item Database'!P51</f>
        <v>0</v>
      </c>
      <c r="Q13" s="9">
        <f>'Item Database'!Q51</f>
        <v>0</v>
      </c>
      <c r="R13" s="9">
        <f>'Item Database'!R51</f>
        <v>0</v>
      </c>
      <c r="S13" s="9">
        <f>'Item Database'!S51</f>
        <v>0</v>
      </c>
      <c r="T13" s="53" t="str">
        <f>HYPERLINK('Item Database'!T51)</f>
        <v>https://classic.wowhead.com/item=21527</v>
      </c>
      <c r="U13" s="9">
        <f>IF(C13&lt;&gt;0,C13-Gear!$C$6,0)</f>
        <v>14.701692435769985</v>
      </c>
    </row>
    <row r="14" spans="1:21" x14ac:dyDescent="0.25">
      <c r="A14" s="24">
        <f>'Item Database'!A58</f>
        <v>21671</v>
      </c>
      <c r="B14" s="9" t="str">
        <f>'Item Database'!B58</f>
        <v>Robes of the Battleguard</v>
      </c>
      <c r="C14" s="12">
        <f>'Item Database'!C58</f>
        <v>13.624653311563502</v>
      </c>
      <c r="D14" s="9" t="str">
        <f>'Item Database'!D58</f>
        <v>Chest</v>
      </c>
      <c r="E14" s="9">
        <f>'Item Database'!E58</f>
        <v>116</v>
      </c>
      <c r="F14" s="9">
        <f>'Item Database'!F58</f>
        <v>0</v>
      </c>
      <c r="G14" s="9">
        <f>'Item Database'!G58</f>
        <v>23</v>
      </c>
      <c r="H14" s="9">
        <f>'Item Database'!H58</f>
        <v>0</v>
      </c>
      <c r="I14" s="9">
        <f>'Item Database'!I58</f>
        <v>17</v>
      </c>
      <c r="J14" s="9">
        <f>'Item Database'!J58</f>
        <v>8</v>
      </c>
      <c r="K14" s="9">
        <f>'Item Database'!K58</f>
        <v>36</v>
      </c>
      <c r="L14" s="21">
        <f>'Item Database'!L58</f>
        <v>0</v>
      </c>
      <c r="M14" s="35">
        <f>'Item Database'!M58</f>
        <v>0</v>
      </c>
      <c r="N14" s="9">
        <f>'Item Database'!N58</f>
        <v>0</v>
      </c>
      <c r="O14" s="9">
        <f>'Item Database'!O58</f>
        <v>0</v>
      </c>
      <c r="P14" s="9">
        <f>'Item Database'!P58</f>
        <v>0</v>
      </c>
      <c r="Q14" s="9">
        <f>'Item Database'!Q58</f>
        <v>0</v>
      </c>
      <c r="R14" s="9">
        <f>'Item Database'!R58</f>
        <v>0</v>
      </c>
      <c r="S14" s="9">
        <f>'Item Database'!S58</f>
        <v>0</v>
      </c>
      <c r="T14" s="53" t="str">
        <f>HYPERLINK('Item Database'!T58)</f>
        <v>https://classic.wowhead.com/item=21671</v>
      </c>
      <c r="U14" s="9">
        <f>IF(C14&lt;&gt;0,C14-Gear!$C$6,0)</f>
        <v>13.624653311563502</v>
      </c>
    </row>
    <row r="15" spans="1:21" x14ac:dyDescent="0.25">
      <c r="A15" s="24">
        <f>'Item Database'!A62</f>
        <v>19136</v>
      </c>
      <c r="B15" s="9" t="str">
        <f>'Item Database'!B62</f>
        <v>Mana Igniting Cord</v>
      </c>
      <c r="C15" s="12">
        <f>'Item Database'!C62</f>
        <v>12.084965946346456</v>
      </c>
      <c r="D15" s="9" t="str">
        <f>'Item Database'!D62</f>
        <v>Waist</v>
      </c>
      <c r="E15" s="9">
        <f>'Item Database'!E62</f>
        <v>61</v>
      </c>
      <c r="F15" s="9">
        <f>'Item Database'!F62</f>
        <v>0</v>
      </c>
      <c r="G15" s="9">
        <f>'Item Database'!G62</f>
        <v>12</v>
      </c>
      <c r="H15" s="9">
        <f>'Item Database'!H62</f>
        <v>0</v>
      </c>
      <c r="I15" s="9">
        <f>'Item Database'!I62</f>
        <v>16</v>
      </c>
      <c r="J15" s="9">
        <f>'Item Database'!J62</f>
        <v>0</v>
      </c>
      <c r="K15" s="9">
        <f>'Item Database'!K62</f>
        <v>25</v>
      </c>
      <c r="L15" s="21">
        <f>'Item Database'!L62</f>
        <v>0.01</v>
      </c>
      <c r="M15" s="35">
        <f>'Item Database'!M62</f>
        <v>0</v>
      </c>
      <c r="N15" s="9">
        <f>'Item Database'!N62</f>
        <v>0</v>
      </c>
      <c r="O15" s="9">
        <f>'Item Database'!O62</f>
        <v>0</v>
      </c>
      <c r="P15" s="9">
        <f>'Item Database'!P62</f>
        <v>0</v>
      </c>
      <c r="Q15" s="9">
        <f>'Item Database'!Q62</f>
        <v>0</v>
      </c>
      <c r="R15" s="9">
        <f>'Item Database'!R62</f>
        <v>0</v>
      </c>
      <c r="S15" s="9">
        <f>'Item Database'!S62</f>
        <v>0</v>
      </c>
      <c r="T15" s="53" t="str">
        <f>HYPERLINK('Item Database'!T62)</f>
        <v>https://classic.wowhead.com/item=19136</v>
      </c>
      <c r="U15" s="9">
        <f>IF(C15&lt;&gt;0,C15-Gear!$C$6,0)</f>
        <v>12.084965946346456</v>
      </c>
    </row>
    <row r="16" spans="1:21" x14ac:dyDescent="0.25">
      <c r="A16" s="9">
        <f>'Item Database'!A81</f>
        <v>16796</v>
      </c>
      <c r="B16" s="9" t="str">
        <f>'Item Database'!B81</f>
        <v>Arcanist Leggings</v>
      </c>
      <c r="C16" s="12">
        <f>'Item Database'!C81</f>
        <v>10.578211724488595</v>
      </c>
      <c r="D16" s="9" t="str">
        <f>'Item Database'!D81</f>
        <v>Legs</v>
      </c>
      <c r="E16" s="9">
        <f>'Item Database'!E81</f>
        <v>89</v>
      </c>
      <c r="F16" s="9">
        <f>'Item Database'!F81</f>
        <v>0</v>
      </c>
      <c r="G16" s="9">
        <f>'Item Database'!G81</f>
        <v>18</v>
      </c>
      <c r="H16" s="9">
        <f>'Item Database'!H81</f>
        <v>0</v>
      </c>
      <c r="I16" s="9">
        <f>'Item Database'!I81</f>
        <v>23</v>
      </c>
      <c r="J16" s="9">
        <f>'Item Database'!J81</f>
        <v>10</v>
      </c>
      <c r="K16" s="9">
        <f>'Item Database'!K81</f>
        <v>20</v>
      </c>
      <c r="L16" s="21">
        <f>'Item Database'!L81</f>
        <v>0.01</v>
      </c>
      <c r="M16" s="35">
        <f>'Item Database'!M81</f>
        <v>0</v>
      </c>
      <c r="N16" s="9">
        <f>'Item Database'!N81</f>
        <v>0</v>
      </c>
      <c r="O16" s="9">
        <f>'Item Database'!O81</f>
        <v>0</v>
      </c>
      <c r="P16" s="9">
        <f>'Item Database'!P81</f>
        <v>0</v>
      </c>
      <c r="Q16" s="9">
        <f>'Item Database'!Q81</f>
        <v>0</v>
      </c>
      <c r="R16" s="9">
        <f>'Item Database'!R81</f>
        <v>10</v>
      </c>
      <c r="S16" s="9">
        <f>'Item Database'!S81</f>
        <v>0</v>
      </c>
      <c r="T16" s="53" t="str">
        <f>HYPERLINK('Item Database'!T81)</f>
        <v>https://classic.wowhead.com/item=16796</v>
      </c>
      <c r="U16" s="9">
        <f>IF(C16&lt;&gt;0,C16-Gear!$C$6,0)</f>
        <v>10.578211724488595</v>
      </c>
    </row>
    <row r="17" spans="1:21" x14ac:dyDescent="0.25">
      <c r="A17" s="9">
        <f>'Item Database'!A100</f>
        <v>18385</v>
      </c>
      <c r="B17" s="9" t="str">
        <f>'Item Database'!B100</f>
        <v>Robe of Everlasting Night</v>
      </c>
      <c r="C17" s="12">
        <f>'Item Database'!C100</f>
        <v>10.228786804570946</v>
      </c>
      <c r="D17" s="9" t="str">
        <f>'Item Database'!D100</f>
        <v>Chest</v>
      </c>
      <c r="E17" s="9">
        <f>'Item Database'!E100</f>
        <v>88</v>
      </c>
      <c r="F17" s="9">
        <f>'Item Database'!F100</f>
        <v>0</v>
      </c>
      <c r="G17" s="9">
        <f>'Item Database'!G100</f>
        <v>11</v>
      </c>
      <c r="H17" s="9">
        <f>'Item Database'!H100</f>
        <v>0</v>
      </c>
      <c r="I17" s="9">
        <f>'Item Database'!I100</f>
        <v>13</v>
      </c>
      <c r="J17" s="9">
        <f>'Item Database'!J100</f>
        <v>5</v>
      </c>
      <c r="K17" s="9">
        <f>'Item Database'!K100</f>
        <v>27</v>
      </c>
      <c r="L17" s="21">
        <f>'Item Database'!L100</f>
        <v>0</v>
      </c>
      <c r="M17" s="35">
        <f>'Item Database'!M100</f>
        <v>0</v>
      </c>
      <c r="N17" s="9">
        <f>'Item Database'!N100</f>
        <v>0</v>
      </c>
      <c r="O17" s="9">
        <f>'Item Database'!O100</f>
        <v>0</v>
      </c>
      <c r="P17" s="9">
        <f>'Item Database'!P100</f>
        <v>0</v>
      </c>
      <c r="Q17" s="9">
        <f>'Item Database'!Q100</f>
        <v>0</v>
      </c>
      <c r="R17" s="9">
        <f>'Item Database'!R100</f>
        <v>0</v>
      </c>
      <c r="S17" s="9">
        <f>'Item Database'!S100</f>
        <v>0</v>
      </c>
      <c r="T17" s="53" t="str">
        <f>HYPERLINK('Item Database'!T100)</f>
        <v>https://classic.wowhead.com/item=18385</v>
      </c>
      <c r="U17" s="9">
        <f>IF(C17&lt;&gt;0,C17-Gear!$C$6,0)</f>
        <v>10.228786804570946</v>
      </c>
    </row>
    <row r="18" spans="1:21" x14ac:dyDescent="0.25">
      <c r="A18" s="24">
        <f>'Item Database'!A106</f>
        <v>22820</v>
      </c>
      <c r="B18" s="9" t="str">
        <f>'Item Database'!B106</f>
        <v>Wand of Fates</v>
      </c>
      <c r="C18" s="12">
        <f>'Item Database'!C106</f>
        <v>7.8098627370076166</v>
      </c>
      <c r="D18" s="9" t="str">
        <f>'Item Database'!D106</f>
        <v>Wand</v>
      </c>
      <c r="E18" s="9">
        <f>'Item Database'!E106</f>
        <v>0</v>
      </c>
      <c r="F18" s="9">
        <f>'Item Database'!F106</f>
        <v>0</v>
      </c>
      <c r="G18" s="9">
        <f>'Item Database'!G106</f>
        <v>7</v>
      </c>
      <c r="H18" s="9">
        <f>'Item Database'!H106</f>
        <v>0</v>
      </c>
      <c r="I18" s="9">
        <f>'Item Database'!I106</f>
        <v>7</v>
      </c>
      <c r="J18" s="9">
        <f>'Item Database'!J106</f>
        <v>0</v>
      </c>
      <c r="K18" s="9">
        <f>'Item Database'!K106</f>
        <v>12</v>
      </c>
      <c r="L18" s="21">
        <f>'Item Database'!L106</f>
        <v>0</v>
      </c>
      <c r="M18" s="35">
        <f>'Item Database'!M106</f>
        <v>0.01</v>
      </c>
      <c r="N18" s="9">
        <f>'Item Database'!N106</f>
        <v>0</v>
      </c>
      <c r="O18" s="9">
        <f>'Item Database'!O106</f>
        <v>0</v>
      </c>
      <c r="P18" s="9">
        <f>'Item Database'!P106</f>
        <v>0</v>
      </c>
      <c r="Q18" s="9">
        <f>'Item Database'!Q106</f>
        <v>0</v>
      </c>
      <c r="R18" s="9">
        <f>'Item Database'!R106</f>
        <v>0</v>
      </c>
      <c r="S18" s="9">
        <f>'Item Database'!S106</f>
        <v>0</v>
      </c>
      <c r="T18" s="53" t="str">
        <f>HYPERLINK('Item Database'!T106)</f>
        <v>https://classic.wowhead.com/item=22820</v>
      </c>
      <c r="U18" s="9">
        <f>IF(C18&lt;&gt;0,C18-Gear!$C$6,0)</f>
        <v>7.8098627370076166</v>
      </c>
    </row>
    <row r="19" spans="1:21" x14ac:dyDescent="0.25">
      <c r="A19" s="24">
        <f>'Item Database'!A115</f>
        <v>21707</v>
      </c>
      <c r="B19" s="9" t="str">
        <f>'Item Database'!B115</f>
        <v>Ring of Swarming Thought</v>
      </c>
      <c r="C19" s="12">
        <f>'Item Database'!C115</f>
        <v>9.33433907645618</v>
      </c>
      <c r="D19" s="9" t="str">
        <f>'Item Database'!D115</f>
        <v>Ring</v>
      </c>
      <c r="E19" s="9">
        <f>'Item Database'!E115</f>
        <v>0</v>
      </c>
      <c r="F19" s="9">
        <f>'Item Database'!F115</f>
        <v>0</v>
      </c>
      <c r="G19" s="9">
        <f>'Item Database'!G115</f>
        <v>0</v>
      </c>
      <c r="H19" s="9">
        <f>'Item Database'!H115</f>
        <v>0</v>
      </c>
      <c r="I19" s="9">
        <f>'Item Database'!I115</f>
        <v>0</v>
      </c>
      <c r="J19" s="9">
        <f>'Item Database'!J115</f>
        <v>0</v>
      </c>
      <c r="K19" s="9">
        <f>'Item Database'!K115</f>
        <v>26</v>
      </c>
      <c r="L19" s="21">
        <f>'Item Database'!L115</f>
        <v>0</v>
      </c>
      <c r="M19" s="35">
        <f>'Item Database'!M115</f>
        <v>0</v>
      </c>
      <c r="N19" s="9">
        <f>'Item Database'!N115</f>
        <v>0</v>
      </c>
      <c r="O19" s="9">
        <f>'Item Database'!O115</f>
        <v>0</v>
      </c>
      <c r="P19" s="9">
        <f>'Item Database'!P115</f>
        <v>0</v>
      </c>
      <c r="Q19" s="9">
        <f>'Item Database'!Q115</f>
        <v>0</v>
      </c>
      <c r="R19" s="9">
        <f>'Item Database'!R115</f>
        <v>0</v>
      </c>
      <c r="S19" s="9">
        <f>'Item Database'!S115</f>
        <v>0</v>
      </c>
      <c r="T19" s="53" t="str">
        <f>HYPERLINK('Item Database'!T115)</f>
        <v>https://classic.wowhead.com/item=21707</v>
      </c>
      <c r="U19" s="9">
        <f>IF(C19&lt;&gt;0,C19-Gear!$C$6,0)</f>
        <v>9.33433907645618</v>
      </c>
    </row>
    <row r="20" spans="1:21" x14ac:dyDescent="0.25">
      <c r="A20" s="9">
        <f>'Item Database'!A137</f>
        <v>22225</v>
      </c>
      <c r="B20" s="9" t="str">
        <f>'Item Database'!B137</f>
        <v>Dragonskin Cowl</v>
      </c>
      <c r="C20" s="12">
        <f>'Item Database'!C137</f>
        <v>7.0800439991380539</v>
      </c>
      <c r="D20" s="9" t="str">
        <f>'Item Database'!D137</f>
        <v>Head</v>
      </c>
      <c r="E20" s="9">
        <f>'Item Database'!E137</f>
        <v>69</v>
      </c>
      <c r="F20" s="9">
        <f>'Item Database'!F137</f>
        <v>0</v>
      </c>
      <c r="G20" s="9">
        <f>'Item Database'!G137</f>
        <v>12</v>
      </c>
      <c r="H20" s="9">
        <f>'Item Database'!H137</f>
        <v>0</v>
      </c>
      <c r="I20" s="9">
        <f>'Item Database'!I137</f>
        <v>15</v>
      </c>
      <c r="J20" s="9">
        <f>'Item Database'!J137</f>
        <v>0</v>
      </c>
      <c r="K20" s="9">
        <f>'Item Database'!K137</f>
        <v>18</v>
      </c>
      <c r="L20" s="21">
        <f>'Item Database'!L137</f>
        <v>0</v>
      </c>
      <c r="M20" s="35">
        <f>'Item Database'!M137</f>
        <v>0</v>
      </c>
      <c r="N20" s="9">
        <f>'Item Database'!N137</f>
        <v>0</v>
      </c>
      <c r="O20" s="9">
        <f>'Item Database'!O137</f>
        <v>0</v>
      </c>
      <c r="P20" s="9">
        <f>'Item Database'!P137</f>
        <v>0</v>
      </c>
      <c r="Q20" s="9">
        <f>'Item Database'!Q137</f>
        <v>0</v>
      </c>
      <c r="R20" s="9">
        <f>'Item Database'!R137</f>
        <v>0</v>
      </c>
      <c r="S20" s="9">
        <f>'Item Database'!S137</f>
        <v>0</v>
      </c>
      <c r="T20" s="53" t="str">
        <f>HYPERLINK('Item Database'!T137)</f>
        <v>https://classic.wowhead.com/item=22225</v>
      </c>
      <c r="U20" s="9">
        <f>IF(C20&lt;&gt;0,C20-Gear!$C$6,0)</f>
        <v>7.0800439991380539</v>
      </c>
    </row>
    <row r="21" spans="1:21" x14ac:dyDescent="0.25">
      <c r="A21" s="24">
        <f>'Item Database'!A195</f>
        <v>21563</v>
      </c>
      <c r="B21" s="9" t="str">
        <f>'Item Database'!B195</f>
        <v>Don Rodrigo's Band</v>
      </c>
      <c r="C21" s="12">
        <f>'Item Database'!C195</f>
        <v>2.4506433737999997</v>
      </c>
      <c r="D21" s="9" t="str">
        <f>'Item Database'!D195</f>
        <v>Ring</v>
      </c>
      <c r="E21" s="9">
        <f>'Item Database'!E195</f>
        <v>0</v>
      </c>
      <c r="F21" s="9">
        <f>'Item Database'!F195</f>
        <v>0</v>
      </c>
      <c r="G21" s="9">
        <f>'Item Database'!G195</f>
        <v>7</v>
      </c>
      <c r="H21" s="9">
        <f>'Item Database'!H195</f>
        <v>0</v>
      </c>
      <c r="I21" s="9">
        <f>'Item Database'!I195</f>
        <v>0</v>
      </c>
      <c r="J21" s="9">
        <f>'Item Database'!J195</f>
        <v>0</v>
      </c>
      <c r="K21" s="9">
        <f>'Item Database'!K195</f>
        <v>0</v>
      </c>
      <c r="L21" s="21">
        <f>'Item Database'!L195</f>
        <v>0.01</v>
      </c>
      <c r="M21" s="35">
        <f>'Item Database'!M195</f>
        <v>0</v>
      </c>
      <c r="N21" s="9">
        <f>'Item Database'!N195</f>
        <v>0</v>
      </c>
      <c r="O21" s="9">
        <f>'Item Database'!O195</f>
        <v>0</v>
      </c>
      <c r="P21" s="9">
        <f>'Item Database'!P195</f>
        <v>0</v>
      </c>
      <c r="Q21" s="9">
        <f>'Item Database'!Q195</f>
        <v>0</v>
      </c>
      <c r="R21" s="9">
        <f>'Item Database'!R195</f>
        <v>0</v>
      </c>
      <c r="S21" s="9">
        <f>'Item Database'!S195</f>
        <v>0</v>
      </c>
      <c r="T21" s="53" t="str">
        <f>HYPERLINK('Item Database'!T195)</f>
        <v>https://classic.wowhead.com/item=21563</v>
      </c>
      <c r="U21" s="9">
        <f>IF(C21&lt;&gt;0,C21-Gear!$C$6,0)</f>
        <v>2.4506433737999997</v>
      </c>
    </row>
    <row r="22" spans="1:21" x14ac:dyDescent="0.25">
      <c r="A22" s="9">
        <f>'Item Database'!A199</f>
        <v>16688</v>
      </c>
      <c r="B22" s="9" t="str">
        <f>'Item Database'!B199</f>
        <v>Magister's Robes</v>
      </c>
      <c r="C22" s="12">
        <f>'Item Database'!C199</f>
        <v>1.2768057913915964</v>
      </c>
      <c r="D22" s="9" t="str">
        <f>'Item Database'!D199</f>
        <v>Chest</v>
      </c>
      <c r="E22" s="9">
        <f>'Item Database'!E199</f>
        <v>89</v>
      </c>
      <c r="F22" s="9">
        <f>'Item Database'!F199</f>
        <v>0</v>
      </c>
      <c r="G22" s="9">
        <f>'Item Database'!G199</f>
        <v>9</v>
      </c>
      <c r="H22" s="9">
        <f>'Item Database'!H199</f>
        <v>0</v>
      </c>
      <c r="I22" s="9">
        <f>'Item Database'!I199</f>
        <v>31</v>
      </c>
      <c r="J22" s="9">
        <f>'Item Database'!J199</f>
        <v>8</v>
      </c>
      <c r="K22" s="9">
        <f>'Item Database'!K199</f>
        <v>0</v>
      </c>
      <c r="L22" s="21">
        <f>'Item Database'!L199</f>
        <v>0</v>
      </c>
      <c r="M22" s="35">
        <f>'Item Database'!M199</f>
        <v>0</v>
      </c>
      <c r="N22" s="9">
        <f>'Item Database'!N199</f>
        <v>0</v>
      </c>
      <c r="O22" s="9">
        <f>'Item Database'!O199</f>
        <v>0</v>
      </c>
      <c r="P22" s="9">
        <f>'Item Database'!P199</f>
        <v>0</v>
      </c>
      <c r="Q22" s="9">
        <f>'Item Database'!Q199</f>
        <v>0</v>
      </c>
      <c r="R22" s="9">
        <f>'Item Database'!R199</f>
        <v>0</v>
      </c>
      <c r="S22" s="9">
        <f>'Item Database'!S199</f>
        <v>0</v>
      </c>
      <c r="T22" s="53" t="str">
        <f>HYPERLINK('Item Database'!T199)</f>
        <v>https://classic.wowhead.com/item=16688</v>
      </c>
      <c r="U22" s="9">
        <f>IF(C22&lt;&gt;0,C22-Gear!$C$6,0)</f>
        <v>1.2768057913915964</v>
      </c>
    </row>
    <row r="23" spans="1:21" x14ac:dyDescent="0.25">
      <c r="A23" s="24">
        <f>'Item Database'!A204</f>
        <v>16690</v>
      </c>
      <c r="B23" s="9" t="str">
        <f>'Item Database'!B204</f>
        <v>Devout Robe</v>
      </c>
      <c r="C23" s="12">
        <f>'Item Database'!C204</f>
        <v>0.98849480623865538</v>
      </c>
      <c r="D23" s="9" t="str">
        <f>'Item Database'!D204</f>
        <v>Chest</v>
      </c>
      <c r="E23" s="9">
        <f>'Item Database'!E204</f>
        <v>89</v>
      </c>
      <c r="F23" s="9">
        <f>'Item Database'!F204</f>
        <v>0</v>
      </c>
      <c r="G23" s="9">
        <f>'Item Database'!G204</f>
        <v>13</v>
      </c>
      <c r="H23" s="9">
        <f>'Item Database'!H204</f>
        <v>0</v>
      </c>
      <c r="I23" s="9">
        <f>'Item Database'!I204</f>
        <v>24</v>
      </c>
      <c r="J23" s="9">
        <f>'Item Database'!J204</f>
        <v>15</v>
      </c>
      <c r="K23" s="9">
        <f>'Item Database'!K204</f>
        <v>0</v>
      </c>
      <c r="L23" s="21">
        <f>'Item Database'!L204</f>
        <v>0</v>
      </c>
      <c r="M23" s="35">
        <f>'Item Database'!M204</f>
        <v>0</v>
      </c>
      <c r="N23" s="9">
        <f>'Item Database'!N204</f>
        <v>0</v>
      </c>
      <c r="O23" s="9">
        <f>'Item Database'!O204</f>
        <v>0</v>
      </c>
      <c r="P23" s="9">
        <f>'Item Database'!P204</f>
        <v>0</v>
      </c>
      <c r="Q23" s="9">
        <f>'Item Database'!Q204</f>
        <v>0</v>
      </c>
      <c r="R23" s="9">
        <f>'Item Database'!R204</f>
        <v>0</v>
      </c>
      <c r="S23" s="9">
        <f>'Item Database'!S204</f>
        <v>0</v>
      </c>
      <c r="T23" s="53" t="str">
        <f>HYPERLINK('Item Database'!T204)</f>
        <v>https://classic.wowhead.com/item=16690</v>
      </c>
      <c r="U23" s="9">
        <f>IF(C23&lt;&gt;0,C23-Gear!$C$6,0)</f>
        <v>0.98849480623865538</v>
      </c>
    </row>
    <row r="24" spans="1:21" x14ac:dyDescent="0.25">
      <c r="A24" s="9">
        <f>'Item Database'!A209</f>
        <v>16700</v>
      </c>
      <c r="B24" s="9" t="str">
        <f>'Item Database'!B209</f>
        <v>Dreadmist Robe</v>
      </c>
      <c r="C24" s="12">
        <f>'Item Database'!C209</f>
        <v>0.86493295545882343</v>
      </c>
      <c r="D24" s="9" t="str">
        <f>'Item Database'!D209</f>
        <v>Chest</v>
      </c>
      <c r="E24" s="9">
        <f>'Item Database'!E209</f>
        <v>89</v>
      </c>
      <c r="F24" s="9">
        <f>'Item Database'!F209</f>
        <v>0</v>
      </c>
      <c r="G24" s="9">
        <f>'Item Database'!G209</f>
        <v>20</v>
      </c>
      <c r="H24" s="9">
        <f>'Item Database'!H209</f>
        <v>0</v>
      </c>
      <c r="I24" s="9">
        <f>'Item Database'!I209</f>
        <v>21</v>
      </c>
      <c r="J24" s="9">
        <f>'Item Database'!J209</f>
        <v>13</v>
      </c>
      <c r="K24" s="9">
        <f>'Item Database'!K209</f>
        <v>0</v>
      </c>
      <c r="L24" s="21">
        <f>'Item Database'!L209</f>
        <v>0</v>
      </c>
      <c r="M24" s="35">
        <f>'Item Database'!M209</f>
        <v>0</v>
      </c>
      <c r="N24" s="9">
        <f>'Item Database'!N209</f>
        <v>0</v>
      </c>
      <c r="O24" s="9">
        <f>'Item Database'!O209</f>
        <v>0</v>
      </c>
      <c r="P24" s="9">
        <f>'Item Database'!P209</f>
        <v>0</v>
      </c>
      <c r="Q24" s="9">
        <f>'Item Database'!Q209</f>
        <v>0</v>
      </c>
      <c r="R24" s="9">
        <f>'Item Database'!R209</f>
        <v>0</v>
      </c>
      <c r="S24" s="9">
        <f>'Item Database'!S209</f>
        <v>0</v>
      </c>
      <c r="T24" s="53" t="str">
        <f>HYPERLINK('Item Database'!T209)</f>
        <v>https://classic.wowhead.com/item=16700</v>
      </c>
      <c r="U24" s="9">
        <f>IF(C24&lt;&gt;0,C24-Gear!$C$6,0)</f>
        <v>0.86493295545882343</v>
      </c>
    </row>
    <row r="25" spans="1:21" x14ac:dyDescent="0.25">
      <c r="A25" s="9">
        <f>'Item Database'!A219</f>
        <v>12462</v>
      </c>
      <c r="B25" s="9" t="str">
        <f>'Item Database'!B219</f>
        <v>Embrace of the Wind Serpent</v>
      </c>
      <c r="C25" s="12">
        <f>'Item Database'!C219</f>
        <v>0.7001838210857142</v>
      </c>
      <c r="D25" s="9" t="str">
        <f>'Item Database'!D219</f>
        <v>Chest</v>
      </c>
      <c r="E25" s="9">
        <f>'Item Database'!E219</f>
        <v>86</v>
      </c>
      <c r="F25" s="9">
        <f>'Item Database'!F219</f>
        <v>0</v>
      </c>
      <c r="G25" s="9">
        <f>'Item Database'!G219</f>
        <v>9</v>
      </c>
      <c r="H25" s="9">
        <f>'Item Database'!H219</f>
        <v>0</v>
      </c>
      <c r="I25" s="9">
        <f>'Item Database'!I219</f>
        <v>17</v>
      </c>
      <c r="J25" s="9">
        <f>'Item Database'!J219</f>
        <v>30</v>
      </c>
      <c r="K25" s="9">
        <f>'Item Database'!K219</f>
        <v>0</v>
      </c>
      <c r="L25" s="21">
        <f>'Item Database'!L219</f>
        <v>0</v>
      </c>
      <c r="M25" s="35">
        <f>'Item Database'!M219</f>
        <v>0</v>
      </c>
      <c r="N25" s="9">
        <f>'Item Database'!N219</f>
        <v>0</v>
      </c>
      <c r="O25" s="9">
        <f>'Item Database'!O219</f>
        <v>0</v>
      </c>
      <c r="P25" s="9">
        <f>'Item Database'!P219</f>
        <v>0</v>
      </c>
      <c r="Q25" s="9">
        <f>'Item Database'!Q219</f>
        <v>12</v>
      </c>
      <c r="R25" s="9">
        <f>'Item Database'!R219</f>
        <v>0</v>
      </c>
      <c r="S25" s="9">
        <f>'Item Database'!S219</f>
        <v>0</v>
      </c>
      <c r="T25" s="53" t="str">
        <f>HYPERLINK('Item Database'!T219)</f>
        <v>https://classic.wowhead.com/item=12462</v>
      </c>
      <c r="U25" s="9">
        <f>IF(C25&lt;&gt;0,C25-Gear!$C$6,0)</f>
        <v>0.7001838210857142</v>
      </c>
    </row>
    <row r="26" spans="1:21" x14ac:dyDescent="0.25">
      <c r="A26" s="24">
        <f>'Item Database'!A242</f>
        <v>12542</v>
      </c>
      <c r="B26" s="9" t="str">
        <f>'Item Database'!B242</f>
        <v>Funeral Pyre Vestment</v>
      </c>
      <c r="C26" s="12">
        <f>'Item Database'!C242</f>
        <v>0.53543468671260497</v>
      </c>
      <c r="D26" s="9" t="str">
        <f>'Item Database'!D242</f>
        <v>Chest</v>
      </c>
      <c r="E26" s="9">
        <f>'Item Database'!E242</f>
        <v>73</v>
      </c>
      <c r="F26" s="9">
        <f>'Item Database'!F242</f>
        <v>0</v>
      </c>
      <c r="G26" s="9">
        <f>'Item Database'!G242</f>
        <v>13</v>
      </c>
      <c r="H26" s="9">
        <f>'Item Database'!H242</f>
        <v>0</v>
      </c>
      <c r="I26" s="9">
        <f>'Item Database'!I242</f>
        <v>13</v>
      </c>
      <c r="J26" s="9">
        <f>'Item Database'!J242</f>
        <v>13</v>
      </c>
      <c r="K26" s="9">
        <f>'Item Database'!K242</f>
        <v>0</v>
      </c>
      <c r="L26" s="21">
        <f>'Item Database'!L242</f>
        <v>0</v>
      </c>
      <c r="M26" s="35">
        <f>'Item Database'!M242</f>
        <v>0</v>
      </c>
      <c r="N26" s="9">
        <f>'Item Database'!N242</f>
        <v>0</v>
      </c>
      <c r="O26" s="9">
        <f>'Item Database'!O242</f>
        <v>10</v>
      </c>
      <c r="P26" s="9">
        <f>'Item Database'!P242</f>
        <v>0</v>
      </c>
      <c r="Q26" s="9">
        <f>'Item Database'!Q242</f>
        <v>0</v>
      </c>
      <c r="R26" s="9">
        <f>'Item Database'!R242</f>
        <v>0</v>
      </c>
      <c r="S26" s="9">
        <f>'Item Database'!S242</f>
        <v>0</v>
      </c>
      <c r="T26" s="53" t="str">
        <f>HYPERLINK('Item Database'!T242)</f>
        <v>https://classic.wowhead.com/item=12542</v>
      </c>
      <c r="U26" s="9">
        <f>IF(C26&lt;&gt;0,C26-Gear!$C$6,0)</f>
        <v>0.53543468671260497</v>
      </c>
    </row>
    <row r="27" spans="1:21" x14ac:dyDescent="0.25">
      <c r="A27" s="9">
        <f>'Item Database'!A245</f>
        <v>7728</v>
      </c>
      <c r="B27" s="9" t="str">
        <f>'Item Database'!B245</f>
        <v>Beguiler Robes</v>
      </c>
      <c r="C27" s="12">
        <f>'Item Database'!C245</f>
        <v>0.49424740311932769</v>
      </c>
      <c r="D27" s="9" t="str">
        <f>'Item Database'!D245</f>
        <v>Chest</v>
      </c>
      <c r="E27" s="9">
        <f>'Item Database'!E245</f>
        <v>50</v>
      </c>
      <c r="F27" s="9">
        <f>'Item Database'!F245</f>
        <v>0</v>
      </c>
      <c r="G27" s="9">
        <f>'Item Database'!G245</f>
        <v>7</v>
      </c>
      <c r="H27" s="9">
        <f>'Item Database'!H245</f>
        <v>0</v>
      </c>
      <c r="I27" s="9">
        <f>'Item Database'!I245</f>
        <v>12</v>
      </c>
      <c r="J27" s="9">
        <f>'Item Database'!J245</f>
        <v>8</v>
      </c>
      <c r="K27" s="9">
        <f>'Item Database'!K245</f>
        <v>0</v>
      </c>
      <c r="L27" s="21">
        <f>'Item Database'!L245</f>
        <v>0</v>
      </c>
      <c r="M27" s="35">
        <f>'Item Database'!M245</f>
        <v>0</v>
      </c>
      <c r="N27" s="9">
        <f>'Item Database'!N245</f>
        <v>0</v>
      </c>
      <c r="O27" s="9">
        <f>'Item Database'!O245</f>
        <v>0</v>
      </c>
      <c r="P27" s="9">
        <f>'Item Database'!P245</f>
        <v>0</v>
      </c>
      <c r="Q27" s="9">
        <f>'Item Database'!Q245</f>
        <v>0</v>
      </c>
      <c r="R27" s="9">
        <f>'Item Database'!R245</f>
        <v>0</v>
      </c>
      <c r="S27" s="9">
        <f>'Item Database'!S245</f>
        <v>0</v>
      </c>
      <c r="T27" s="53" t="str">
        <f>HYPERLINK('Item Database'!T245)</f>
        <v>https://classic.wowhead.com/item=7728</v>
      </c>
      <c r="U27" s="9">
        <f>IF(C27&lt;&gt;0,C27-Gear!$C$6,0)</f>
        <v>0.49424740311932769</v>
      </c>
    </row>
    <row r="28" spans="1:21" x14ac:dyDescent="0.25">
      <c r="A28" s="24">
        <f>'Item Database'!A248</f>
        <v>10806</v>
      </c>
      <c r="B28" s="9" t="str">
        <f>'Item Database'!B248</f>
        <v>Vestments of the Atal'ai Prophet</v>
      </c>
      <c r="C28" s="12">
        <f>'Item Database'!C248</f>
        <v>0.45306011952605041</v>
      </c>
      <c r="D28" s="9" t="str">
        <f>'Item Database'!D248</f>
        <v>Chest</v>
      </c>
      <c r="E28" s="9">
        <f>'Item Database'!E248</f>
        <v>78</v>
      </c>
      <c r="F28" s="9">
        <f>'Item Database'!F248</f>
        <v>0</v>
      </c>
      <c r="G28" s="9">
        <f>'Item Database'!G248</f>
        <v>0</v>
      </c>
      <c r="H28" s="9">
        <f>'Item Database'!H248</f>
        <v>0</v>
      </c>
      <c r="I28" s="9">
        <f>'Item Database'!I248</f>
        <v>11</v>
      </c>
      <c r="J28" s="9">
        <f>'Item Database'!J248</f>
        <v>27</v>
      </c>
      <c r="K28" s="9">
        <f>'Item Database'!K248</f>
        <v>0</v>
      </c>
      <c r="L28" s="21">
        <f>'Item Database'!L248</f>
        <v>0</v>
      </c>
      <c r="M28" s="35">
        <f>'Item Database'!M248</f>
        <v>0</v>
      </c>
      <c r="N28" s="9">
        <f>'Item Database'!N248</f>
        <v>0</v>
      </c>
      <c r="O28" s="9">
        <f>'Item Database'!O248</f>
        <v>0</v>
      </c>
      <c r="P28" s="9">
        <f>'Item Database'!P248</f>
        <v>0</v>
      </c>
      <c r="Q28" s="9">
        <f>'Item Database'!Q248</f>
        <v>0</v>
      </c>
      <c r="R28" s="9">
        <f>'Item Database'!R248</f>
        <v>0</v>
      </c>
      <c r="S28" s="9">
        <f>'Item Database'!S248</f>
        <v>0</v>
      </c>
      <c r="T28" s="53" t="str">
        <f>HYPERLINK('Item Database'!T248)</f>
        <v>https://classic.wowhead.com/item=10806</v>
      </c>
      <c r="U28" s="9">
        <f>IF(C28&lt;&gt;0,C28-Gear!$C$6,0)</f>
        <v>0.45306011952605041</v>
      </c>
    </row>
    <row r="29" spans="1:21" x14ac:dyDescent="0.25">
      <c r="A29" s="24">
        <f>'Item Database'!A257</f>
        <v>10762</v>
      </c>
      <c r="B29" s="9" t="str">
        <f>'Item Database'!B257</f>
        <v>Robes of the Lich</v>
      </c>
      <c r="C29" s="12">
        <f>'Item Database'!C257</f>
        <v>0.41187283593277307</v>
      </c>
      <c r="D29" s="9" t="str">
        <f>'Item Database'!D257</f>
        <v>Chest</v>
      </c>
      <c r="E29" s="9">
        <f>'Item Database'!E257</f>
        <v>64</v>
      </c>
      <c r="F29" s="9">
        <f>'Item Database'!F257</f>
        <v>0</v>
      </c>
      <c r="G29" s="9">
        <f>'Item Database'!G257</f>
        <v>20</v>
      </c>
      <c r="H29" s="9">
        <f>'Item Database'!H257</f>
        <v>0</v>
      </c>
      <c r="I29" s="9">
        <f>'Item Database'!I257</f>
        <v>10</v>
      </c>
      <c r="J29" s="9">
        <f>'Item Database'!J257</f>
        <v>0</v>
      </c>
      <c r="K29" s="9">
        <f>'Item Database'!K257</f>
        <v>0</v>
      </c>
      <c r="L29" s="21">
        <f>'Item Database'!L257</f>
        <v>0</v>
      </c>
      <c r="M29" s="35">
        <f>'Item Database'!M257</f>
        <v>0</v>
      </c>
      <c r="N29" s="9">
        <f>'Item Database'!N257</f>
        <v>0</v>
      </c>
      <c r="O29" s="9">
        <f>'Item Database'!O257</f>
        <v>0</v>
      </c>
      <c r="P29" s="9">
        <f>'Item Database'!P257</f>
        <v>0</v>
      </c>
      <c r="Q29" s="9">
        <f>'Item Database'!Q257</f>
        <v>0</v>
      </c>
      <c r="R29" s="9">
        <f>'Item Database'!R257</f>
        <v>0</v>
      </c>
      <c r="S29" s="9">
        <f>'Item Database'!S257</f>
        <v>0</v>
      </c>
      <c r="T29" s="53" t="str">
        <f>HYPERLINK('Item Database'!T257)</f>
        <v>https://classic.wowhead.com/item=10762</v>
      </c>
      <c r="U29" s="9">
        <f>IF(C29&lt;&gt;0,C29-Gear!$C$6,0)</f>
        <v>0.41187283593277307</v>
      </c>
    </row>
    <row r="30" spans="1:21" x14ac:dyDescent="0.25">
      <c r="A30" s="24">
        <f>'Item Database'!A265</f>
        <v>10581</v>
      </c>
      <c r="B30" s="9" t="str">
        <f>'Item Database'!B265</f>
        <v>Death's Head Vestment</v>
      </c>
      <c r="C30" s="12">
        <f>'Item Database'!C265</f>
        <v>0.32949826874621846</v>
      </c>
      <c r="D30" s="9" t="str">
        <f>'Item Database'!D265</f>
        <v>Chest</v>
      </c>
      <c r="E30" s="9">
        <f>'Item Database'!E265</f>
        <v>58</v>
      </c>
      <c r="F30" s="9">
        <f>'Item Database'!F265</f>
        <v>0</v>
      </c>
      <c r="G30" s="9">
        <f>'Item Database'!G265</f>
        <v>12</v>
      </c>
      <c r="H30" s="9">
        <f>'Item Database'!H265</f>
        <v>0</v>
      </c>
      <c r="I30" s="9">
        <f>'Item Database'!I265</f>
        <v>8</v>
      </c>
      <c r="J30" s="9">
        <f>'Item Database'!J265</f>
        <v>13</v>
      </c>
      <c r="K30" s="9">
        <f>'Item Database'!K265</f>
        <v>0</v>
      </c>
      <c r="L30" s="21">
        <f>'Item Database'!L265</f>
        <v>0</v>
      </c>
      <c r="M30" s="35">
        <f>'Item Database'!M265</f>
        <v>0</v>
      </c>
      <c r="N30" s="9">
        <f>'Item Database'!N265</f>
        <v>0</v>
      </c>
      <c r="O30" s="9">
        <f>'Item Database'!O265</f>
        <v>0</v>
      </c>
      <c r="P30" s="9">
        <f>'Item Database'!P265</f>
        <v>0</v>
      </c>
      <c r="Q30" s="9">
        <f>'Item Database'!Q265</f>
        <v>0</v>
      </c>
      <c r="R30" s="9">
        <f>'Item Database'!R265</f>
        <v>0</v>
      </c>
      <c r="S30" s="9">
        <f>'Item Database'!S265</f>
        <v>0</v>
      </c>
      <c r="T30" s="53" t="str">
        <f>HYPERLINK('Item Database'!T265)</f>
        <v>https://classic.wowhead.com/item=10581</v>
      </c>
      <c r="U30" s="9">
        <f>IF(C30&lt;&gt;0,C30-Gear!$C$6,0)</f>
        <v>0.32949826874621846</v>
      </c>
    </row>
    <row r="31" spans="1:21" x14ac:dyDescent="0.25">
      <c r="A31" s="9">
        <f>'Item Database'!A270</f>
        <v>9415</v>
      </c>
      <c r="B31" s="9" t="str">
        <f>'Item Database'!B270</f>
        <v>Grimlok's Tribal Vestments</v>
      </c>
      <c r="C31" s="12">
        <f>'Item Database'!C270</f>
        <v>0.20593641796638654</v>
      </c>
      <c r="D31" s="9" t="str">
        <f>'Item Database'!D270</f>
        <v>Chest</v>
      </c>
      <c r="E31" s="9">
        <f>'Item Database'!E270</f>
        <v>68</v>
      </c>
      <c r="F31" s="9">
        <f>'Item Database'!F270</f>
        <v>0</v>
      </c>
      <c r="G31" s="9">
        <f>'Item Database'!G270</f>
        <v>10</v>
      </c>
      <c r="H31" s="9">
        <f>'Item Database'!H270</f>
        <v>0</v>
      </c>
      <c r="I31" s="9">
        <f>'Item Database'!I270</f>
        <v>5</v>
      </c>
      <c r="J31" s="9">
        <f>'Item Database'!J270</f>
        <v>20</v>
      </c>
      <c r="K31" s="9">
        <f>'Item Database'!K270</f>
        <v>0</v>
      </c>
      <c r="L31" s="21">
        <f>'Item Database'!L270</f>
        <v>0</v>
      </c>
      <c r="M31" s="35">
        <f>'Item Database'!M270</f>
        <v>0</v>
      </c>
      <c r="N31" s="9">
        <f>'Item Database'!N270</f>
        <v>0</v>
      </c>
      <c r="O31" s="9">
        <f>'Item Database'!O270</f>
        <v>0</v>
      </c>
      <c r="P31" s="9">
        <f>'Item Database'!P270</f>
        <v>0</v>
      </c>
      <c r="Q31" s="9">
        <f>'Item Database'!Q270</f>
        <v>0</v>
      </c>
      <c r="R31" s="9">
        <f>'Item Database'!R270</f>
        <v>0</v>
      </c>
      <c r="S31" s="9">
        <f>'Item Database'!S270</f>
        <v>0</v>
      </c>
      <c r="T31" s="53" t="str">
        <f>HYPERLINK('Item Database'!T270)</f>
        <v>https://classic.wowhead.com/item=9415</v>
      </c>
      <c r="U31" s="9">
        <f>IF(C31&lt;&gt;0,C31-Gear!$C$6,0)</f>
        <v>0.20593641796638654</v>
      </c>
    </row>
    <row r="32" spans="1:21" x14ac:dyDescent="0.25">
      <c r="U32" s="9">
        <f>IF(C32&lt;&gt;0,C32-Gear!$C$6,0)</f>
        <v>0</v>
      </c>
    </row>
    <row r="33" spans="20:21" x14ac:dyDescent="0.25">
      <c r="U33" s="9">
        <f>IF(C33&lt;&gt;0,C33-Gear!$C$6,0)</f>
        <v>0</v>
      </c>
    </row>
    <row r="34" spans="20:21" x14ac:dyDescent="0.25">
      <c r="U34" s="9">
        <f>IF(C34&lt;&gt;0,C34-Gear!$C$6,0)</f>
        <v>0</v>
      </c>
    </row>
    <row r="35" spans="20:21" x14ac:dyDescent="0.25">
      <c r="U35" s="9">
        <f>IF(C35&lt;&gt;0,C35-Gear!$C$6,0)</f>
        <v>0</v>
      </c>
    </row>
    <row r="36" spans="20:21" x14ac:dyDescent="0.25">
      <c r="U36" s="9">
        <f>IF(C36&lt;&gt;0,C36-Gear!$C$6,0)</f>
        <v>0</v>
      </c>
    </row>
    <row r="37" spans="20:21" x14ac:dyDescent="0.25">
      <c r="T37" s="9">
        <f>IF(C37&lt;&gt;0,C37-Gear!$C$6,0)</f>
        <v>0</v>
      </c>
    </row>
    <row r="38" spans="20:21" x14ac:dyDescent="0.25">
      <c r="T38" s="9">
        <f>IF(C38&lt;&gt;0,C38-Gear!$C$6,0)</f>
        <v>0</v>
      </c>
    </row>
    <row r="39" spans="20:21" x14ac:dyDescent="0.25">
      <c r="T39" s="9">
        <f>IF(C39&lt;&gt;0,C39-Gear!$C$6,0)</f>
        <v>0</v>
      </c>
    </row>
    <row r="40" spans="20:21" x14ac:dyDescent="0.25">
      <c r="T40" s="9">
        <f>IF(C40&lt;&gt;0,C40-Gear!$C$6,0)</f>
        <v>0</v>
      </c>
    </row>
    <row r="41" spans="20:21" x14ac:dyDescent="0.25">
      <c r="T41" s="9">
        <f>IF(C41&lt;&gt;0,C41-Gear!$C$6,0)</f>
        <v>0</v>
      </c>
    </row>
    <row r="42" spans="20:21" x14ac:dyDescent="0.25">
      <c r="T42" s="9">
        <f>IF(C42&lt;&gt;0,C42-Gear!$C$6,0)</f>
        <v>0</v>
      </c>
    </row>
    <row r="43" spans="20:21" x14ac:dyDescent="0.25">
      <c r="T43" s="9">
        <f>IF(C43&lt;&gt;0,C43-Gear!$C$6,0)</f>
        <v>0</v>
      </c>
    </row>
    <row r="44" spans="20:21" x14ac:dyDescent="0.25">
      <c r="T44" s="9">
        <f>IF(C44&lt;&gt;0,C44-Gear!$C$6,0)</f>
        <v>0</v>
      </c>
    </row>
    <row r="45" spans="20:21" x14ac:dyDescent="0.25">
      <c r="T45" s="9">
        <f>IF(C45&lt;&gt;0,C45-Gear!$C$6,0)</f>
        <v>0</v>
      </c>
    </row>
    <row r="46" spans="20:21" x14ac:dyDescent="0.25">
      <c r="T46" s="9">
        <f>IF(C46&lt;&gt;0,C46-Gear!$C$6,0)</f>
        <v>0</v>
      </c>
    </row>
    <row r="47" spans="20:21" x14ac:dyDescent="0.25">
      <c r="T47" s="9">
        <f>IF(C47&lt;&gt;0,C47-Gear!$C$6,0)</f>
        <v>0</v>
      </c>
    </row>
    <row r="48" spans="20:21" x14ac:dyDescent="0.25">
      <c r="T48" s="9">
        <f>IF(C48&lt;&gt;0,C48-Gear!$C$6,0)</f>
        <v>0</v>
      </c>
    </row>
    <row r="49" spans="20:20" x14ac:dyDescent="0.25">
      <c r="T49" s="9">
        <f>IF(C49&lt;&gt;0,C49-Gear!$C$6,0)</f>
        <v>0</v>
      </c>
    </row>
    <row r="50" spans="20:20" x14ac:dyDescent="0.25">
      <c r="T50" s="9">
        <f>IF(C50&lt;&gt;0,C50-Gear!$C$6,0)</f>
        <v>0</v>
      </c>
    </row>
    <row r="51" spans="20:20" x14ac:dyDescent="0.25">
      <c r="T51" s="9">
        <f>IF(C51&lt;&gt;0,C51-Gear!$C$6,0)</f>
        <v>0</v>
      </c>
    </row>
    <row r="52" spans="20:20" x14ac:dyDescent="0.25">
      <c r="T52" s="9">
        <f>IF(C52&lt;&gt;0,C52-Gear!$C$6,0)</f>
        <v>0</v>
      </c>
    </row>
    <row r="53" spans="20:20" x14ac:dyDescent="0.25">
      <c r="T53" s="9">
        <f>IF(C53&lt;&gt;0,C53-Gear!$C$6,0)</f>
        <v>0</v>
      </c>
    </row>
    <row r="54" spans="20:20" x14ac:dyDescent="0.25">
      <c r="T54" s="9">
        <f>IF(C54&lt;&gt;0,C54-Gear!$C$6,0)</f>
        <v>0</v>
      </c>
    </row>
    <row r="55" spans="20:20" x14ac:dyDescent="0.25">
      <c r="T55" s="9">
        <f>IF(C55&lt;&gt;0,C55-Gear!$C$6,0)</f>
        <v>0</v>
      </c>
    </row>
    <row r="56" spans="20:20" x14ac:dyDescent="0.25">
      <c r="T56" s="9">
        <f>IF(C56&lt;&gt;0,C56-Gear!$C$6,0)</f>
        <v>0</v>
      </c>
    </row>
    <row r="57" spans="20:20" x14ac:dyDescent="0.25">
      <c r="T57" s="9">
        <f>IF(C57&lt;&gt;0,C57-Gear!$C$6,0)</f>
        <v>0</v>
      </c>
    </row>
    <row r="58" spans="20:20" x14ac:dyDescent="0.25">
      <c r="T58" s="9">
        <f>IF(C58&lt;&gt;0,C58-Gear!$C$6,0)</f>
        <v>0</v>
      </c>
    </row>
    <row r="59" spans="20:20" x14ac:dyDescent="0.25">
      <c r="T59" s="9">
        <f>IF(C59&lt;&gt;0,C59-Gear!$C$6,0)</f>
        <v>0</v>
      </c>
    </row>
    <row r="60" spans="20:20" x14ac:dyDescent="0.25">
      <c r="T60" s="9">
        <f>IF(C60&lt;&gt;0,C60-Gear!$C$6,0)</f>
        <v>0</v>
      </c>
    </row>
    <row r="61" spans="20:20" x14ac:dyDescent="0.25">
      <c r="T61" s="9">
        <f>IF(C61&lt;&gt;0,C61-Gear!$C$6,0)</f>
        <v>0</v>
      </c>
    </row>
    <row r="62" spans="20:20" x14ac:dyDescent="0.25">
      <c r="T62" s="9">
        <f>IF(C62&lt;&gt;0,C62-Gear!$C$6,0)</f>
        <v>0</v>
      </c>
    </row>
    <row r="63" spans="20:20" x14ac:dyDescent="0.25">
      <c r="T63" s="9">
        <f>IF(C63&lt;&gt;0,C63-Gear!$C$6,0)</f>
        <v>0</v>
      </c>
    </row>
    <row r="64" spans="20:20" x14ac:dyDescent="0.25">
      <c r="T64" s="9">
        <f>IF(C64&lt;&gt;0,C64-Gear!$C$6,0)</f>
        <v>0</v>
      </c>
    </row>
    <row r="65" spans="20:20" x14ac:dyDescent="0.25">
      <c r="T65" s="9">
        <f>IF(C65&lt;&gt;0,C65-Gear!$C$6,0)</f>
        <v>0</v>
      </c>
    </row>
    <row r="66" spans="20:20" x14ac:dyDescent="0.25">
      <c r="T66" s="9">
        <f>IF(C66&lt;&gt;0,C66-Gear!$C$6,0)</f>
        <v>0</v>
      </c>
    </row>
    <row r="67" spans="20:20" x14ac:dyDescent="0.25">
      <c r="T67" s="9">
        <f>IF(C67&lt;&gt;0,C67-Gear!$C$6,0)</f>
        <v>0</v>
      </c>
    </row>
    <row r="68" spans="20:20" x14ac:dyDescent="0.25">
      <c r="T68" s="9">
        <f>IF(C68&lt;&gt;0,C68-Gear!$C$6,0)</f>
        <v>0</v>
      </c>
    </row>
    <row r="69" spans="20:20" x14ac:dyDescent="0.25">
      <c r="T69" s="9">
        <f>IF(C69&lt;&gt;0,C69-Gear!$C$6,0)</f>
        <v>0</v>
      </c>
    </row>
    <row r="70" spans="20:20" x14ac:dyDescent="0.25">
      <c r="T70" s="9">
        <f>IF(C70&lt;&gt;0,C70-Gear!$C$6,0)</f>
        <v>0</v>
      </c>
    </row>
    <row r="71" spans="20:20" x14ac:dyDescent="0.25">
      <c r="T71" s="9">
        <f>IF(C71&lt;&gt;0,C71-Gear!$C$6,0)</f>
        <v>0</v>
      </c>
    </row>
    <row r="72" spans="20:20" x14ac:dyDescent="0.25">
      <c r="T72" s="9">
        <f>IF(C72&lt;&gt;0,C72-Gear!$C$6,0)</f>
        <v>0</v>
      </c>
    </row>
    <row r="73" spans="20:20" x14ac:dyDescent="0.25">
      <c r="T73" s="9">
        <f>IF(C73&lt;&gt;0,C73-Gear!$C$6,0)</f>
        <v>0</v>
      </c>
    </row>
    <row r="74" spans="20:20" x14ac:dyDescent="0.25">
      <c r="T74" s="9">
        <f>IF(C74&lt;&gt;0,C74-Gear!$C$6,0)</f>
        <v>0</v>
      </c>
    </row>
    <row r="75" spans="20:20" x14ac:dyDescent="0.25">
      <c r="T75" s="9">
        <f>IF(C75&lt;&gt;0,C75-Gear!$C$6,0)</f>
        <v>0</v>
      </c>
    </row>
    <row r="76" spans="20:20" x14ac:dyDescent="0.25">
      <c r="T76" s="9">
        <f>IF(C76&lt;&gt;0,C76-Gear!$C$6,0)</f>
        <v>0</v>
      </c>
    </row>
    <row r="77" spans="20:20" x14ac:dyDescent="0.25">
      <c r="T77" s="9">
        <f>IF(C77&lt;&gt;0,C77-Gear!$C$6,0)</f>
        <v>0</v>
      </c>
    </row>
    <row r="78" spans="20:20" x14ac:dyDescent="0.25">
      <c r="T78" s="9">
        <f>IF(C78&lt;&gt;0,C78-Gear!$C$6,0)</f>
        <v>0</v>
      </c>
    </row>
    <row r="79" spans="20:20" x14ac:dyDescent="0.25">
      <c r="T79" s="9">
        <f>IF(C79&lt;&gt;0,C79-Gear!$C$6,0)</f>
        <v>0</v>
      </c>
    </row>
    <row r="80" spans="20:20" x14ac:dyDescent="0.25">
      <c r="T80" s="9">
        <f>IF(C80&lt;&gt;0,C80-Gear!$C$6,0)</f>
        <v>0</v>
      </c>
    </row>
    <row r="81" spans="20:20" x14ac:dyDescent="0.25">
      <c r="T81" s="9">
        <f>IF(C81&lt;&gt;0,C81-Gear!$C$6,0)</f>
        <v>0</v>
      </c>
    </row>
    <row r="82" spans="20:20" x14ac:dyDescent="0.25">
      <c r="T82" s="9">
        <f>IF(C82&lt;&gt;0,C82-Gear!$C$6,0)</f>
        <v>0</v>
      </c>
    </row>
    <row r="83" spans="20:20" x14ac:dyDescent="0.25">
      <c r="T83" s="9">
        <f>IF(C83&lt;&gt;0,C83-Gear!$C$6,0)</f>
        <v>0</v>
      </c>
    </row>
    <row r="84" spans="20:20" x14ac:dyDescent="0.25">
      <c r="T84" s="9">
        <f>IF(C84&lt;&gt;0,C84-Gear!$C$6,0)</f>
        <v>0</v>
      </c>
    </row>
    <row r="85" spans="20:20" x14ac:dyDescent="0.25">
      <c r="T85" s="9">
        <f>IF(C85&lt;&gt;0,C85-Gear!$C$6,0)</f>
        <v>0</v>
      </c>
    </row>
    <row r="86" spans="20:20" x14ac:dyDescent="0.25">
      <c r="T86" s="9">
        <f>IF(C86&lt;&gt;0,C86-Gear!$C$6,0)</f>
        <v>0</v>
      </c>
    </row>
    <row r="87" spans="20:20" x14ac:dyDescent="0.25">
      <c r="T87" s="9">
        <f>IF(C87&lt;&gt;0,C87-Gear!$C$6,0)</f>
        <v>0</v>
      </c>
    </row>
    <row r="88" spans="20:20" x14ac:dyDescent="0.25">
      <c r="T88" s="9">
        <f>IF(C88&lt;&gt;0,C88-Gear!$C$6,0)</f>
        <v>0</v>
      </c>
    </row>
    <row r="89" spans="20:20" x14ac:dyDescent="0.25">
      <c r="T89" s="9">
        <f>IF(C89&lt;&gt;0,C89-Gear!$C$6,0)</f>
        <v>0</v>
      </c>
    </row>
    <row r="90" spans="20:20" x14ac:dyDescent="0.25">
      <c r="T90" s="9">
        <f>IF(C90&lt;&gt;0,C90-Gear!$C$6,0)</f>
        <v>0</v>
      </c>
    </row>
    <row r="91" spans="20:20" x14ac:dyDescent="0.25">
      <c r="T91" s="9">
        <f>IF(C91&lt;&gt;0,C91-Gear!$C$6,0)</f>
        <v>0</v>
      </c>
    </row>
    <row r="92" spans="20:20" x14ac:dyDescent="0.25">
      <c r="T92" s="9">
        <f>IF(C92&lt;&gt;0,C92-Gear!$C$6,0)</f>
        <v>0</v>
      </c>
    </row>
    <row r="93" spans="20:20" x14ac:dyDescent="0.25">
      <c r="T93" s="9">
        <f>IF(C93&lt;&gt;0,C93-Gear!$C$6,0)</f>
        <v>0</v>
      </c>
    </row>
    <row r="94" spans="20:20" x14ac:dyDescent="0.25">
      <c r="T94" s="9">
        <f>IF(C94&lt;&gt;0,C94-Gear!$C$6,0)</f>
        <v>0</v>
      </c>
    </row>
    <row r="95" spans="20:20" x14ac:dyDescent="0.25">
      <c r="T95" s="9">
        <f>IF(C95&lt;&gt;0,C95-Gear!$C$6,0)</f>
        <v>0</v>
      </c>
    </row>
    <row r="96" spans="20:20" x14ac:dyDescent="0.25">
      <c r="T96" s="9">
        <f>IF(C96&lt;&gt;0,C96-Gear!$C$6,0)</f>
        <v>0</v>
      </c>
    </row>
    <row r="97" spans="20:20" x14ac:dyDescent="0.25">
      <c r="T97" s="9">
        <f>IF(C97&lt;&gt;0,C97-Gear!$C$6,0)</f>
        <v>0</v>
      </c>
    </row>
    <row r="98" spans="20:20" x14ac:dyDescent="0.25">
      <c r="T98" s="9">
        <f>IF(C98&lt;&gt;0,C98-Gear!$C$6,0)</f>
        <v>0</v>
      </c>
    </row>
    <row r="99" spans="20:20" x14ac:dyDescent="0.25">
      <c r="T99" s="9">
        <f>IF(C99&lt;&gt;0,C99-Gear!$C$6,0)</f>
        <v>0</v>
      </c>
    </row>
    <row r="100" spans="20:20" x14ac:dyDescent="0.25">
      <c r="T100" s="9">
        <f>IF(C100&lt;&gt;0,C100-Gear!$C$6,0)</f>
        <v>0</v>
      </c>
    </row>
    <row r="101" spans="20:20" x14ac:dyDescent="0.25">
      <c r="T101" s="9">
        <f>IF(C101&lt;&gt;0,C101-Gear!$C$6,0)</f>
        <v>0</v>
      </c>
    </row>
    <row r="102" spans="20:20" x14ac:dyDescent="0.25">
      <c r="T102" s="9">
        <f>IF(C102&lt;&gt;0,C102-Gear!$C$6,0)</f>
        <v>0</v>
      </c>
    </row>
    <row r="103" spans="20:20" x14ac:dyDescent="0.25">
      <c r="T103" s="9">
        <f>IF(C103&lt;&gt;0,C103-Gear!$C$6,0)</f>
        <v>0</v>
      </c>
    </row>
    <row r="104" spans="20:20" x14ac:dyDescent="0.25">
      <c r="T104" s="9">
        <f>IF(C104&lt;&gt;0,C104-Gear!$C$6,0)</f>
        <v>0</v>
      </c>
    </row>
    <row r="105" spans="20:20" x14ac:dyDescent="0.25">
      <c r="T105" s="9">
        <f>IF(C105&lt;&gt;0,C105-Gear!$C$6,0)</f>
        <v>0</v>
      </c>
    </row>
    <row r="106" spans="20:20" x14ac:dyDescent="0.25">
      <c r="T106" s="9">
        <f>IF(C106&lt;&gt;0,C106-Gear!$C$6,0)</f>
        <v>0</v>
      </c>
    </row>
    <row r="107" spans="20:20" x14ac:dyDescent="0.25">
      <c r="T107" s="9">
        <f>IF(C107&lt;&gt;0,C107-Gear!$C$6,0)</f>
        <v>0</v>
      </c>
    </row>
    <row r="108" spans="20:20" x14ac:dyDescent="0.25">
      <c r="T108" s="9">
        <f>IF(C108&lt;&gt;0,C108-Gear!$C$6,0)</f>
        <v>0</v>
      </c>
    </row>
    <row r="109" spans="20:20" x14ac:dyDescent="0.25">
      <c r="T109" s="9">
        <f>IF(C109&lt;&gt;0,C109-Gear!$C$6,0)</f>
        <v>0</v>
      </c>
    </row>
    <row r="110" spans="20:20" x14ac:dyDescent="0.25">
      <c r="T110" s="9">
        <f>IF(C110&lt;&gt;0,C110-Gear!$C$6,0)</f>
        <v>0</v>
      </c>
    </row>
    <row r="111" spans="20:20" x14ac:dyDescent="0.25">
      <c r="T111" s="9">
        <f>IF(C111&lt;&gt;0,C111-Gear!$C$6,0)</f>
        <v>0</v>
      </c>
    </row>
    <row r="112" spans="20:20" x14ac:dyDescent="0.25">
      <c r="T112" s="9">
        <f>IF(C112&lt;&gt;0,C112-Gear!$C$6,0)</f>
        <v>0</v>
      </c>
    </row>
    <row r="113" spans="20:20" x14ac:dyDescent="0.25">
      <c r="T113" s="9">
        <f>IF(C113&lt;&gt;0,C113-Gear!$C$6,0)</f>
        <v>0</v>
      </c>
    </row>
    <row r="114" spans="20:20" x14ac:dyDescent="0.25">
      <c r="T114" s="9">
        <f>IF(C114&lt;&gt;0,C114-Gear!$C$6,0)</f>
        <v>0</v>
      </c>
    </row>
    <row r="115" spans="20:20" x14ac:dyDescent="0.25">
      <c r="T115" s="9">
        <f>IF(C115&lt;&gt;0,C115-Gear!$C$6,0)</f>
        <v>0</v>
      </c>
    </row>
    <row r="116" spans="20:20" x14ac:dyDescent="0.25">
      <c r="T116" s="9">
        <f>IF(C116&lt;&gt;0,C116-Gear!$C$6,0)</f>
        <v>0</v>
      </c>
    </row>
    <row r="117" spans="20:20" x14ac:dyDescent="0.25">
      <c r="T117" s="9">
        <f>IF(C117&lt;&gt;0,C117-Gear!$C$6,0)</f>
        <v>0</v>
      </c>
    </row>
    <row r="118" spans="20:20" x14ac:dyDescent="0.25">
      <c r="T118" s="9">
        <f>IF(C118&lt;&gt;0,C118-Gear!$C$6,0)</f>
        <v>0</v>
      </c>
    </row>
    <row r="119" spans="20:20" x14ac:dyDescent="0.25">
      <c r="T119" s="9">
        <f>IF(C119&lt;&gt;0,C119-Gear!$C$6,0)</f>
        <v>0</v>
      </c>
    </row>
    <row r="120" spans="20:20" x14ac:dyDescent="0.25">
      <c r="T120" s="9">
        <f>IF(C120&lt;&gt;0,C120-Gear!$C$6,0)</f>
        <v>0</v>
      </c>
    </row>
    <row r="121" spans="20:20" x14ac:dyDescent="0.25">
      <c r="T121" s="9">
        <f>IF(C121&lt;&gt;0,C121-Gear!$C$6,0)</f>
        <v>0</v>
      </c>
    </row>
    <row r="122" spans="20:20" x14ac:dyDescent="0.25">
      <c r="T122" s="9">
        <f>IF(C122&lt;&gt;0,C122-Gear!$C$6,0)</f>
        <v>0</v>
      </c>
    </row>
    <row r="123" spans="20:20" x14ac:dyDescent="0.25">
      <c r="T123" s="9">
        <f>IF(C123&lt;&gt;0,C123-Gear!$C$6,0)</f>
        <v>0</v>
      </c>
    </row>
    <row r="124" spans="20:20" x14ac:dyDescent="0.25">
      <c r="T124" s="9">
        <f>IF(C124&lt;&gt;0,C124-Gear!$C$6,0)</f>
        <v>0</v>
      </c>
    </row>
    <row r="125" spans="20:20" x14ac:dyDescent="0.25">
      <c r="T125" s="9">
        <f>IF(C125&lt;&gt;0,C125-Gear!$C$6,0)</f>
        <v>0</v>
      </c>
    </row>
    <row r="126" spans="20:20" x14ac:dyDescent="0.25">
      <c r="T126" s="9">
        <f>IF(C126&lt;&gt;0,C126-Gear!$C$6,0)</f>
        <v>0</v>
      </c>
    </row>
    <row r="127" spans="20:20" x14ac:dyDescent="0.25">
      <c r="T127" s="9">
        <f>IF(C127&lt;&gt;0,C127-Gear!$C$6,0)</f>
        <v>0</v>
      </c>
    </row>
    <row r="128" spans="20:20" x14ac:dyDescent="0.25">
      <c r="T128" s="9">
        <f>IF(C128&lt;&gt;0,C128-Gear!$C$6,0)</f>
        <v>0</v>
      </c>
    </row>
    <row r="129" spans="20:20" x14ac:dyDescent="0.25">
      <c r="T129" s="9">
        <f>IF(C129&lt;&gt;0,C129-Gear!$C$6,0)</f>
        <v>0</v>
      </c>
    </row>
    <row r="130" spans="20:20" x14ac:dyDescent="0.25">
      <c r="T130" s="9">
        <f>IF(C130&lt;&gt;0,C130-Gear!$C$6,0)</f>
        <v>0</v>
      </c>
    </row>
    <row r="131" spans="20:20" x14ac:dyDescent="0.25">
      <c r="T131" s="9">
        <f>IF(C131&lt;&gt;0,C131-Gear!$C$6,0)</f>
        <v>0</v>
      </c>
    </row>
    <row r="132" spans="20:20" x14ac:dyDescent="0.25">
      <c r="T132" s="9">
        <f>IF(C132&lt;&gt;0,C132-Gear!$C$6,0)</f>
        <v>0</v>
      </c>
    </row>
    <row r="133" spans="20:20" x14ac:dyDescent="0.25">
      <c r="T133" s="9">
        <f>IF(C133&lt;&gt;0,C133-Gear!$C$6,0)</f>
        <v>0</v>
      </c>
    </row>
    <row r="134" spans="20:20" x14ac:dyDescent="0.25">
      <c r="T134" s="9">
        <f>IF(C134&lt;&gt;0,C134-Gear!$C$6,0)</f>
        <v>0</v>
      </c>
    </row>
    <row r="135" spans="20:20" x14ac:dyDescent="0.25">
      <c r="T135" s="9">
        <f>IF(C135&lt;&gt;0,C135-Gear!$C$6,0)</f>
        <v>0</v>
      </c>
    </row>
    <row r="136" spans="20:20" x14ac:dyDescent="0.25">
      <c r="T136" s="9">
        <f>IF(C136&lt;&gt;0,C136-Gear!$C$6,0)</f>
        <v>0</v>
      </c>
    </row>
    <row r="137" spans="20:20" x14ac:dyDescent="0.25">
      <c r="T137" s="9">
        <f>IF(C137&lt;&gt;0,C137-Gear!$C$6,0)</f>
        <v>0</v>
      </c>
    </row>
    <row r="138" spans="20:20" x14ac:dyDescent="0.25">
      <c r="T138" s="9">
        <f>IF(C138&lt;&gt;0,C138-Gear!$C$6,0)</f>
        <v>0</v>
      </c>
    </row>
    <row r="139" spans="20:20" x14ac:dyDescent="0.25">
      <c r="T139" s="9">
        <f>IF(C139&lt;&gt;0,C139-Gear!$C$6,0)</f>
        <v>0</v>
      </c>
    </row>
    <row r="140" spans="20:20" x14ac:dyDescent="0.25">
      <c r="T140" s="9">
        <f>IF(C140&lt;&gt;0,C140-Gear!$C$6,0)</f>
        <v>0</v>
      </c>
    </row>
    <row r="141" spans="20:20" x14ac:dyDescent="0.25">
      <c r="T141" s="9">
        <f>IF(C141&lt;&gt;0,C141-Gear!$C$6,0)</f>
        <v>0</v>
      </c>
    </row>
    <row r="142" spans="20:20" x14ac:dyDescent="0.25">
      <c r="T142" s="9">
        <f>IF(C142&lt;&gt;0,C142-Gear!$C$6,0)</f>
        <v>0</v>
      </c>
    </row>
    <row r="143" spans="20:20" x14ac:dyDescent="0.25">
      <c r="T143" s="9">
        <f>IF(C143&lt;&gt;0,C143-Gear!$C$6,0)</f>
        <v>0</v>
      </c>
    </row>
    <row r="144" spans="20:20" x14ac:dyDescent="0.25">
      <c r="T144" s="9">
        <f>IF(C144&lt;&gt;0,C144-Gear!$C$6,0)</f>
        <v>0</v>
      </c>
    </row>
    <row r="145" spans="20:20" x14ac:dyDescent="0.25">
      <c r="T145" s="9">
        <f>IF(C145&lt;&gt;0,C145-Gear!$C$6,0)</f>
        <v>0</v>
      </c>
    </row>
    <row r="146" spans="20:20" x14ac:dyDescent="0.25">
      <c r="T146" s="9">
        <f>IF(C146&lt;&gt;0,C146-Gear!$C$6,0)</f>
        <v>0</v>
      </c>
    </row>
    <row r="147" spans="20:20" x14ac:dyDescent="0.25">
      <c r="T147" s="9">
        <f>IF(C147&lt;&gt;0,C147-Gear!$C$6,0)</f>
        <v>0</v>
      </c>
    </row>
    <row r="148" spans="20:20" x14ac:dyDescent="0.25">
      <c r="T148" s="9">
        <f>IF(C148&lt;&gt;0,C148-Gear!$C$6,0)</f>
        <v>0</v>
      </c>
    </row>
    <row r="149" spans="20:20" x14ac:dyDescent="0.25">
      <c r="T149" s="9">
        <f>IF(C149&lt;&gt;0,C149-Gear!$C$6,0)</f>
        <v>0</v>
      </c>
    </row>
    <row r="150" spans="20:20" x14ac:dyDescent="0.25">
      <c r="T150" s="9">
        <f>IF(C150&lt;&gt;0,C150-Gear!$C$6,0)</f>
        <v>0</v>
      </c>
    </row>
    <row r="151" spans="20:20" x14ac:dyDescent="0.25">
      <c r="T151" s="9">
        <f>IF(C151&lt;&gt;0,C151-Gear!$C$6,0)</f>
        <v>0</v>
      </c>
    </row>
    <row r="152" spans="20:20" x14ac:dyDescent="0.25">
      <c r="T152" s="9">
        <f>IF(C152&lt;&gt;0,C152-Gear!$C$6,0)</f>
        <v>0</v>
      </c>
    </row>
    <row r="153" spans="20:20" x14ac:dyDescent="0.25">
      <c r="T153" s="9">
        <f>IF(C153&lt;&gt;0,C153-Gear!$C$6,0)</f>
        <v>0</v>
      </c>
    </row>
    <row r="154" spans="20:20" x14ac:dyDescent="0.25">
      <c r="T154" s="9">
        <f>IF(C154&lt;&gt;0,C154-Gear!$C$6,0)</f>
        <v>0</v>
      </c>
    </row>
    <row r="155" spans="20:20" x14ac:dyDescent="0.25">
      <c r="T155" s="9">
        <f>IF(C155&lt;&gt;0,C155-Gear!$C$6,0)</f>
        <v>0</v>
      </c>
    </row>
    <row r="156" spans="20:20" x14ac:dyDescent="0.25">
      <c r="T156" s="9">
        <f>IF(C156&lt;&gt;0,C156-Gear!$C$6,0)</f>
        <v>0</v>
      </c>
    </row>
    <row r="157" spans="20:20" x14ac:dyDescent="0.25">
      <c r="T157" s="9">
        <f>IF(C157&lt;&gt;0,C157-Gear!$C$6,0)</f>
        <v>0</v>
      </c>
    </row>
    <row r="158" spans="20:20" x14ac:dyDescent="0.25">
      <c r="T158" s="9">
        <f>IF(C158&lt;&gt;0,C158-Gear!$C$6,0)</f>
        <v>0</v>
      </c>
    </row>
    <row r="159" spans="20:20" x14ac:dyDescent="0.25">
      <c r="T159" s="9">
        <f>IF(C159&lt;&gt;0,C159-Gear!$C$6,0)</f>
        <v>0</v>
      </c>
    </row>
    <row r="160" spans="20:20" x14ac:dyDescent="0.25">
      <c r="T160" s="9">
        <f>IF(C160&lt;&gt;0,C160-Gear!$C$6,0)</f>
        <v>0</v>
      </c>
    </row>
    <row r="161" spans="20:20" x14ac:dyDescent="0.25">
      <c r="T161" s="9">
        <f>IF(C161&lt;&gt;0,C161-Gear!$C$6,0)</f>
        <v>0</v>
      </c>
    </row>
    <row r="162" spans="20:20" x14ac:dyDescent="0.25">
      <c r="T162" s="9">
        <f>IF(C162&lt;&gt;0,C162-Gear!$C$6,0)</f>
        <v>0</v>
      </c>
    </row>
    <row r="163" spans="20:20" x14ac:dyDescent="0.25">
      <c r="T163" s="9">
        <f>IF(C163&lt;&gt;0,C163-Gear!$C$6,0)</f>
        <v>0</v>
      </c>
    </row>
    <row r="164" spans="20:20" x14ac:dyDescent="0.25">
      <c r="T164" s="9">
        <f>IF(C164&lt;&gt;0,C164-Gear!$C$6,0)</f>
        <v>0</v>
      </c>
    </row>
    <row r="165" spans="20:20" x14ac:dyDescent="0.25">
      <c r="T165" s="9">
        <f>IF(C165&lt;&gt;0,C165-Gear!$C$6,0)</f>
        <v>0</v>
      </c>
    </row>
    <row r="166" spans="20:20" x14ac:dyDescent="0.25">
      <c r="T166" s="9">
        <f>IF(C166&lt;&gt;0,C166-Gear!$C$6,0)</f>
        <v>0</v>
      </c>
    </row>
    <row r="167" spans="20:20" x14ac:dyDescent="0.25">
      <c r="T167" s="9">
        <f>IF(C167&lt;&gt;0,C167-Gear!$C$6,0)</f>
        <v>0</v>
      </c>
    </row>
    <row r="168" spans="20:20" x14ac:dyDescent="0.25">
      <c r="T168" s="9">
        <f>IF(C168&lt;&gt;0,C168-Gear!$C$6,0)</f>
        <v>0</v>
      </c>
    </row>
    <row r="169" spans="20:20" x14ac:dyDescent="0.25">
      <c r="T169" s="9">
        <f>IF(C169&lt;&gt;0,C169-Gear!$C$6,0)</f>
        <v>0</v>
      </c>
    </row>
    <row r="170" spans="20:20" x14ac:dyDescent="0.25">
      <c r="T170" s="9">
        <f>IF(C170&lt;&gt;0,C170-Gear!$C$6,0)</f>
        <v>0</v>
      </c>
    </row>
    <row r="171" spans="20:20" x14ac:dyDescent="0.25">
      <c r="T171" s="9">
        <f>IF(C171&lt;&gt;0,C171-Gear!$C$6,0)</f>
        <v>0</v>
      </c>
    </row>
    <row r="172" spans="20:20" x14ac:dyDescent="0.25">
      <c r="T172" s="9">
        <f>IF(C172&lt;&gt;0,C172-Gear!$C$6,0)</f>
        <v>0</v>
      </c>
    </row>
    <row r="173" spans="20:20" x14ac:dyDescent="0.25">
      <c r="T173" s="9">
        <f>IF(C173&lt;&gt;0,C173-Gear!$C$6,0)</f>
        <v>0</v>
      </c>
    </row>
    <row r="174" spans="20:20" x14ac:dyDescent="0.25">
      <c r="T174" s="9">
        <f>IF(C174&lt;&gt;0,C174-Gear!$C$6,0)</f>
        <v>0</v>
      </c>
    </row>
    <row r="175" spans="20:20" x14ac:dyDescent="0.25">
      <c r="T175" s="9">
        <f>IF(C175&lt;&gt;0,C175-Gear!$C$6,0)</f>
        <v>0</v>
      </c>
    </row>
    <row r="176" spans="20:20" x14ac:dyDescent="0.25">
      <c r="T176" s="9">
        <f>IF(C176&lt;&gt;0,C176-Gear!$C$6,0)</f>
        <v>0</v>
      </c>
    </row>
    <row r="177" spans="20:20" x14ac:dyDescent="0.25">
      <c r="T177" s="9">
        <f>IF(C177&lt;&gt;0,C177-Gear!$C$6,0)</f>
        <v>0</v>
      </c>
    </row>
    <row r="178" spans="20:20" x14ac:dyDescent="0.25">
      <c r="T178" s="9">
        <f>IF(C178&lt;&gt;0,C178-Gear!$C$6,0)</f>
        <v>0</v>
      </c>
    </row>
    <row r="179" spans="20:20" x14ac:dyDescent="0.25">
      <c r="T179" s="9">
        <f>IF(C179&lt;&gt;0,C179-Gear!$C$6,0)</f>
        <v>0</v>
      </c>
    </row>
    <row r="180" spans="20:20" x14ac:dyDescent="0.25">
      <c r="T180" s="9">
        <f>IF(C180&lt;&gt;0,C180-Gear!$C$6,0)</f>
        <v>0</v>
      </c>
    </row>
    <row r="181" spans="20:20" x14ac:dyDescent="0.25">
      <c r="T181" s="9">
        <f>IF(C181&lt;&gt;0,C181-Gear!$C$6,0)</f>
        <v>0</v>
      </c>
    </row>
    <row r="182" spans="20:20" x14ac:dyDescent="0.25">
      <c r="T182" s="9">
        <f>IF(C182&lt;&gt;0,C182-Gear!$C$6,0)</f>
        <v>0</v>
      </c>
    </row>
    <row r="183" spans="20:20" x14ac:dyDescent="0.25">
      <c r="T183" s="9">
        <f>IF(C183&lt;&gt;0,C183-Gear!$C$6,0)</f>
        <v>0</v>
      </c>
    </row>
    <row r="184" spans="20:20" x14ac:dyDescent="0.25">
      <c r="T184" s="9">
        <f>IF(C184&lt;&gt;0,C184-Gear!$C$6,0)</f>
        <v>0</v>
      </c>
    </row>
    <row r="185" spans="20:20" x14ac:dyDescent="0.25">
      <c r="T185" s="9">
        <f>IF(C185&lt;&gt;0,C185-Gear!$C$6,0)</f>
        <v>0</v>
      </c>
    </row>
    <row r="186" spans="20:20" x14ac:dyDescent="0.25">
      <c r="T186" s="9">
        <f>IF(C186&lt;&gt;0,C186-Gear!$C$6,0)</f>
        <v>0</v>
      </c>
    </row>
    <row r="187" spans="20:20" x14ac:dyDescent="0.25">
      <c r="T187" s="9">
        <f>IF(C187&lt;&gt;0,C187-Gear!$C$6,0)</f>
        <v>0</v>
      </c>
    </row>
    <row r="188" spans="20:20" x14ac:dyDescent="0.25">
      <c r="T188" s="9">
        <f>IF(C188&lt;&gt;0,C188-Gear!$C$6,0)</f>
        <v>0</v>
      </c>
    </row>
    <row r="189" spans="20:20" x14ac:dyDescent="0.25">
      <c r="T189" s="9">
        <f>IF(C189&lt;&gt;0,C189-Gear!$C$6,0)</f>
        <v>0</v>
      </c>
    </row>
    <row r="190" spans="20:20" x14ac:dyDescent="0.25">
      <c r="T190" s="9">
        <f>IF(C190&lt;&gt;0,C190-Gear!$C$6,0)</f>
        <v>0</v>
      </c>
    </row>
    <row r="191" spans="20:20" x14ac:dyDescent="0.25">
      <c r="T191" s="9">
        <f>IF(C191&lt;&gt;0,C191-Gear!$C$6,0)</f>
        <v>0</v>
      </c>
    </row>
    <row r="192" spans="20:20" x14ac:dyDescent="0.25">
      <c r="T192" s="9">
        <f>IF(C192&lt;&gt;0,C192-Gear!$C$6,0)</f>
        <v>0</v>
      </c>
    </row>
    <row r="193" spans="20:20" x14ac:dyDescent="0.25">
      <c r="T193" s="9">
        <f>IF(C193&lt;&gt;0,C193-Gear!$C$6,0)</f>
        <v>0</v>
      </c>
    </row>
    <row r="194" spans="20:20" x14ac:dyDescent="0.25">
      <c r="T194" s="9">
        <f>IF(C194&lt;&gt;0,C194-Gear!$C$6,0)</f>
        <v>0</v>
      </c>
    </row>
    <row r="195" spans="20:20" x14ac:dyDescent="0.25">
      <c r="T195" s="9">
        <f>IF(C195&lt;&gt;0,C195-Gear!$C$6,0)</f>
        <v>0</v>
      </c>
    </row>
    <row r="196" spans="20:20" x14ac:dyDescent="0.25">
      <c r="T196" s="9">
        <f>IF(C196&lt;&gt;0,C196-Gear!$C$6,0)</f>
        <v>0</v>
      </c>
    </row>
    <row r="197" spans="20:20" x14ac:dyDescent="0.25">
      <c r="T197" s="9">
        <f>IF(C197&lt;&gt;0,C197-Gear!$C$6,0)</f>
        <v>0</v>
      </c>
    </row>
    <row r="198" spans="20:20" x14ac:dyDescent="0.25">
      <c r="T198" s="9">
        <f>IF(C198&lt;&gt;0,C198-Gear!$C$6,0)</f>
        <v>0</v>
      </c>
    </row>
    <row r="199" spans="20:20" x14ac:dyDescent="0.25">
      <c r="T199" s="9">
        <f>IF(C199&lt;&gt;0,C199-Gear!$C$6,0)</f>
        <v>0</v>
      </c>
    </row>
    <row r="200" spans="20:20" x14ac:dyDescent="0.25">
      <c r="T200" s="9">
        <f>IF(C200&lt;&gt;0,C200-Gear!$C$6,0)</f>
        <v>0</v>
      </c>
    </row>
    <row r="201" spans="20:20" x14ac:dyDescent="0.25">
      <c r="T201" s="9">
        <f>IF(C201&lt;&gt;0,C201-Gear!$C$6,0)</f>
        <v>0</v>
      </c>
    </row>
    <row r="202" spans="20:20" x14ac:dyDescent="0.25">
      <c r="T202" s="9">
        <f>IF(C202&lt;&gt;0,C202-Gear!$C$6,0)</f>
        <v>0</v>
      </c>
    </row>
    <row r="203" spans="20:20" x14ac:dyDescent="0.25">
      <c r="T203" s="9">
        <f>IF(C203&lt;&gt;0,C203-Gear!$C$6,0)</f>
        <v>0</v>
      </c>
    </row>
    <row r="204" spans="20:20" x14ac:dyDescent="0.25">
      <c r="T204" s="9">
        <f>IF(C204&lt;&gt;0,C204-Gear!$C$6,0)</f>
        <v>0</v>
      </c>
    </row>
    <row r="205" spans="20:20" x14ac:dyDescent="0.25">
      <c r="T205" s="9">
        <f>IF(C205&lt;&gt;0,C205-Gear!$C$6,0)</f>
        <v>0</v>
      </c>
    </row>
    <row r="206" spans="20:20" x14ac:dyDescent="0.25">
      <c r="T206" s="9">
        <f>IF(C206&lt;&gt;0,C206-Gear!$C$6,0)</f>
        <v>0</v>
      </c>
    </row>
    <row r="207" spans="20:20" x14ac:dyDescent="0.25">
      <c r="T207" s="9">
        <f>IF(C207&lt;&gt;0,C207-Gear!$C$6,0)</f>
        <v>0</v>
      </c>
    </row>
    <row r="208" spans="20:20" x14ac:dyDescent="0.25">
      <c r="T208" s="9">
        <f>IF(C208&lt;&gt;0,C208-Gear!$C$6,0)</f>
        <v>0</v>
      </c>
    </row>
    <row r="209" spans="20:20" x14ac:dyDescent="0.25">
      <c r="T209" s="9">
        <f>IF(C209&lt;&gt;0,C209-Gear!$C$6,0)</f>
        <v>0</v>
      </c>
    </row>
    <row r="210" spans="20:20" x14ac:dyDescent="0.25">
      <c r="T210" s="9">
        <f>IF(C210&lt;&gt;0,C210-Gear!$C$6,0)</f>
        <v>0</v>
      </c>
    </row>
    <row r="211" spans="20:20" x14ac:dyDescent="0.25">
      <c r="T211" s="9">
        <f>IF(C211&lt;&gt;0,C211-Gear!$C$6,0)</f>
        <v>0</v>
      </c>
    </row>
    <row r="212" spans="20:20" x14ac:dyDescent="0.25">
      <c r="T212" s="9">
        <f>IF(C212&lt;&gt;0,C212-Gear!$C$6,0)</f>
        <v>0</v>
      </c>
    </row>
    <row r="213" spans="20:20" x14ac:dyDescent="0.25">
      <c r="T213" s="9">
        <f>IF(C213&lt;&gt;0,C213-Gear!$C$6,0)</f>
        <v>0</v>
      </c>
    </row>
    <row r="214" spans="20:20" x14ac:dyDescent="0.25">
      <c r="T214" s="9">
        <f>IF(C214&lt;&gt;0,C214-Gear!$C$6,0)</f>
        <v>0</v>
      </c>
    </row>
    <row r="215" spans="20:20" x14ac:dyDescent="0.25">
      <c r="T215" s="9">
        <f>IF(C215&lt;&gt;0,C215-Gear!$C$6,0)</f>
        <v>0</v>
      </c>
    </row>
    <row r="216" spans="20:20" x14ac:dyDescent="0.25">
      <c r="T216" s="9">
        <f>IF(C216&lt;&gt;0,C216-Gear!$C$6,0)</f>
        <v>0</v>
      </c>
    </row>
    <row r="217" spans="20:20" x14ac:dyDescent="0.25">
      <c r="T217" s="9">
        <f>IF(C217&lt;&gt;0,C217-Gear!$C$6,0)</f>
        <v>0</v>
      </c>
    </row>
    <row r="218" spans="20:20" x14ac:dyDescent="0.25">
      <c r="T218" s="9">
        <f>IF(C218&lt;&gt;0,C218-Gear!$C$6,0)</f>
        <v>0</v>
      </c>
    </row>
    <row r="219" spans="20:20" x14ac:dyDescent="0.25">
      <c r="T219" s="9">
        <f>IF(C219&lt;&gt;0,C219-Gear!$C$6,0)</f>
        <v>0</v>
      </c>
    </row>
    <row r="220" spans="20:20" x14ac:dyDescent="0.25">
      <c r="T220" s="9">
        <f>IF(C220&lt;&gt;0,C220-Gear!$C$6,0)</f>
        <v>0</v>
      </c>
    </row>
    <row r="221" spans="20:20" x14ac:dyDescent="0.25">
      <c r="T221" s="9">
        <f>IF(C221&lt;&gt;0,C221-Gear!$C$6,0)</f>
        <v>0</v>
      </c>
    </row>
    <row r="222" spans="20:20" x14ac:dyDescent="0.25">
      <c r="T222" s="9">
        <f>IF(C222&lt;&gt;0,C222-Gear!$C$6,0)</f>
        <v>0</v>
      </c>
    </row>
    <row r="223" spans="20:20" x14ac:dyDescent="0.25">
      <c r="T223" s="9">
        <f>IF(C223&lt;&gt;0,C223-Gear!$C$6,0)</f>
        <v>0</v>
      </c>
    </row>
    <row r="224" spans="20:20" x14ac:dyDescent="0.25">
      <c r="T224" s="9">
        <f>IF(C224&lt;&gt;0,C224-Gear!$C$6,0)</f>
        <v>0</v>
      </c>
    </row>
    <row r="225" spans="20:20" x14ac:dyDescent="0.25">
      <c r="T225" s="9">
        <f>IF(C225&lt;&gt;0,C225-Gear!$C$6,0)</f>
        <v>0</v>
      </c>
    </row>
    <row r="226" spans="20:20" x14ac:dyDescent="0.25">
      <c r="T226" s="9">
        <f>IF(C226&lt;&gt;0,C226-Gear!$C$6,0)</f>
        <v>0</v>
      </c>
    </row>
    <row r="227" spans="20:20" x14ac:dyDescent="0.25">
      <c r="T227" s="9">
        <f>IF(C227&lt;&gt;0,C227-Gear!$C$6,0)</f>
        <v>0</v>
      </c>
    </row>
    <row r="228" spans="20:20" x14ac:dyDescent="0.25">
      <c r="T228" s="9">
        <f>IF(C228&lt;&gt;0,C228-Gear!$C$6,0)</f>
        <v>0</v>
      </c>
    </row>
    <row r="229" spans="20:20" x14ac:dyDescent="0.25">
      <c r="T229" s="9">
        <f>IF(C229&lt;&gt;0,C229-Gear!$C$6,0)</f>
        <v>0</v>
      </c>
    </row>
    <row r="230" spans="20:20" x14ac:dyDescent="0.25">
      <c r="T230" s="9">
        <f>IF(C230&lt;&gt;0,C230-Gear!$C$6,0)</f>
        <v>0</v>
      </c>
    </row>
    <row r="231" spans="20:20" x14ac:dyDescent="0.25">
      <c r="T231" s="9">
        <f>IF(C231&lt;&gt;0,C231-Gear!$C$6,0)</f>
        <v>0</v>
      </c>
    </row>
    <row r="232" spans="20:20" x14ac:dyDescent="0.25">
      <c r="T232" s="9">
        <f>IF(C232&lt;&gt;0,C232-Gear!$C$6,0)</f>
        <v>0</v>
      </c>
    </row>
    <row r="233" spans="20:20" x14ac:dyDescent="0.25">
      <c r="T233" s="9">
        <f>IF(C233&lt;&gt;0,C233-Gear!$C$6,0)</f>
        <v>0</v>
      </c>
    </row>
    <row r="234" spans="20:20" x14ac:dyDescent="0.25">
      <c r="T234" s="9">
        <f>IF(C234&lt;&gt;0,C234-Gear!$C$6,0)</f>
        <v>0</v>
      </c>
    </row>
    <row r="235" spans="20:20" x14ac:dyDescent="0.25">
      <c r="T235" s="9">
        <f>IF(C235&lt;&gt;0,C235-Gear!$C$6,0)</f>
        <v>0</v>
      </c>
    </row>
    <row r="236" spans="20:20" x14ac:dyDescent="0.25">
      <c r="T236" s="9">
        <f>IF(C236&lt;&gt;0,C236-Gear!$C$6,0)</f>
        <v>0</v>
      </c>
    </row>
    <row r="237" spans="20:20" x14ac:dyDescent="0.25">
      <c r="T237" s="9">
        <f>IF(C237&lt;&gt;0,C237-Gear!$C$6,0)</f>
        <v>0</v>
      </c>
    </row>
    <row r="238" spans="20:20" x14ac:dyDescent="0.25">
      <c r="T238" s="9">
        <f>IF(C238&lt;&gt;0,C238-Gear!$C$6,0)</f>
        <v>0</v>
      </c>
    </row>
    <row r="239" spans="20:20" x14ac:dyDescent="0.25">
      <c r="T239" s="9">
        <f>IF(C239&lt;&gt;0,C239-Gear!$C$6,0)</f>
        <v>0</v>
      </c>
    </row>
    <row r="240" spans="20:20" x14ac:dyDescent="0.25">
      <c r="T240" s="9">
        <f>IF(C240&lt;&gt;0,C240-Gear!$C$6,0)</f>
        <v>0</v>
      </c>
    </row>
    <row r="241" spans="20:20" x14ac:dyDescent="0.25">
      <c r="T241" s="9">
        <f>IF(C241&lt;&gt;0,C241-Gear!$C$6,0)</f>
        <v>0</v>
      </c>
    </row>
    <row r="242" spans="20:20" x14ac:dyDescent="0.25">
      <c r="T242" s="9">
        <f>IF(C242&lt;&gt;0,C242-Gear!$C$6,0)</f>
        <v>0</v>
      </c>
    </row>
    <row r="243" spans="20:20" x14ac:dyDescent="0.25">
      <c r="T243" s="9">
        <f>IF(C243&lt;&gt;0,C243-Gear!$C$6,0)</f>
        <v>0</v>
      </c>
    </row>
    <row r="244" spans="20:20" x14ac:dyDescent="0.25">
      <c r="T244" s="9">
        <f>IF(C244&lt;&gt;0,C244-Gear!$C$6,0)</f>
        <v>0</v>
      </c>
    </row>
    <row r="245" spans="20:20" x14ac:dyDescent="0.25">
      <c r="T245" s="9">
        <f>IF(C245&lt;&gt;0,C245-Gear!$C$6,0)</f>
        <v>0</v>
      </c>
    </row>
  </sheetData>
  <conditionalFormatting sqref="U2:U36">
    <cfRule type="cellIs" dxfId="10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9833-4DC2-4DEF-B355-B4C93A854A84}">
  <sheetPr codeName="Tabelle10"/>
  <dimension ref="A1:U321"/>
  <sheetViews>
    <sheetView showGridLines="0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27.28515625" style="9" bestFit="1" customWidth="1"/>
    <col min="3" max="3" width="16.5703125" style="9" bestFit="1" customWidth="1"/>
    <col min="4" max="4" width="10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  <col min="21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Database'!A69</f>
        <v>19370</v>
      </c>
      <c r="B2" s="9" t="str">
        <f>'Item Database'!B69</f>
        <v>Mantle of the Blackwing Cabal</v>
      </c>
      <c r="C2" s="12">
        <f>'Item Database'!C69</f>
        <v>12.865439945165903</v>
      </c>
      <c r="D2" s="9" t="str">
        <f>'Item Database'!D69</f>
        <v>Shoulder</v>
      </c>
      <c r="E2" s="9">
        <f>'Item Database'!E69</f>
        <v>84</v>
      </c>
      <c r="F2" s="9">
        <f>'Item Database'!F69</f>
        <v>0</v>
      </c>
      <c r="G2" s="9">
        <f>'Item Database'!G69</f>
        <v>12</v>
      </c>
      <c r="H2" s="9">
        <f>'Item Database'!H69</f>
        <v>0</v>
      </c>
      <c r="I2" s="9">
        <f>'Item Database'!I69</f>
        <v>16</v>
      </c>
      <c r="J2" s="9">
        <f>'Item Database'!J69</f>
        <v>0</v>
      </c>
      <c r="K2" s="9">
        <f>'Item Database'!K69</f>
        <v>34</v>
      </c>
      <c r="L2" s="35">
        <f>'Item Database'!L69</f>
        <v>0</v>
      </c>
      <c r="M2" s="35">
        <f>'Item Database'!M69</f>
        <v>0</v>
      </c>
      <c r="N2" s="9">
        <f>'Item Database'!N69</f>
        <v>0</v>
      </c>
      <c r="O2" s="9">
        <f>'Item Database'!O69</f>
        <v>0</v>
      </c>
      <c r="P2" s="9">
        <f>'Item Database'!P69</f>
        <v>0</v>
      </c>
      <c r="Q2" s="9">
        <f>'Item Database'!Q69</f>
        <v>0</v>
      </c>
      <c r="R2" s="9">
        <f>'Item Database'!R69</f>
        <v>0</v>
      </c>
      <c r="S2" s="9">
        <f>'Item Database'!S69</f>
        <v>0</v>
      </c>
      <c r="T2" s="53" t="str">
        <f>HYPERLINK('Item Database'!T69)</f>
        <v>https://classic.wowhead.com/item=19370</v>
      </c>
      <c r="U2" s="9">
        <f>IF(C2&lt;&gt;0,C2-Gear!$C$7,0)</f>
        <v>12.865439945165903</v>
      </c>
    </row>
    <row r="3" spans="1:21" x14ac:dyDescent="0.25">
      <c r="A3" s="24">
        <f>'Item Database'!A85</f>
        <v>23021</v>
      </c>
      <c r="B3" s="9" t="str">
        <f>'Item Database'!B85</f>
        <v>The Soul Harvester's Bindings</v>
      </c>
      <c r="C3" s="12">
        <f>'Item Database'!C85</f>
        <v>10.442977362771426</v>
      </c>
      <c r="D3" s="9" t="str">
        <f>'Item Database'!D85</f>
        <v>Wrist</v>
      </c>
      <c r="E3" s="9">
        <f>'Item Database'!E85</f>
        <v>55</v>
      </c>
      <c r="F3" s="9">
        <f>'Item Database'!F85</f>
        <v>0</v>
      </c>
      <c r="G3" s="9">
        <f>'Item Database'!G85</f>
        <v>14</v>
      </c>
      <c r="H3" s="9">
        <f>'Item Database'!H85</f>
        <v>0</v>
      </c>
      <c r="I3" s="9">
        <f>'Item Database'!I85</f>
        <v>11</v>
      </c>
      <c r="J3" s="9">
        <f>'Item Database'!J85</f>
        <v>0</v>
      </c>
      <c r="K3" s="9">
        <f>'Item Database'!K85</f>
        <v>21</v>
      </c>
      <c r="L3" s="35">
        <f>'Item Database'!L85</f>
        <v>0.01</v>
      </c>
      <c r="M3" s="35">
        <f>'Item Database'!M85</f>
        <v>0</v>
      </c>
      <c r="N3" s="9">
        <f>'Item Database'!N85</f>
        <v>0</v>
      </c>
      <c r="O3" s="9">
        <f>'Item Database'!O85</f>
        <v>0</v>
      </c>
      <c r="P3" s="9">
        <f>'Item Database'!P85</f>
        <v>0</v>
      </c>
      <c r="Q3" s="9">
        <f>'Item Database'!Q85</f>
        <v>0</v>
      </c>
      <c r="R3" s="9">
        <f>'Item Database'!R85</f>
        <v>0</v>
      </c>
      <c r="S3" s="9">
        <f>'Item Database'!S85</f>
        <v>0</v>
      </c>
      <c r="T3" s="53" t="str">
        <f>HYPERLINK('Item Database'!T85)</f>
        <v>https://classic.wowhead.com/item=23021</v>
      </c>
      <c r="U3" s="9">
        <f>IF(C3&lt;&gt;0,C3-Gear!$C$7,0)</f>
        <v>10.442977362771426</v>
      </c>
    </row>
    <row r="4" spans="1:21" x14ac:dyDescent="0.25">
      <c r="A4" s="24">
        <f>'Item Database'!A94</f>
        <v>19378</v>
      </c>
      <c r="B4" s="9" t="str">
        <f>'Item Database'!B94</f>
        <v>Cloak of the Brood Lord</v>
      </c>
      <c r="C4" s="12">
        <f>'Item Database'!C94</f>
        <v>10.628987129566385</v>
      </c>
      <c r="D4" s="9" t="str">
        <f>'Item Database'!D94</f>
        <v>Back</v>
      </c>
      <c r="E4" s="9">
        <f>'Item Database'!E94</f>
        <v>63</v>
      </c>
      <c r="F4" s="9">
        <f>'Item Database'!F94</f>
        <v>0</v>
      </c>
      <c r="G4" s="9">
        <f>'Item Database'!G94</f>
        <v>10</v>
      </c>
      <c r="H4" s="9">
        <f>'Item Database'!H94</f>
        <v>0</v>
      </c>
      <c r="I4" s="9">
        <f>'Item Database'!I94</f>
        <v>14</v>
      </c>
      <c r="J4" s="9">
        <f>'Item Database'!J94</f>
        <v>0</v>
      </c>
      <c r="K4" s="9">
        <f>'Item Database'!K94</f>
        <v>28</v>
      </c>
      <c r="L4" s="35">
        <f>'Item Database'!L94</f>
        <v>0</v>
      </c>
      <c r="M4" s="35">
        <f>'Item Database'!M94</f>
        <v>0</v>
      </c>
      <c r="N4" s="9">
        <f>'Item Database'!N94</f>
        <v>0</v>
      </c>
      <c r="O4" s="9">
        <f>'Item Database'!O94</f>
        <v>0</v>
      </c>
      <c r="P4" s="9">
        <f>'Item Database'!P94</f>
        <v>0</v>
      </c>
      <c r="Q4" s="9">
        <f>'Item Database'!Q94</f>
        <v>0</v>
      </c>
      <c r="R4" s="9">
        <f>'Item Database'!R94</f>
        <v>0</v>
      </c>
      <c r="S4" s="9">
        <f>'Item Database'!S94</f>
        <v>0</v>
      </c>
      <c r="T4" s="53" t="str">
        <f>HYPERLINK('Item Database'!T94)</f>
        <v>https://classic.wowhead.com/item=19378</v>
      </c>
      <c r="U4" s="9">
        <f>IF(C4&lt;&gt;0,C4-Gear!$C$7,0)</f>
        <v>10.628987129566385</v>
      </c>
    </row>
    <row r="5" spans="1:21" x14ac:dyDescent="0.25">
      <c r="A5" s="9">
        <f>'Item Database'!A99</f>
        <v>22503</v>
      </c>
      <c r="B5" s="9" t="str">
        <f>'Item Database'!B99</f>
        <v>Frostfire Bindings</v>
      </c>
      <c r="C5" s="12">
        <f>'Item Database'!C99</f>
        <v>10.3111613717575</v>
      </c>
      <c r="D5" s="9" t="str">
        <f>'Item Database'!D99</f>
        <v>Wrist</v>
      </c>
      <c r="E5" s="9">
        <f>'Item Database'!E99</f>
        <v>58</v>
      </c>
      <c r="F5" s="9">
        <f>'Item Database'!F99</f>
        <v>0</v>
      </c>
      <c r="G5" s="9">
        <f>'Item Database'!G99</f>
        <v>14</v>
      </c>
      <c r="H5" s="9">
        <f>'Item Database'!H99</f>
        <v>0</v>
      </c>
      <c r="I5" s="9">
        <f>'Item Database'!I99</f>
        <v>15</v>
      </c>
      <c r="J5" s="9">
        <f>'Item Database'!J99</f>
        <v>0</v>
      </c>
      <c r="K5" s="9">
        <f>'Item Database'!K99</f>
        <v>27</v>
      </c>
      <c r="L5" s="35">
        <f>'Item Database'!L99</f>
        <v>0</v>
      </c>
      <c r="M5" s="35">
        <f>'Item Database'!M99</f>
        <v>0</v>
      </c>
      <c r="N5" s="9">
        <f>'Item Database'!N99</f>
        <v>0</v>
      </c>
      <c r="O5" s="9">
        <f>'Item Database'!O99</f>
        <v>0</v>
      </c>
      <c r="P5" s="9">
        <f>'Item Database'!P99</f>
        <v>0</v>
      </c>
      <c r="Q5" s="9">
        <f>'Item Database'!Q99</f>
        <v>0</v>
      </c>
      <c r="R5" s="9">
        <f>'Item Database'!R99</f>
        <v>0</v>
      </c>
      <c r="S5" s="9">
        <f>'Item Database'!S99</f>
        <v>0</v>
      </c>
      <c r="T5" s="53" t="str">
        <f>HYPERLINK('Item Database'!T99)</f>
        <v>https://classic.wowhead.com/item=22503</v>
      </c>
      <c r="U5" s="9">
        <f>IF(C5&lt;&gt;0,C5-Gear!$C$7,0)</f>
        <v>10.3111613717575</v>
      </c>
    </row>
    <row r="6" spans="1:21" x14ac:dyDescent="0.25">
      <c r="A6" s="9">
        <f>'Item Database'!A123</f>
        <v>16800</v>
      </c>
      <c r="B6" s="9" t="str">
        <f>'Item Database'!B123</f>
        <v>Arcanist Boots</v>
      </c>
      <c r="C6" s="12">
        <f>'Item Database'!C123</f>
        <v>6.9764087995296507</v>
      </c>
      <c r="D6" s="9" t="str">
        <f>'Item Database'!D123</f>
        <v>Feet</v>
      </c>
      <c r="E6" s="9">
        <f>'Item Database'!E123</f>
        <v>70</v>
      </c>
      <c r="F6" s="9">
        <f>'Item Database'!F123</f>
        <v>0</v>
      </c>
      <c r="G6" s="9">
        <f>'Item Database'!G123</f>
        <v>13</v>
      </c>
      <c r="H6" s="9">
        <f>'Item Database'!H123</f>
        <v>0</v>
      </c>
      <c r="I6" s="9">
        <f>'Item Database'!I123</f>
        <v>14</v>
      </c>
      <c r="J6" s="9">
        <f>'Item Database'!J123</f>
        <v>11</v>
      </c>
      <c r="K6" s="9">
        <f>'Item Database'!K123</f>
        <v>11</v>
      </c>
      <c r="L6" s="35">
        <f>'Item Database'!L123</f>
        <v>0.01</v>
      </c>
      <c r="M6" s="35">
        <f>'Item Database'!M123</f>
        <v>0</v>
      </c>
      <c r="N6" s="9">
        <f>'Item Database'!N123</f>
        <v>0</v>
      </c>
      <c r="O6" s="9">
        <f>'Item Database'!O123</f>
        <v>0</v>
      </c>
      <c r="P6" s="9">
        <f>'Item Database'!P123</f>
        <v>0</v>
      </c>
      <c r="Q6" s="9">
        <f>'Item Database'!Q123</f>
        <v>0</v>
      </c>
      <c r="R6" s="9">
        <f>'Item Database'!R123</f>
        <v>10</v>
      </c>
      <c r="S6" s="9">
        <f>'Item Database'!S123</f>
        <v>0</v>
      </c>
      <c r="T6" s="53" t="str">
        <f>HYPERLINK('Item Database'!T123)</f>
        <v>https://classic.wowhead.com/item=16800</v>
      </c>
      <c r="U6" s="9">
        <f>IF(C6&lt;&gt;0,C6-Gear!$C$7,0)</f>
        <v>6.9764087995296507</v>
      </c>
    </row>
    <row r="7" spans="1:21" x14ac:dyDescent="0.25">
      <c r="A7" s="9">
        <f>'Item Database'!A125</f>
        <v>16917</v>
      </c>
      <c r="B7" s="9" t="str">
        <f>'Item Database'!B125</f>
        <v>Netherwind Mantle</v>
      </c>
      <c r="C7" s="12">
        <f>'Item Database'!C125</f>
        <v>8.0747085561579812</v>
      </c>
      <c r="D7" s="9" t="str">
        <f>'Item Database'!D125</f>
        <v>Shoulder</v>
      </c>
      <c r="E7" s="9">
        <f>'Item Database'!E125</f>
        <v>87</v>
      </c>
      <c r="F7" s="9">
        <f>'Item Database'!F125</f>
        <v>0</v>
      </c>
      <c r="G7" s="9">
        <f>'Item Database'!G125</f>
        <v>16</v>
      </c>
      <c r="H7" s="9">
        <f>'Item Database'!H125</f>
        <v>0</v>
      </c>
      <c r="I7" s="9">
        <f>'Item Database'!I125</f>
        <v>13</v>
      </c>
      <c r="J7" s="9">
        <f>'Item Database'!J125</f>
        <v>12</v>
      </c>
      <c r="K7" s="9">
        <f>'Item Database'!K125</f>
        <v>21</v>
      </c>
      <c r="L7" s="35">
        <f>'Item Database'!L125</f>
        <v>0</v>
      </c>
      <c r="M7" s="35">
        <f>'Item Database'!M125</f>
        <v>0</v>
      </c>
      <c r="N7" s="9">
        <f>'Item Database'!N125</f>
        <v>4</v>
      </c>
      <c r="O7" s="9">
        <f>'Item Database'!O125</f>
        <v>10</v>
      </c>
      <c r="P7" s="9">
        <f>'Item Database'!P125</f>
        <v>0</v>
      </c>
      <c r="Q7" s="9">
        <f>'Item Database'!Q125</f>
        <v>0</v>
      </c>
      <c r="R7" s="9">
        <f>'Item Database'!R125</f>
        <v>0</v>
      </c>
      <c r="S7" s="9">
        <f>'Item Database'!S125</f>
        <v>0</v>
      </c>
      <c r="T7" s="53" t="str">
        <f>HYPERLINK('Item Database'!T125)</f>
        <v>https://classic.wowhead.com/item=16917</v>
      </c>
      <c r="U7" s="9">
        <f>IF(C7&lt;&gt;0,C7-Gear!$C$7,0)</f>
        <v>8.0747085561579812</v>
      </c>
    </row>
    <row r="8" spans="1:21" x14ac:dyDescent="0.25">
      <c r="A8" s="24">
        <f>'Item Database'!A134</f>
        <v>16918</v>
      </c>
      <c r="B8" s="9" t="str">
        <f>'Item Database'!B134</f>
        <v>Netherwind Bindings</v>
      </c>
      <c r="C8" s="12">
        <f>'Item Database'!C134</f>
        <v>7.4390570405402148</v>
      </c>
      <c r="D8" s="9" t="str">
        <f>'Item Database'!D134</f>
        <v>Wrist</v>
      </c>
      <c r="E8" s="9">
        <f>'Item Database'!E134</f>
        <v>51</v>
      </c>
      <c r="F8" s="9">
        <f>'Item Database'!F134</f>
        <v>0</v>
      </c>
      <c r="G8" s="9">
        <f>'Item Database'!G134</f>
        <v>9</v>
      </c>
      <c r="H8" s="9">
        <f>'Item Database'!H134</f>
        <v>0</v>
      </c>
      <c r="I8" s="9">
        <f>'Item Database'!I134</f>
        <v>15</v>
      </c>
      <c r="J8" s="9">
        <f>'Item Database'!J134</f>
        <v>8</v>
      </c>
      <c r="K8" s="9">
        <f>'Item Database'!K134</f>
        <v>19</v>
      </c>
      <c r="L8" s="35">
        <f>'Item Database'!L134</f>
        <v>0</v>
      </c>
      <c r="M8" s="35">
        <f>'Item Database'!M134</f>
        <v>0</v>
      </c>
      <c r="N8" s="9">
        <f>'Item Database'!N134</f>
        <v>4</v>
      </c>
      <c r="O8" s="9">
        <f>'Item Database'!O134</f>
        <v>0</v>
      </c>
      <c r="P8" s="9">
        <f>'Item Database'!P134</f>
        <v>0</v>
      </c>
      <c r="Q8" s="9">
        <f>'Item Database'!Q134</f>
        <v>0</v>
      </c>
      <c r="R8" s="9">
        <f>'Item Database'!R134</f>
        <v>0</v>
      </c>
      <c r="S8" s="9">
        <f>'Item Database'!S134</f>
        <v>0</v>
      </c>
      <c r="T8" s="53" t="str">
        <f>HYPERLINK('Item Database'!T134)</f>
        <v>https://classic.wowhead.com/item=16918</v>
      </c>
      <c r="U8" s="9">
        <f>IF(C8&lt;&gt;0,C8-Gear!$C$7,0)</f>
        <v>7.4390570405402148</v>
      </c>
    </row>
    <row r="9" spans="1:21" x14ac:dyDescent="0.25">
      <c r="A9" s="9">
        <f>'Item Database'!A163</f>
        <v>22968</v>
      </c>
      <c r="B9" s="9" t="str">
        <f>'Item Database'!B163</f>
        <v>Glacial Mantle</v>
      </c>
      <c r="C9" s="12">
        <f>'Item Database'!C163</f>
        <v>5.7442086624345725</v>
      </c>
      <c r="D9" s="9" t="str">
        <f>'Item Database'!D163</f>
        <v>Shoulder</v>
      </c>
      <c r="E9" s="9">
        <f>'Item Database'!E163</f>
        <v>94</v>
      </c>
      <c r="F9" s="9">
        <f>'Item Database'!F163</f>
        <v>0</v>
      </c>
      <c r="G9" s="9">
        <f>'Item Database'!G163</f>
        <v>18</v>
      </c>
      <c r="H9" s="9">
        <f>'Item Database'!H163</f>
        <v>0</v>
      </c>
      <c r="I9" s="9">
        <f>'Item Database'!I163</f>
        <v>0</v>
      </c>
      <c r="J9" s="9">
        <f>'Item Database'!J163</f>
        <v>0</v>
      </c>
      <c r="K9" s="9">
        <f>'Item Database'!K163</f>
        <v>16</v>
      </c>
      <c r="L9" s="35">
        <f>'Item Database'!L163</f>
        <v>0</v>
      </c>
      <c r="M9" s="35">
        <f>'Item Database'!M163</f>
        <v>0</v>
      </c>
      <c r="N9" s="9">
        <f>'Item Database'!N163</f>
        <v>0</v>
      </c>
      <c r="O9" s="9">
        <f>'Item Database'!O163</f>
        <v>0</v>
      </c>
      <c r="P9" s="9">
        <f>'Item Database'!P163</f>
        <v>33</v>
      </c>
      <c r="Q9" s="9">
        <f>'Item Database'!Q163</f>
        <v>0</v>
      </c>
      <c r="R9" s="9">
        <f>'Item Database'!R163</f>
        <v>0</v>
      </c>
      <c r="S9" s="9">
        <f>'Item Database'!S163</f>
        <v>0</v>
      </c>
      <c r="T9" s="53" t="str">
        <f>HYPERLINK('Item Database'!T163)</f>
        <v>https://classic.wowhead.com/item=22968</v>
      </c>
      <c r="U9" s="9">
        <f>IF(C9&lt;&gt;0,C9-Gear!$C$7,0)</f>
        <v>5.7442086624345725</v>
      </c>
    </row>
    <row r="10" spans="1:21" x14ac:dyDescent="0.25">
      <c r="A10" s="24">
        <f>'Item Database'!A169</f>
        <v>11623</v>
      </c>
      <c r="B10" s="9" t="str">
        <f>'Item Database'!B169</f>
        <v>Spritecaster Cape</v>
      </c>
      <c r="C10" s="12">
        <f>'Item Database'!C169</f>
        <v>5.1909317140033604</v>
      </c>
      <c r="D10" s="9" t="str">
        <f>'Item Database'!D169</f>
        <v>Back</v>
      </c>
      <c r="E10" s="9">
        <f>'Item Database'!E169</f>
        <v>37</v>
      </c>
      <c r="F10" s="9">
        <f>'Item Database'!F169</f>
        <v>0</v>
      </c>
      <c r="G10" s="9">
        <f>'Item Database'!G169</f>
        <v>4</v>
      </c>
      <c r="H10" s="9">
        <f>'Item Database'!H169</f>
        <v>0</v>
      </c>
      <c r="I10" s="9">
        <f>'Item Database'!I169</f>
        <v>4</v>
      </c>
      <c r="J10" s="9">
        <f>'Item Database'!J169</f>
        <v>5</v>
      </c>
      <c r="K10" s="9">
        <f>'Item Database'!K169</f>
        <v>14</v>
      </c>
      <c r="L10" s="35">
        <f>'Item Database'!L169</f>
        <v>0</v>
      </c>
      <c r="M10" s="35">
        <f>'Item Database'!M169</f>
        <v>0</v>
      </c>
      <c r="N10" s="9">
        <f>'Item Database'!N169</f>
        <v>0</v>
      </c>
      <c r="O10" s="9">
        <f>'Item Database'!O169</f>
        <v>0</v>
      </c>
      <c r="P10" s="9">
        <f>'Item Database'!P169</f>
        <v>0</v>
      </c>
      <c r="Q10" s="9">
        <f>'Item Database'!Q169</f>
        <v>0</v>
      </c>
      <c r="R10" s="9">
        <f>'Item Database'!R169</f>
        <v>0</v>
      </c>
      <c r="S10" s="9">
        <f>'Item Database'!S169</f>
        <v>0</v>
      </c>
      <c r="T10" s="53" t="str">
        <f>HYPERLINK('Item Database'!T169)</f>
        <v>https://classic.wowhead.com/item=11623</v>
      </c>
      <c r="U10" s="9">
        <f>IF(C10&lt;&gt;0,C10-Gear!$C$7,0)</f>
        <v>5.1909317140033604</v>
      </c>
    </row>
    <row r="11" spans="1:21" x14ac:dyDescent="0.25">
      <c r="A11" s="9">
        <f>'Item Database'!A172</f>
        <v>19086</v>
      </c>
      <c r="B11" s="9" t="str">
        <f>'Item Database'!B172</f>
        <v>Stormpike Sage's Cloak</v>
      </c>
      <c r="C11" s="12">
        <f>'Item Database'!C172</f>
        <v>5.0261825796302508</v>
      </c>
      <c r="D11" s="9" t="str">
        <f>'Item Database'!D172</f>
        <v>Back</v>
      </c>
      <c r="E11" s="9">
        <f>'Item Database'!E172</f>
        <v>43</v>
      </c>
      <c r="F11" s="9">
        <f>'Item Database'!F172</f>
        <v>0</v>
      </c>
      <c r="G11" s="9">
        <f>'Item Database'!G172</f>
        <v>11</v>
      </c>
      <c r="H11" s="9">
        <f>'Item Database'!H172</f>
        <v>0</v>
      </c>
      <c r="I11" s="9">
        <f>'Item Database'!I172</f>
        <v>0</v>
      </c>
      <c r="J11" s="9">
        <f>'Item Database'!J172</f>
        <v>0</v>
      </c>
      <c r="K11" s="9">
        <f>'Item Database'!K172</f>
        <v>14</v>
      </c>
      <c r="L11" s="35">
        <f>'Item Database'!L172</f>
        <v>0</v>
      </c>
      <c r="M11" s="35">
        <f>'Item Database'!M172</f>
        <v>0</v>
      </c>
      <c r="N11" s="9">
        <f>'Item Database'!N172</f>
        <v>0</v>
      </c>
      <c r="O11" s="9">
        <f>'Item Database'!O172</f>
        <v>0</v>
      </c>
      <c r="P11" s="9">
        <f>'Item Database'!P172</f>
        <v>5</v>
      </c>
      <c r="Q11" s="9">
        <f>'Item Database'!Q172</f>
        <v>0</v>
      </c>
      <c r="R11" s="9">
        <f>'Item Database'!R172</f>
        <v>0</v>
      </c>
      <c r="S11" s="9">
        <f>'Item Database'!S172</f>
        <v>0</v>
      </c>
      <c r="T11" s="53" t="str">
        <f>HYPERLINK('Item Database'!T172)</f>
        <v>https://classic.wowhead.com/item=19086</v>
      </c>
      <c r="U11" s="9">
        <f>IF(C11&lt;&gt;0,C11-Gear!$C$7,0)</f>
        <v>5.0261825796302508</v>
      </c>
    </row>
    <row r="12" spans="1:21" x14ac:dyDescent="0.25">
      <c r="A12" s="9">
        <f>'Item Database'!A226</f>
        <v>16683</v>
      </c>
      <c r="B12" s="9" t="str">
        <f>'Item Database'!B226</f>
        <v>Magister's Bindings</v>
      </c>
      <c r="C12" s="12">
        <f>'Item Database'!C226</f>
        <v>0.61780925389915964</v>
      </c>
      <c r="D12" s="9" t="str">
        <f>'Item Database'!D226</f>
        <v>Wrist</v>
      </c>
      <c r="E12" s="9">
        <f>'Item Database'!E226</f>
        <v>35</v>
      </c>
      <c r="F12" s="9">
        <f>'Item Database'!F226</f>
        <v>0</v>
      </c>
      <c r="G12" s="9">
        <f>'Item Database'!G226</f>
        <v>4</v>
      </c>
      <c r="H12" s="9">
        <f>'Item Database'!H226</f>
        <v>0</v>
      </c>
      <c r="I12" s="9">
        <f>'Item Database'!I226</f>
        <v>15</v>
      </c>
      <c r="J12" s="9">
        <f>'Item Database'!J226</f>
        <v>5</v>
      </c>
      <c r="K12" s="9">
        <f>'Item Database'!K226</f>
        <v>0</v>
      </c>
      <c r="L12" s="35">
        <f>'Item Database'!L226</f>
        <v>0</v>
      </c>
      <c r="M12" s="35">
        <f>'Item Database'!M226</f>
        <v>0</v>
      </c>
      <c r="N12" s="9">
        <f>'Item Database'!N226</f>
        <v>0</v>
      </c>
      <c r="O12" s="9">
        <f>'Item Database'!O226</f>
        <v>0</v>
      </c>
      <c r="P12" s="9">
        <f>'Item Database'!P226</f>
        <v>0</v>
      </c>
      <c r="Q12" s="9">
        <f>'Item Database'!Q226</f>
        <v>0</v>
      </c>
      <c r="R12" s="9">
        <f>'Item Database'!R226</f>
        <v>0</v>
      </c>
      <c r="S12" s="9">
        <f>'Item Database'!S226</f>
        <v>0</v>
      </c>
      <c r="T12" s="53" t="str">
        <f>HYPERLINK('Item Database'!T226)</f>
        <v>https://classic.wowhead.com/item=16683</v>
      </c>
      <c r="U12" s="9">
        <f>IF(C12&lt;&gt;0,C12-Gear!$C$7,0)</f>
        <v>0.61780925389915964</v>
      </c>
    </row>
    <row r="13" spans="1:21" x14ac:dyDescent="0.25">
      <c r="A13" s="9">
        <f>'Item Database'!A227</f>
        <v>12546</v>
      </c>
      <c r="B13" s="9" t="str">
        <f>'Item Database'!B227</f>
        <v>Aristocratic Cuffs</v>
      </c>
      <c r="C13" s="12">
        <f>'Item Database'!C227</f>
        <v>0.61780925389915964</v>
      </c>
      <c r="D13" s="9" t="str">
        <f>'Item Database'!D227</f>
        <v>Wrist</v>
      </c>
      <c r="E13" s="9">
        <f>'Item Database'!E227</f>
        <v>34</v>
      </c>
      <c r="F13" s="9">
        <f>'Item Database'!F227</f>
        <v>0</v>
      </c>
      <c r="G13" s="9">
        <f>'Item Database'!G227</f>
        <v>0</v>
      </c>
      <c r="H13" s="9">
        <f>'Item Database'!H227</f>
        <v>0</v>
      </c>
      <c r="I13" s="9">
        <f>'Item Database'!I227</f>
        <v>15</v>
      </c>
      <c r="J13" s="9">
        <f>'Item Database'!J227</f>
        <v>6</v>
      </c>
      <c r="K13" s="9">
        <f>'Item Database'!K227</f>
        <v>0</v>
      </c>
      <c r="L13" s="35">
        <f>'Item Database'!L227</f>
        <v>0</v>
      </c>
      <c r="M13" s="35">
        <f>'Item Database'!M227</f>
        <v>0</v>
      </c>
      <c r="N13" s="9">
        <f>'Item Database'!N227</f>
        <v>0</v>
      </c>
      <c r="O13" s="9">
        <f>'Item Database'!O227</f>
        <v>0</v>
      </c>
      <c r="P13" s="9">
        <f>'Item Database'!P227</f>
        <v>0</v>
      </c>
      <c r="Q13" s="9">
        <f>'Item Database'!Q227</f>
        <v>0</v>
      </c>
      <c r="R13" s="9">
        <f>'Item Database'!R227</f>
        <v>0</v>
      </c>
      <c r="S13" s="9">
        <f>'Item Database'!S227</f>
        <v>0</v>
      </c>
      <c r="T13" s="53" t="str">
        <f>HYPERLINK('Item Database'!T227)</f>
        <v>https://classic.wowhead.com/item=12546</v>
      </c>
      <c r="U13" s="9">
        <f>IF(C13&lt;&gt;0,C13-Gear!$C$7,0)</f>
        <v>0.61780925389915964</v>
      </c>
    </row>
    <row r="14" spans="1:21" x14ac:dyDescent="0.25">
      <c r="A14" s="9">
        <f>'Item Database'!A238</f>
        <v>12626</v>
      </c>
      <c r="B14" s="9" t="str">
        <f>'Item Database'!B238</f>
        <v>Funeral Cuffs</v>
      </c>
      <c r="C14" s="12">
        <f>'Item Database'!C238</f>
        <v>0.57662197030588236</v>
      </c>
      <c r="D14" s="9" t="str">
        <f>'Item Database'!D238</f>
        <v>Wrist</v>
      </c>
      <c r="E14" s="9">
        <f>'Item Database'!E238</f>
        <v>37</v>
      </c>
      <c r="F14" s="9">
        <f>'Item Database'!F238</f>
        <v>0</v>
      </c>
      <c r="G14" s="9">
        <f>'Item Database'!G238</f>
        <v>0</v>
      </c>
      <c r="H14" s="9">
        <f>'Item Database'!H238</f>
        <v>0</v>
      </c>
      <c r="I14" s="9">
        <f>'Item Database'!I238</f>
        <v>14</v>
      </c>
      <c r="J14" s="9">
        <f>'Item Database'!J238</f>
        <v>5</v>
      </c>
      <c r="K14" s="9">
        <f>'Item Database'!K238</f>
        <v>0</v>
      </c>
      <c r="L14" s="35">
        <f>'Item Database'!L238</f>
        <v>0</v>
      </c>
      <c r="M14" s="35">
        <f>'Item Database'!M238</f>
        <v>0</v>
      </c>
      <c r="N14" s="9">
        <f>'Item Database'!N238</f>
        <v>0</v>
      </c>
      <c r="O14" s="9">
        <f>'Item Database'!O238</f>
        <v>0</v>
      </c>
      <c r="P14" s="9">
        <f>'Item Database'!P238</f>
        <v>0</v>
      </c>
      <c r="Q14" s="9">
        <f>'Item Database'!Q238</f>
        <v>0</v>
      </c>
      <c r="R14" s="9">
        <f>'Item Database'!R238</f>
        <v>10</v>
      </c>
      <c r="S14" s="9">
        <f>'Item Database'!S238</f>
        <v>0</v>
      </c>
      <c r="T14" s="53" t="str">
        <f>HYPERLINK('Item Database'!T238)</f>
        <v>https://classic.wowhead.com/item=12626</v>
      </c>
      <c r="U14" s="9">
        <f>IF(C14&lt;&gt;0,C14-Gear!$C$7,0)</f>
        <v>0.57662197030588236</v>
      </c>
    </row>
    <row r="15" spans="1:21" x14ac:dyDescent="0.25">
      <c r="A15" s="24">
        <f>'Item Database'!A252</f>
        <v>16697</v>
      </c>
      <c r="B15" s="9" t="str">
        <f>'Item Database'!B252</f>
        <v>Devout Bracers</v>
      </c>
      <c r="C15" s="12">
        <f>'Item Database'!C252</f>
        <v>0.41187283593277307</v>
      </c>
      <c r="D15" s="9" t="str">
        <f>'Item Database'!D252</f>
        <v>Wrist</v>
      </c>
      <c r="E15" s="9">
        <f>'Item Database'!E252</f>
        <v>35</v>
      </c>
      <c r="F15" s="9">
        <f>'Item Database'!F252</f>
        <v>0</v>
      </c>
      <c r="G15" s="9">
        <f>'Item Database'!G252</f>
        <v>7</v>
      </c>
      <c r="H15" s="9">
        <f>'Item Database'!H252</f>
        <v>0</v>
      </c>
      <c r="I15" s="9">
        <f>'Item Database'!I252</f>
        <v>10</v>
      </c>
      <c r="J15" s="9">
        <f>'Item Database'!J252</f>
        <v>10</v>
      </c>
      <c r="K15" s="9">
        <f>'Item Database'!K252</f>
        <v>0</v>
      </c>
      <c r="L15" s="35">
        <f>'Item Database'!L252</f>
        <v>0</v>
      </c>
      <c r="M15" s="35">
        <f>'Item Database'!M252</f>
        <v>0</v>
      </c>
      <c r="N15" s="9">
        <f>'Item Database'!N252</f>
        <v>0</v>
      </c>
      <c r="O15" s="9">
        <f>'Item Database'!O252</f>
        <v>0</v>
      </c>
      <c r="P15" s="9">
        <f>'Item Database'!P252</f>
        <v>0</v>
      </c>
      <c r="Q15" s="9">
        <f>'Item Database'!Q252</f>
        <v>0</v>
      </c>
      <c r="R15" s="9">
        <f>'Item Database'!R252</f>
        <v>0</v>
      </c>
      <c r="S15" s="9">
        <f>'Item Database'!S252</f>
        <v>0</v>
      </c>
      <c r="T15" s="53" t="str">
        <f>HYPERLINK('Item Database'!T252)</f>
        <v>https://classic.wowhead.com/item=16697</v>
      </c>
      <c r="U15" s="9">
        <f>IF(C15&lt;&gt;0,C15-Gear!$C$7,0)</f>
        <v>0.41187283593277307</v>
      </c>
    </row>
    <row r="16" spans="1:21" x14ac:dyDescent="0.25">
      <c r="A16" s="9">
        <f>'Item Database'!A254</f>
        <v>16703</v>
      </c>
      <c r="B16" s="9" t="str">
        <f>'Item Database'!B254</f>
        <v>Dreadmist Bracers</v>
      </c>
      <c r="C16" s="12">
        <f>'Item Database'!C254</f>
        <v>0.41187283593277307</v>
      </c>
      <c r="D16" s="9" t="str">
        <f>'Item Database'!D254</f>
        <v>Wrist</v>
      </c>
      <c r="E16" s="9">
        <f>'Item Database'!E254</f>
        <v>35</v>
      </c>
      <c r="F16" s="9">
        <f>'Item Database'!F254</f>
        <v>0</v>
      </c>
      <c r="G16" s="9">
        <f>'Item Database'!G254</f>
        <v>10</v>
      </c>
      <c r="H16" s="9">
        <f>'Item Database'!H254</f>
        <v>0</v>
      </c>
      <c r="I16" s="9">
        <f>'Item Database'!I254</f>
        <v>10</v>
      </c>
      <c r="J16" s="9">
        <f>'Item Database'!J254</f>
        <v>7</v>
      </c>
      <c r="K16" s="9">
        <f>'Item Database'!K254</f>
        <v>0</v>
      </c>
      <c r="L16" s="35">
        <f>'Item Database'!L254</f>
        <v>0</v>
      </c>
      <c r="M16" s="35">
        <f>'Item Database'!M254</f>
        <v>0</v>
      </c>
      <c r="N16" s="9">
        <f>'Item Database'!N254</f>
        <v>0</v>
      </c>
      <c r="O16" s="9">
        <f>'Item Database'!O254</f>
        <v>0</v>
      </c>
      <c r="P16" s="9">
        <f>'Item Database'!P254</f>
        <v>0</v>
      </c>
      <c r="Q16" s="9">
        <f>'Item Database'!Q254</f>
        <v>0</v>
      </c>
      <c r="R16" s="9">
        <f>'Item Database'!R254</f>
        <v>0</v>
      </c>
      <c r="S16" s="9">
        <f>'Item Database'!S254</f>
        <v>0</v>
      </c>
      <c r="T16" s="53" t="str">
        <f>HYPERLINK('Item Database'!T254)</f>
        <v>https://classic.wowhead.com/item=16703</v>
      </c>
      <c r="U16" s="9">
        <f>IF(C16&lt;&gt;0,C16-Gear!$C$7,0)</f>
        <v>0.41187283593277307</v>
      </c>
    </row>
    <row r="17" spans="20:21" x14ac:dyDescent="0.25">
      <c r="U17" s="9">
        <f>IF(C17&lt;&gt;0,C17-Gear!$C$7,0)</f>
        <v>0</v>
      </c>
    </row>
    <row r="18" spans="20:21" x14ac:dyDescent="0.25">
      <c r="U18" s="9">
        <f>IF(C18&lt;&gt;0,C18-Gear!$C$7,0)</f>
        <v>0</v>
      </c>
    </row>
    <row r="19" spans="20:21" x14ac:dyDescent="0.25">
      <c r="U19" s="9">
        <f>IF(C19&lt;&gt;0,C19-Gear!$C$7,0)</f>
        <v>0</v>
      </c>
    </row>
    <row r="20" spans="20:21" x14ac:dyDescent="0.25">
      <c r="U20" s="9">
        <f>IF(C20&lt;&gt;0,C20-Gear!$C$7,0)</f>
        <v>0</v>
      </c>
    </row>
    <row r="21" spans="20:21" x14ac:dyDescent="0.25">
      <c r="U21" s="9">
        <f>IF(C21&lt;&gt;0,C21-Gear!$C$7,0)</f>
        <v>0</v>
      </c>
    </row>
    <row r="22" spans="20:21" x14ac:dyDescent="0.25">
      <c r="T22" s="9">
        <f>IF(C22&lt;&gt;0,C22-Gear!$C$7,0)</f>
        <v>0</v>
      </c>
      <c r="U22" s="9">
        <f>IF(C22&lt;&gt;0,C22-Gear!$C$7,0)</f>
        <v>0</v>
      </c>
    </row>
    <row r="23" spans="20:21" x14ac:dyDescent="0.25">
      <c r="T23" s="9">
        <f>IF(C23&lt;&gt;0,C23-Gear!$C$7,0)</f>
        <v>0</v>
      </c>
      <c r="U23" s="9">
        <f>IF(C23&lt;&gt;0,C23-Gear!$C$7,0)</f>
        <v>0</v>
      </c>
    </row>
    <row r="24" spans="20:21" x14ac:dyDescent="0.25">
      <c r="T24" s="9">
        <f>IF(C24&lt;&gt;0,C24-Gear!$C$7,0)</f>
        <v>0</v>
      </c>
      <c r="U24" s="9">
        <f>IF(C24&lt;&gt;0,C24-Gear!$C$7,0)</f>
        <v>0</v>
      </c>
    </row>
    <row r="25" spans="20:21" x14ac:dyDescent="0.25">
      <c r="T25" s="9">
        <f>IF(C25&lt;&gt;0,C25-Gear!$C$7,0)</f>
        <v>0</v>
      </c>
      <c r="U25" s="9">
        <f>IF(C25&lt;&gt;0,C25-Gear!$C$7,0)</f>
        <v>0</v>
      </c>
    </row>
    <row r="26" spans="20:21" x14ac:dyDescent="0.25">
      <c r="T26" s="9">
        <f>IF(C26&lt;&gt;0,C26-Gear!$C$7,0)</f>
        <v>0</v>
      </c>
      <c r="U26" s="9">
        <f>IF(C26&lt;&gt;0,C26-Gear!$C$7,0)</f>
        <v>0</v>
      </c>
    </row>
    <row r="27" spans="20:21" x14ac:dyDescent="0.25">
      <c r="T27" s="9">
        <f>IF(C27&lt;&gt;0,C27-Gear!$C$7,0)</f>
        <v>0</v>
      </c>
      <c r="U27" s="9">
        <f>IF(C27&lt;&gt;0,C27-Gear!$C$7,0)</f>
        <v>0</v>
      </c>
    </row>
    <row r="28" spans="20:21" x14ac:dyDescent="0.25">
      <c r="T28" s="9">
        <f>IF(C28&lt;&gt;0,C28-Gear!$C$7,0)</f>
        <v>0</v>
      </c>
      <c r="U28" s="9">
        <f>IF(C28&lt;&gt;0,C28-Gear!$C$7,0)</f>
        <v>0</v>
      </c>
    </row>
    <row r="29" spans="20:21" x14ac:dyDescent="0.25">
      <c r="T29" s="9">
        <f>IF(C29&lt;&gt;0,C29-Gear!$C$7,0)</f>
        <v>0</v>
      </c>
      <c r="U29" s="9">
        <f>IF(C29&lt;&gt;0,C29-Gear!$C$7,0)</f>
        <v>0</v>
      </c>
    </row>
    <row r="30" spans="20:21" x14ac:dyDescent="0.25">
      <c r="T30" s="9">
        <f>IF(C30&lt;&gt;0,C30-Gear!$C$7,0)</f>
        <v>0</v>
      </c>
      <c r="U30" s="9">
        <f>IF(C30&lt;&gt;0,C30-Gear!$C$7,0)</f>
        <v>0</v>
      </c>
    </row>
    <row r="31" spans="20:21" x14ac:dyDescent="0.25">
      <c r="T31" s="9">
        <f>IF(C31&lt;&gt;0,C31-Gear!$C$7,0)</f>
        <v>0</v>
      </c>
      <c r="U31" s="9">
        <f>IF(C31&lt;&gt;0,C31-Gear!$C$7,0)</f>
        <v>0</v>
      </c>
    </row>
    <row r="32" spans="20:21" x14ac:dyDescent="0.25">
      <c r="T32" s="9">
        <f>IF(C32&lt;&gt;0,C32-Gear!$C$7,0)</f>
        <v>0</v>
      </c>
      <c r="U32" s="9">
        <f>IF(C32&lt;&gt;0,C32-Gear!$C$7,0)</f>
        <v>0</v>
      </c>
    </row>
    <row r="33" spans="20:21" x14ac:dyDescent="0.25">
      <c r="T33" s="9">
        <f>IF(C33&lt;&gt;0,C33-Gear!$C$7,0)</f>
        <v>0</v>
      </c>
      <c r="U33" s="9">
        <f>IF(C33&lt;&gt;0,C33-Gear!$C$7,0)</f>
        <v>0</v>
      </c>
    </row>
    <row r="34" spans="20:21" x14ac:dyDescent="0.25">
      <c r="T34" s="9">
        <f>IF(C34&lt;&gt;0,C34-Gear!$C$7,0)</f>
        <v>0</v>
      </c>
      <c r="U34" s="9">
        <f>IF(C34&lt;&gt;0,C34-Gear!$C$7,0)</f>
        <v>0</v>
      </c>
    </row>
    <row r="35" spans="20:21" x14ac:dyDescent="0.25">
      <c r="T35" s="9">
        <f>IF(C35&lt;&gt;0,C35-Gear!$C$7,0)</f>
        <v>0</v>
      </c>
      <c r="U35" s="9">
        <f>IF(C35&lt;&gt;0,C35-Gear!$C$7,0)</f>
        <v>0</v>
      </c>
    </row>
    <row r="36" spans="20:21" x14ac:dyDescent="0.25">
      <c r="T36" s="9">
        <f>IF(C36&lt;&gt;0,C36-Gear!$C$7,0)</f>
        <v>0</v>
      </c>
      <c r="U36" s="9">
        <f>IF(C36&lt;&gt;0,C36-Gear!$C$7,0)</f>
        <v>0</v>
      </c>
    </row>
    <row r="37" spans="20:21" x14ac:dyDescent="0.25">
      <c r="T37" s="9">
        <f>IF(C37&lt;&gt;0,C37-Gear!$C$7,0)</f>
        <v>0</v>
      </c>
      <c r="U37" s="9">
        <f>IF(C37&lt;&gt;0,C37-Gear!$C$7,0)</f>
        <v>0</v>
      </c>
    </row>
    <row r="38" spans="20:21" x14ac:dyDescent="0.25">
      <c r="T38" s="9">
        <f>IF(C38&lt;&gt;0,C38-Gear!$C$7,0)</f>
        <v>0</v>
      </c>
      <c r="U38" s="9">
        <f>IF(C38&lt;&gt;0,C38-Gear!$C$7,0)</f>
        <v>0</v>
      </c>
    </row>
    <row r="39" spans="20:21" x14ac:dyDescent="0.25">
      <c r="T39" s="9">
        <f>IF(C39&lt;&gt;0,C39-Gear!$C$7,0)</f>
        <v>0</v>
      </c>
      <c r="U39" s="9">
        <f>IF(C39&lt;&gt;0,C39-Gear!$C$7,0)</f>
        <v>0</v>
      </c>
    </row>
    <row r="40" spans="20:21" x14ac:dyDescent="0.25">
      <c r="T40" s="9">
        <f>IF(C40&lt;&gt;0,C40-Gear!$C$7,0)</f>
        <v>0</v>
      </c>
      <c r="U40" s="9">
        <f>IF(C40&lt;&gt;0,C40-Gear!$C$7,0)</f>
        <v>0</v>
      </c>
    </row>
    <row r="41" spans="20:21" x14ac:dyDescent="0.25">
      <c r="T41" s="9">
        <f>IF(C41&lt;&gt;0,C41-Gear!$C$7,0)</f>
        <v>0</v>
      </c>
      <c r="U41" s="9">
        <f>IF(C41&lt;&gt;0,C41-Gear!$C$7,0)</f>
        <v>0</v>
      </c>
    </row>
    <row r="42" spans="20:21" x14ac:dyDescent="0.25">
      <c r="T42" s="9">
        <f>IF(C42&lt;&gt;0,C42-Gear!$C$7,0)</f>
        <v>0</v>
      </c>
      <c r="U42" s="9">
        <f>IF(C42&lt;&gt;0,C42-Gear!$C$7,0)</f>
        <v>0</v>
      </c>
    </row>
    <row r="43" spans="20:21" x14ac:dyDescent="0.25">
      <c r="T43" s="9">
        <f>IF(C43&lt;&gt;0,C43-Gear!$C$7,0)</f>
        <v>0</v>
      </c>
      <c r="U43" s="9">
        <f>IF(C43&lt;&gt;0,C43-Gear!$C$7,0)</f>
        <v>0</v>
      </c>
    </row>
    <row r="44" spans="20:21" x14ac:dyDescent="0.25">
      <c r="T44" s="9">
        <f>IF(C44&lt;&gt;0,C44-Gear!$C$7,0)</f>
        <v>0</v>
      </c>
      <c r="U44" s="9">
        <f>IF(C44&lt;&gt;0,C44-Gear!$C$7,0)</f>
        <v>0</v>
      </c>
    </row>
    <row r="45" spans="20:21" x14ac:dyDescent="0.25">
      <c r="T45" s="9">
        <f>IF(C45&lt;&gt;0,C45-Gear!$C$7,0)</f>
        <v>0</v>
      </c>
      <c r="U45" s="9">
        <f>IF(C45&lt;&gt;0,C45-Gear!$C$7,0)</f>
        <v>0</v>
      </c>
    </row>
    <row r="46" spans="20:21" x14ac:dyDescent="0.25">
      <c r="T46" s="9">
        <f>IF(C46&lt;&gt;0,C46-Gear!$C$7,0)</f>
        <v>0</v>
      </c>
      <c r="U46" s="9">
        <f>IF(C46&lt;&gt;0,C46-Gear!$C$7,0)</f>
        <v>0</v>
      </c>
    </row>
    <row r="47" spans="20:21" x14ac:dyDescent="0.25">
      <c r="T47" s="9">
        <f>IF(C47&lt;&gt;0,C47-Gear!$C$7,0)</f>
        <v>0</v>
      </c>
      <c r="U47" s="9">
        <f>IF(C47&lt;&gt;0,C47-Gear!$C$7,0)</f>
        <v>0</v>
      </c>
    </row>
    <row r="48" spans="20:21" x14ac:dyDescent="0.25">
      <c r="T48" s="9">
        <f>IF(C48&lt;&gt;0,C48-Gear!$C$7,0)</f>
        <v>0</v>
      </c>
      <c r="U48" s="9">
        <f>IF(C48&lt;&gt;0,C48-Gear!$C$7,0)</f>
        <v>0</v>
      </c>
    </row>
    <row r="49" spans="20:21" x14ac:dyDescent="0.25">
      <c r="T49" s="9">
        <f>IF(C49&lt;&gt;0,C49-Gear!$C$7,0)</f>
        <v>0</v>
      </c>
      <c r="U49" s="9">
        <f>IF(C49&lt;&gt;0,C49-Gear!$C$7,0)</f>
        <v>0</v>
      </c>
    </row>
    <row r="50" spans="20:21" x14ac:dyDescent="0.25">
      <c r="T50" s="9">
        <f>IF(C50&lt;&gt;0,C50-Gear!$C$7,0)</f>
        <v>0</v>
      </c>
      <c r="U50" s="9">
        <f>IF(C50&lt;&gt;0,C50-Gear!$C$7,0)</f>
        <v>0</v>
      </c>
    </row>
    <row r="51" spans="20:21" x14ac:dyDescent="0.25">
      <c r="T51" s="9">
        <f>IF(C51&lt;&gt;0,C51-Gear!$C$7,0)</f>
        <v>0</v>
      </c>
      <c r="U51" s="9">
        <f>IF(C51&lt;&gt;0,C51-Gear!$C$7,0)</f>
        <v>0</v>
      </c>
    </row>
    <row r="52" spans="20:21" x14ac:dyDescent="0.25">
      <c r="T52" s="9">
        <f>IF(C52&lt;&gt;0,C52-Gear!$C$7,0)</f>
        <v>0</v>
      </c>
      <c r="U52" s="9">
        <f>IF(C52&lt;&gt;0,C52-Gear!$C$7,0)</f>
        <v>0</v>
      </c>
    </row>
    <row r="53" spans="20:21" x14ac:dyDescent="0.25">
      <c r="T53" s="9">
        <f>IF(C53&lt;&gt;0,C53-Gear!$C$7,0)</f>
        <v>0</v>
      </c>
      <c r="U53" s="9">
        <f>IF(C53&lt;&gt;0,C53-Gear!$C$7,0)</f>
        <v>0</v>
      </c>
    </row>
    <row r="54" spans="20:21" x14ac:dyDescent="0.25">
      <c r="T54" s="9">
        <f>IF(C54&lt;&gt;0,C54-Gear!$C$7,0)</f>
        <v>0</v>
      </c>
      <c r="U54" s="9">
        <f>IF(C54&lt;&gt;0,C54-Gear!$C$7,0)</f>
        <v>0</v>
      </c>
    </row>
    <row r="55" spans="20:21" x14ac:dyDescent="0.25">
      <c r="T55" s="9">
        <f>IF(C55&lt;&gt;0,C55-Gear!$C$7,0)</f>
        <v>0</v>
      </c>
      <c r="U55" s="9">
        <f>IF(C55&lt;&gt;0,C55-Gear!$C$7,0)</f>
        <v>0</v>
      </c>
    </row>
    <row r="56" spans="20:21" x14ac:dyDescent="0.25">
      <c r="T56" s="9">
        <f>IF(C56&lt;&gt;0,C56-Gear!$C$7,0)</f>
        <v>0</v>
      </c>
      <c r="U56" s="9">
        <f>IF(C56&lt;&gt;0,C56-Gear!$C$7,0)</f>
        <v>0</v>
      </c>
    </row>
    <row r="57" spans="20:21" x14ac:dyDescent="0.25">
      <c r="T57" s="9">
        <f>IF(C57&lt;&gt;0,C57-Gear!$C$7,0)</f>
        <v>0</v>
      </c>
      <c r="U57" s="9">
        <f>IF(C57&lt;&gt;0,C57-Gear!$C$7,0)</f>
        <v>0</v>
      </c>
    </row>
    <row r="58" spans="20:21" x14ac:dyDescent="0.25">
      <c r="T58" s="9">
        <f>IF(C58&lt;&gt;0,C58-Gear!$C$7,0)</f>
        <v>0</v>
      </c>
      <c r="U58" s="9">
        <f>IF(C58&lt;&gt;0,C58-Gear!$C$7,0)</f>
        <v>0</v>
      </c>
    </row>
    <row r="59" spans="20:21" x14ac:dyDescent="0.25">
      <c r="T59" s="9">
        <f>IF(C59&lt;&gt;0,C59-Gear!$C$7,0)</f>
        <v>0</v>
      </c>
      <c r="U59" s="9">
        <f>IF(C59&lt;&gt;0,C59-Gear!$C$7,0)</f>
        <v>0</v>
      </c>
    </row>
    <row r="60" spans="20:21" x14ac:dyDescent="0.25">
      <c r="T60" s="9">
        <f>IF(C60&lt;&gt;0,C60-Gear!$C$7,0)</f>
        <v>0</v>
      </c>
      <c r="U60" s="9">
        <f>IF(C60&lt;&gt;0,C60-Gear!$C$7,0)</f>
        <v>0</v>
      </c>
    </row>
    <row r="61" spans="20:21" x14ac:dyDescent="0.25">
      <c r="T61" s="9">
        <f>IF(C61&lt;&gt;0,C61-Gear!$C$7,0)</f>
        <v>0</v>
      </c>
      <c r="U61" s="9">
        <f>IF(C61&lt;&gt;0,C61-Gear!$C$7,0)</f>
        <v>0</v>
      </c>
    </row>
    <row r="62" spans="20:21" x14ac:dyDescent="0.25">
      <c r="T62" s="9">
        <f>IF(C62&lt;&gt;0,C62-Gear!$C$7,0)</f>
        <v>0</v>
      </c>
      <c r="U62" s="9">
        <f>IF(C62&lt;&gt;0,C62-Gear!$C$7,0)</f>
        <v>0</v>
      </c>
    </row>
    <row r="63" spans="20:21" x14ac:dyDescent="0.25">
      <c r="T63" s="9">
        <f>IF(C63&lt;&gt;0,C63-Gear!$C$7,0)</f>
        <v>0</v>
      </c>
      <c r="U63" s="9">
        <f>IF(C63&lt;&gt;0,C63-Gear!$C$7,0)</f>
        <v>0</v>
      </c>
    </row>
    <row r="64" spans="20:21" x14ac:dyDescent="0.25">
      <c r="T64" s="9">
        <f>IF(C64&lt;&gt;0,C64-Gear!$C$7,0)</f>
        <v>0</v>
      </c>
      <c r="U64" s="9">
        <f>IF(C64&lt;&gt;0,C64-Gear!$C$7,0)</f>
        <v>0</v>
      </c>
    </row>
    <row r="65" spans="20:21" x14ac:dyDescent="0.25">
      <c r="T65" s="9">
        <f>IF(C65&lt;&gt;0,C65-Gear!$C$7,0)</f>
        <v>0</v>
      </c>
      <c r="U65" s="9">
        <f>IF(C65&lt;&gt;0,C65-Gear!$C$7,0)</f>
        <v>0</v>
      </c>
    </row>
    <row r="66" spans="20:21" x14ac:dyDescent="0.25">
      <c r="T66" s="9">
        <f>IF(C66&lt;&gt;0,C66-Gear!$C$7,0)</f>
        <v>0</v>
      </c>
      <c r="U66" s="9">
        <f>IF(C66&lt;&gt;0,C66-Gear!$C$7,0)</f>
        <v>0</v>
      </c>
    </row>
    <row r="67" spans="20:21" x14ac:dyDescent="0.25">
      <c r="T67" s="9">
        <f>IF(C67&lt;&gt;0,C67-Gear!$C$7,0)</f>
        <v>0</v>
      </c>
      <c r="U67" s="9">
        <f>IF(C67&lt;&gt;0,C67-Gear!$C$7,0)</f>
        <v>0</v>
      </c>
    </row>
    <row r="68" spans="20:21" x14ac:dyDescent="0.25">
      <c r="T68" s="9">
        <f>IF(C68&lt;&gt;0,C68-Gear!$C$7,0)</f>
        <v>0</v>
      </c>
      <c r="U68" s="9">
        <f>IF(C68&lt;&gt;0,C68-Gear!$C$7,0)</f>
        <v>0</v>
      </c>
    </row>
    <row r="69" spans="20:21" x14ac:dyDescent="0.25">
      <c r="T69" s="9">
        <f>IF(C69&lt;&gt;0,C69-Gear!$C$7,0)</f>
        <v>0</v>
      </c>
      <c r="U69" s="9">
        <f>IF(C69&lt;&gt;0,C69-Gear!$C$7,0)</f>
        <v>0</v>
      </c>
    </row>
    <row r="70" spans="20:21" x14ac:dyDescent="0.25">
      <c r="T70" s="9">
        <f>IF(C70&lt;&gt;0,C70-Gear!$C$7,0)</f>
        <v>0</v>
      </c>
      <c r="U70" s="9">
        <f>IF(C70&lt;&gt;0,C70-Gear!$C$7,0)</f>
        <v>0</v>
      </c>
    </row>
    <row r="71" spans="20:21" x14ac:dyDescent="0.25">
      <c r="T71" s="9">
        <f>IF(C71&lt;&gt;0,C71-Gear!$C$7,0)</f>
        <v>0</v>
      </c>
      <c r="U71" s="9">
        <f>IF(C71&lt;&gt;0,C71-Gear!$C$7,0)</f>
        <v>0</v>
      </c>
    </row>
    <row r="72" spans="20:21" x14ac:dyDescent="0.25">
      <c r="T72" s="9">
        <f>IF(C72&lt;&gt;0,C72-Gear!$C$7,0)</f>
        <v>0</v>
      </c>
      <c r="U72" s="9">
        <f>IF(C72&lt;&gt;0,C72-Gear!$C$7,0)</f>
        <v>0</v>
      </c>
    </row>
    <row r="73" spans="20:21" x14ac:dyDescent="0.25">
      <c r="T73" s="9">
        <f>IF(C73&lt;&gt;0,C73-Gear!$C$7,0)</f>
        <v>0</v>
      </c>
      <c r="U73" s="9">
        <f>IF(C73&lt;&gt;0,C73-Gear!$C$7,0)</f>
        <v>0</v>
      </c>
    </row>
    <row r="74" spans="20:21" x14ac:dyDescent="0.25">
      <c r="T74" s="9">
        <f>IF(C74&lt;&gt;0,C74-Gear!$C$7,0)</f>
        <v>0</v>
      </c>
      <c r="U74" s="9">
        <f>IF(C74&lt;&gt;0,C74-Gear!$C$7,0)</f>
        <v>0</v>
      </c>
    </row>
    <row r="75" spans="20:21" x14ac:dyDescent="0.25">
      <c r="T75" s="9">
        <f>IF(C75&lt;&gt;0,C75-Gear!$C$7,0)</f>
        <v>0</v>
      </c>
      <c r="U75" s="9">
        <f>IF(C75&lt;&gt;0,C75-Gear!$C$7,0)</f>
        <v>0</v>
      </c>
    </row>
    <row r="76" spans="20:21" x14ac:dyDescent="0.25">
      <c r="T76" s="9">
        <f>IF(C76&lt;&gt;0,C76-Gear!$C$7,0)</f>
        <v>0</v>
      </c>
      <c r="U76" s="9">
        <f>IF(C76&lt;&gt;0,C76-Gear!$C$7,0)</f>
        <v>0</v>
      </c>
    </row>
    <row r="77" spans="20:21" x14ac:dyDescent="0.25">
      <c r="T77" s="9">
        <f>IF(C77&lt;&gt;0,C77-Gear!$C$7,0)</f>
        <v>0</v>
      </c>
      <c r="U77" s="9">
        <f>IF(C77&lt;&gt;0,C77-Gear!$C$7,0)</f>
        <v>0</v>
      </c>
    </row>
    <row r="78" spans="20:21" x14ac:dyDescent="0.25">
      <c r="T78" s="9">
        <f>IF(C78&lt;&gt;0,C78-Gear!$C$7,0)</f>
        <v>0</v>
      </c>
      <c r="U78" s="9">
        <f>IF(C78&lt;&gt;0,C78-Gear!$C$7,0)</f>
        <v>0</v>
      </c>
    </row>
    <row r="79" spans="20:21" x14ac:dyDescent="0.25">
      <c r="T79" s="9">
        <f>IF(C79&lt;&gt;0,C79-Gear!$C$7,0)</f>
        <v>0</v>
      </c>
      <c r="U79" s="9">
        <f>IF(C79&lt;&gt;0,C79-Gear!$C$7,0)</f>
        <v>0</v>
      </c>
    </row>
    <row r="80" spans="20:21" x14ac:dyDescent="0.25">
      <c r="T80" s="9">
        <f>IF(C80&lt;&gt;0,C80-Gear!$C$7,0)</f>
        <v>0</v>
      </c>
      <c r="U80" s="9">
        <f>IF(C80&lt;&gt;0,C80-Gear!$C$7,0)</f>
        <v>0</v>
      </c>
    </row>
    <row r="81" spans="20:21" x14ac:dyDescent="0.25">
      <c r="T81" s="9">
        <f>IF(C81&lt;&gt;0,C81-Gear!$C$7,0)</f>
        <v>0</v>
      </c>
      <c r="U81" s="9">
        <f>IF(C81&lt;&gt;0,C81-Gear!$C$7,0)</f>
        <v>0</v>
      </c>
    </row>
    <row r="82" spans="20:21" x14ac:dyDescent="0.25">
      <c r="T82" s="9">
        <f>IF(C82&lt;&gt;0,C82-Gear!$C$7,0)</f>
        <v>0</v>
      </c>
      <c r="U82" s="9">
        <f>IF(C82&lt;&gt;0,C82-Gear!$C$7,0)</f>
        <v>0</v>
      </c>
    </row>
    <row r="83" spans="20:21" x14ac:dyDescent="0.25">
      <c r="T83" s="9">
        <f>IF(C83&lt;&gt;0,C83-Gear!$C$7,0)</f>
        <v>0</v>
      </c>
      <c r="U83" s="9">
        <f>IF(C83&lt;&gt;0,C83-Gear!$C$7,0)</f>
        <v>0</v>
      </c>
    </row>
    <row r="84" spans="20:21" x14ac:dyDescent="0.25">
      <c r="T84" s="9">
        <f>IF(C84&lt;&gt;0,C84-Gear!$C$7,0)</f>
        <v>0</v>
      </c>
      <c r="U84" s="9">
        <f>IF(C84&lt;&gt;0,C84-Gear!$C$7,0)</f>
        <v>0</v>
      </c>
    </row>
    <row r="85" spans="20:21" x14ac:dyDescent="0.25">
      <c r="T85" s="9">
        <f>IF(C85&lt;&gt;0,C85-Gear!$C$7,0)</f>
        <v>0</v>
      </c>
      <c r="U85" s="9">
        <f>IF(C85&lt;&gt;0,C85-Gear!$C$7,0)</f>
        <v>0</v>
      </c>
    </row>
    <row r="86" spans="20:21" x14ac:dyDescent="0.25">
      <c r="T86" s="9">
        <f>IF(C86&lt;&gt;0,C86-Gear!$C$7,0)</f>
        <v>0</v>
      </c>
      <c r="U86" s="9">
        <f>IF(C86&lt;&gt;0,C86-Gear!$C$7,0)</f>
        <v>0</v>
      </c>
    </row>
    <row r="87" spans="20:21" x14ac:dyDescent="0.25">
      <c r="T87" s="9">
        <f>IF(C87&lt;&gt;0,C87-Gear!$C$7,0)</f>
        <v>0</v>
      </c>
      <c r="U87" s="9">
        <f>IF(C87&lt;&gt;0,C87-Gear!$C$7,0)</f>
        <v>0</v>
      </c>
    </row>
    <row r="88" spans="20:21" x14ac:dyDescent="0.25">
      <c r="T88" s="9">
        <f>IF(C88&lt;&gt;0,C88-Gear!$C$7,0)</f>
        <v>0</v>
      </c>
      <c r="U88" s="9">
        <f>IF(C88&lt;&gt;0,C88-Gear!$C$7,0)</f>
        <v>0</v>
      </c>
    </row>
    <row r="89" spans="20:21" x14ac:dyDescent="0.25">
      <c r="T89" s="9">
        <f>IF(C89&lt;&gt;0,C89-Gear!$C$7,0)</f>
        <v>0</v>
      </c>
      <c r="U89" s="9">
        <f>IF(C89&lt;&gt;0,C89-Gear!$C$7,0)</f>
        <v>0</v>
      </c>
    </row>
    <row r="90" spans="20:21" x14ac:dyDescent="0.25">
      <c r="T90" s="9">
        <f>IF(C90&lt;&gt;0,C90-Gear!$C$7,0)</f>
        <v>0</v>
      </c>
      <c r="U90" s="9">
        <f>IF(C90&lt;&gt;0,C90-Gear!$C$7,0)</f>
        <v>0</v>
      </c>
    </row>
    <row r="91" spans="20:21" x14ac:dyDescent="0.25">
      <c r="T91" s="9">
        <f>IF(C91&lt;&gt;0,C91-Gear!$C$7,0)</f>
        <v>0</v>
      </c>
      <c r="U91" s="9">
        <f>IF(C91&lt;&gt;0,C91-Gear!$C$7,0)</f>
        <v>0</v>
      </c>
    </row>
    <row r="92" spans="20:21" x14ac:dyDescent="0.25">
      <c r="T92" s="9">
        <f>IF(C92&lt;&gt;0,C92-Gear!$C$7,0)</f>
        <v>0</v>
      </c>
      <c r="U92" s="9">
        <f>IF(C92&lt;&gt;0,C92-Gear!$C$7,0)</f>
        <v>0</v>
      </c>
    </row>
    <row r="93" spans="20:21" x14ac:dyDescent="0.25">
      <c r="T93" s="9">
        <f>IF(C93&lt;&gt;0,C93-Gear!$C$7,0)</f>
        <v>0</v>
      </c>
      <c r="U93" s="9">
        <f>IF(C93&lt;&gt;0,C93-Gear!$C$7,0)</f>
        <v>0</v>
      </c>
    </row>
    <row r="94" spans="20:21" x14ac:dyDescent="0.25">
      <c r="T94" s="9">
        <f>IF(C94&lt;&gt;0,C94-Gear!$C$7,0)</f>
        <v>0</v>
      </c>
      <c r="U94" s="9">
        <f>IF(C94&lt;&gt;0,C94-Gear!$C$7,0)</f>
        <v>0</v>
      </c>
    </row>
    <row r="95" spans="20:21" x14ac:dyDescent="0.25">
      <c r="T95" s="9">
        <f>IF(C95&lt;&gt;0,C95-Gear!$C$7,0)</f>
        <v>0</v>
      </c>
      <c r="U95" s="9">
        <f>IF(C95&lt;&gt;0,C95-Gear!$C$7,0)</f>
        <v>0</v>
      </c>
    </row>
    <row r="96" spans="20:21" x14ac:dyDescent="0.25">
      <c r="T96" s="9">
        <f>IF(C96&lt;&gt;0,C96-Gear!$C$7,0)</f>
        <v>0</v>
      </c>
      <c r="U96" s="9">
        <f>IF(C96&lt;&gt;0,C96-Gear!$C$7,0)</f>
        <v>0</v>
      </c>
    </row>
    <row r="97" spans="20:21" x14ac:dyDescent="0.25">
      <c r="T97" s="9">
        <f>IF(C97&lt;&gt;0,C97-Gear!$C$7,0)</f>
        <v>0</v>
      </c>
      <c r="U97" s="9">
        <f>IF(C97&lt;&gt;0,C97-Gear!$C$7,0)</f>
        <v>0</v>
      </c>
    </row>
    <row r="98" spans="20:21" x14ac:dyDescent="0.25">
      <c r="T98" s="9">
        <f>IF(C98&lt;&gt;0,C98-Gear!$C$7,0)</f>
        <v>0</v>
      </c>
      <c r="U98" s="9">
        <f>IF(C98&lt;&gt;0,C98-Gear!$C$7,0)</f>
        <v>0</v>
      </c>
    </row>
    <row r="99" spans="20:21" x14ac:dyDescent="0.25">
      <c r="T99" s="9">
        <f>IF(C99&lt;&gt;0,C99-Gear!$C$7,0)</f>
        <v>0</v>
      </c>
      <c r="U99" s="9">
        <f>IF(C99&lt;&gt;0,C99-Gear!$C$7,0)</f>
        <v>0</v>
      </c>
    </row>
    <row r="100" spans="20:21" x14ac:dyDescent="0.25">
      <c r="T100" s="9">
        <f>IF(C100&lt;&gt;0,C100-Gear!$C$7,0)</f>
        <v>0</v>
      </c>
      <c r="U100" s="9">
        <f>IF(C100&lt;&gt;0,C100-Gear!$C$7,0)</f>
        <v>0</v>
      </c>
    </row>
    <row r="101" spans="20:21" x14ac:dyDescent="0.25">
      <c r="T101" s="9">
        <f>IF(C101&lt;&gt;0,C101-Gear!$C$7,0)</f>
        <v>0</v>
      </c>
      <c r="U101" s="9">
        <f>IF(C101&lt;&gt;0,C101-Gear!$C$7,0)</f>
        <v>0</v>
      </c>
    </row>
    <row r="102" spans="20:21" x14ac:dyDescent="0.25">
      <c r="T102" s="9">
        <f>IF(C102&lt;&gt;0,C102-Gear!$C$7,0)</f>
        <v>0</v>
      </c>
      <c r="U102" s="9">
        <f>IF(C102&lt;&gt;0,C102-Gear!$C$7,0)</f>
        <v>0</v>
      </c>
    </row>
    <row r="103" spans="20:21" x14ac:dyDescent="0.25">
      <c r="T103" s="9">
        <f>IF(C103&lt;&gt;0,C103-Gear!$C$7,0)</f>
        <v>0</v>
      </c>
      <c r="U103" s="9">
        <f>IF(C103&lt;&gt;0,C103-Gear!$C$7,0)</f>
        <v>0</v>
      </c>
    </row>
    <row r="104" spans="20:21" x14ac:dyDescent="0.25">
      <c r="T104" s="9">
        <f>IF(C104&lt;&gt;0,C104-Gear!$C$7,0)</f>
        <v>0</v>
      </c>
      <c r="U104" s="9">
        <f>IF(C104&lt;&gt;0,C104-Gear!$C$7,0)</f>
        <v>0</v>
      </c>
    </row>
    <row r="105" spans="20:21" x14ac:dyDescent="0.25">
      <c r="T105" s="9">
        <f>IF(C105&lt;&gt;0,C105-Gear!$C$7,0)</f>
        <v>0</v>
      </c>
      <c r="U105" s="9">
        <f>IF(C105&lt;&gt;0,C105-Gear!$C$7,0)</f>
        <v>0</v>
      </c>
    </row>
    <row r="106" spans="20:21" x14ac:dyDescent="0.25">
      <c r="T106" s="9">
        <f>IF(C106&lt;&gt;0,C106-Gear!$C$7,0)</f>
        <v>0</v>
      </c>
      <c r="U106" s="9">
        <f>IF(C106&lt;&gt;0,C106-Gear!$C$7,0)</f>
        <v>0</v>
      </c>
    </row>
    <row r="107" spans="20:21" x14ac:dyDescent="0.25">
      <c r="T107" s="9">
        <f>IF(C107&lt;&gt;0,C107-Gear!$C$7,0)</f>
        <v>0</v>
      </c>
      <c r="U107" s="9">
        <f>IF(C107&lt;&gt;0,C107-Gear!$C$7,0)</f>
        <v>0</v>
      </c>
    </row>
    <row r="108" spans="20:21" x14ac:dyDescent="0.25">
      <c r="T108" s="9">
        <f>IF(C108&lt;&gt;0,C108-Gear!$C$7,0)</f>
        <v>0</v>
      </c>
      <c r="U108" s="9">
        <f>IF(C108&lt;&gt;0,C108-Gear!$C$7,0)</f>
        <v>0</v>
      </c>
    </row>
    <row r="109" spans="20:21" x14ac:dyDescent="0.25">
      <c r="T109" s="9">
        <f>IF(C109&lt;&gt;0,C109-Gear!$C$7,0)</f>
        <v>0</v>
      </c>
      <c r="U109" s="9">
        <f>IF(C109&lt;&gt;0,C109-Gear!$C$7,0)</f>
        <v>0</v>
      </c>
    </row>
    <row r="110" spans="20:21" x14ac:dyDescent="0.25">
      <c r="T110" s="9">
        <f>IF(C110&lt;&gt;0,C110-Gear!$C$7,0)</f>
        <v>0</v>
      </c>
      <c r="U110" s="9">
        <f>IF(C110&lt;&gt;0,C110-Gear!$C$7,0)</f>
        <v>0</v>
      </c>
    </row>
    <row r="111" spans="20:21" x14ac:dyDescent="0.25">
      <c r="T111" s="9">
        <f>IF(C111&lt;&gt;0,C111-Gear!$C$7,0)</f>
        <v>0</v>
      </c>
      <c r="U111" s="9">
        <f>IF(C111&lt;&gt;0,C111-Gear!$C$7,0)</f>
        <v>0</v>
      </c>
    </row>
    <row r="112" spans="20:21" x14ac:dyDescent="0.25">
      <c r="T112" s="9">
        <f>IF(C112&lt;&gt;0,C112-Gear!$C$7,0)</f>
        <v>0</v>
      </c>
      <c r="U112" s="9">
        <f>IF(C112&lt;&gt;0,C112-Gear!$C$7,0)</f>
        <v>0</v>
      </c>
    </row>
    <row r="113" spans="20:21" x14ac:dyDescent="0.25">
      <c r="T113" s="9">
        <f>IF(C113&lt;&gt;0,C113-Gear!$C$7,0)</f>
        <v>0</v>
      </c>
      <c r="U113" s="9">
        <f>IF(C113&lt;&gt;0,C113-Gear!$C$7,0)</f>
        <v>0</v>
      </c>
    </row>
    <row r="114" spans="20:21" x14ac:dyDescent="0.25">
      <c r="T114" s="9">
        <f>IF(C114&lt;&gt;0,C114-Gear!$C$7,0)</f>
        <v>0</v>
      </c>
      <c r="U114" s="9">
        <f>IF(C114&lt;&gt;0,C114-Gear!$C$7,0)</f>
        <v>0</v>
      </c>
    </row>
    <row r="115" spans="20:21" x14ac:dyDescent="0.25">
      <c r="T115" s="9">
        <f>IF(C115&lt;&gt;0,C115-Gear!$C$7,0)</f>
        <v>0</v>
      </c>
      <c r="U115" s="9">
        <f>IF(C115&lt;&gt;0,C115-Gear!$C$7,0)</f>
        <v>0</v>
      </c>
    </row>
    <row r="116" spans="20:21" x14ac:dyDescent="0.25">
      <c r="T116" s="9">
        <f>IF(C116&lt;&gt;0,C116-Gear!$C$7,0)</f>
        <v>0</v>
      </c>
      <c r="U116" s="9">
        <f>IF(C116&lt;&gt;0,C116-Gear!$C$7,0)</f>
        <v>0</v>
      </c>
    </row>
    <row r="117" spans="20:21" x14ac:dyDescent="0.25">
      <c r="T117" s="9">
        <f>IF(C117&lt;&gt;0,C117-Gear!$C$7,0)</f>
        <v>0</v>
      </c>
      <c r="U117" s="9">
        <f>IF(C117&lt;&gt;0,C117-Gear!$C$7,0)</f>
        <v>0</v>
      </c>
    </row>
    <row r="118" spans="20:21" x14ac:dyDescent="0.25">
      <c r="T118" s="9">
        <f>IF(C118&lt;&gt;0,C118-Gear!$C$7,0)</f>
        <v>0</v>
      </c>
      <c r="U118" s="9">
        <f>IF(C118&lt;&gt;0,C118-Gear!$C$7,0)</f>
        <v>0</v>
      </c>
    </row>
    <row r="119" spans="20:21" x14ac:dyDescent="0.25">
      <c r="T119" s="9">
        <f>IF(C119&lt;&gt;0,C119-Gear!$C$7,0)</f>
        <v>0</v>
      </c>
      <c r="U119" s="9">
        <f>IF(C119&lt;&gt;0,C119-Gear!$C$7,0)</f>
        <v>0</v>
      </c>
    </row>
    <row r="120" spans="20:21" x14ac:dyDescent="0.25">
      <c r="T120" s="9">
        <f>IF(C120&lt;&gt;0,C120-Gear!$C$7,0)</f>
        <v>0</v>
      </c>
      <c r="U120" s="9">
        <f>IF(C120&lt;&gt;0,C120-Gear!$C$7,0)</f>
        <v>0</v>
      </c>
    </row>
    <row r="121" spans="20:21" x14ac:dyDescent="0.25">
      <c r="T121" s="9">
        <f>IF(C121&lt;&gt;0,C121-Gear!$C$7,0)</f>
        <v>0</v>
      </c>
      <c r="U121" s="9">
        <f>IF(C121&lt;&gt;0,C121-Gear!$C$7,0)</f>
        <v>0</v>
      </c>
    </row>
    <row r="122" spans="20:21" x14ac:dyDescent="0.25">
      <c r="T122" s="9">
        <f>IF(C122&lt;&gt;0,C122-Gear!$C$7,0)</f>
        <v>0</v>
      </c>
      <c r="U122" s="9">
        <f>IF(C122&lt;&gt;0,C122-Gear!$C$7,0)</f>
        <v>0</v>
      </c>
    </row>
    <row r="123" spans="20:21" x14ac:dyDescent="0.25">
      <c r="T123" s="9">
        <f>IF(C123&lt;&gt;0,C123-Gear!$C$7,0)</f>
        <v>0</v>
      </c>
      <c r="U123" s="9">
        <f>IF(C123&lt;&gt;0,C123-Gear!$C$7,0)</f>
        <v>0</v>
      </c>
    </row>
    <row r="124" spans="20:21" x14ac:dyDescent="0.25">
      <c r="T124" s="9">
        <f>IF(C124&lt;&gt;0,C124-Gear!$C$7,0)</f>
        <v>0</v>
      </c>
      <c r="U124" s="9">
        <f>IF(C124&lt;&gt;0,C124-Gear!$C$7,0)</f>
        <v>0</v>
      </c>
    </row>
    <row r="125" spans="20:21" x14ac:dyDescent="0.25">
      <c r="T125" s="9">
        <f>IF(C125&lt;&gt;0,C125-Gear!$C$7,0)</f>
        <v>0</v>
      </c>
      <c r="U125" s="9">
        <f>IF(C125&lt;&gt;0,C125-Gear!$C$7,0)</f>
        <v>0</v>
      </c>
    </row>
    <row r="126" spans="20:21" x14ac:dyDescent="0.25">
      <c r="T126" s="9">
        <f>IF(C126&lt;&gt;0,C126-Gear!$C$7,0)</f>
        <v>0</v>
      </c>
      <c r="U126" s="9">
        <f>IF(C126&lt;&gt;0,C126-Gear!$C$7,0)</f>
        <v>0</v>
      </c>
    </row>
    <row r="127" spans="20:21" x14ac:dyDescent="0.25">
      <c r="T127" s="9">
        <f>IF(C127&lt;&gt;0,C127-Gear!$C$7,0)</f>
        <v>0</v>
      </c>
      <c r="U127" s="9">
        <f>IF(C127&lt;&gt;0,C127-Gear!$C$7,0)</f>
        <v>0</v>
      </c>
    </row>
    <row r="128" spans="20:21" x14ac:dyDescent="0.25">
      <c r="T128" s="9">
        <f>IF(C128&lt;&gt;0,C128-Gear!$C$7,0)</f>
        <v>0</v>
      </c>
      <c r="U128" s="9">
        <f>IF(C128&lt;&gt;0,C128-Gear!$C$7,0)</f>
        <v>0</v>
      </c>
    </row>
    <row r="129" spans="20:21" x14ac:dyDescent="0.25">
      <c r="T129" s="9">
        <f>IF(C129&lt;&gt;0,C129-Gear!$C$7,0)</f>
        <v>0</v>
      </c>
      <c r="U129" s="9">
        <f>IF(C129&lt;&gt;0,C129-Gear!$C$7,0)</f>
        <v>0</v>
      </c>
    </row>
    <row r="130" spans="20:21" x14ac:dyDescent="0.25">
      <c r="T130" s="9">
        <f>IF(C130&lt;&gt;0,C130-Gear!$C$7,0)</f>
        <v>0</v>
      </c>
      <c r="U130" s="9">
        <f>IF(C130&lt;&gt;0,C130-Gear!$C$7,0)</f>
        <v>0</v>
      </c>
    </row>
    <row r="131" spans="20:21" x14ac:dyDescent="0.25">
      <c r="T131" s="9">
        <f>IF(C131&lt;&gt;0,C131-Gear!$C$7,0)</f>
        <v>0</v>
      </c>
      <c r="U131" s="9">
        <f>IF(C131&lt;&gt;0,C131-Gear!$C$7,0)</f>
        <v>0</v>
      </c>
    </row>
    <row r="132" spans="20:21" x14ac:dyDescent="0.25">
      <c r="T132" s="9">
        <f>IF(C132&lt;&gt;0,C132-Gear!$C$7,0)</f>
        <v>0</v>
      </c>
      <c r="U132" s="9">
        <f>IF(C132&lt;&gt;0,C132-Gear!$C$7,0)</f>
        <v>0</v>
      </c>
    </row>
    <row r="133" spans="20:21" x14ac:dyDescent="0.25">
      <c r="T133" s="9">
        <f>IF(C133&lt;&gt;0,C133-Gear!$C$7,0)</f>
        <v>0</v>
      </c>
      <c r="U133" s="9">
        <f>IF(C133&lt;&gt;0,C133-Gear!$C$7,0)</f>
        <v>0</v>
      </c>
    </row>
    <row r="134" spans="20:21" x14ac:dyDescent="0.25">
      <c r="T134" s="9">
        <f>IF(C134&lt;&gt;0,C134-Gear!$C$7,0)</f>
        <v>0</v>
      </c>
      <c r="U134" s="9">
        <f>IF(C134&lt;&gt;0,C134-Gear!$C$7,0)</f>
        <v>0</v>
      </c>
    </row>
    <row r="135" spans="20:21" x14ac:dyDescent="0.25">
      <c r="T135" s="9">
        <f>IF(C135&lt;&gt;0,C135-Gear!$C$7,0)</f>
        <v>0</v>
      </c>
      <c r="U135" s="9">
        <f>IF(C135&lt;&gt;0,C135-Gear!$C$7,0)</f>
        <v>0</v>
      </c>
    </row>
    <row r="136" spans="20:21" x14ac:dyDescent="0.25">
      <c r="T136" s="9">
        <f>IF(C136&lt;&gt;0,C136-Gear!$C$7,0)</f>
        <v>0</v>
      </c>
      <c r="U136" s="9">
        <f>IF(C136&lt;&gt;0,C136-Gear!$C$7,0)</f>
        <v>0</v>
      </c>
    </row>
    <row r="137" spans="20:21" x14ac:dyDescent="0.25">
      <c r="T137" s="9">
        <f>IF(C137&lt;&gt;0,C137-Gear!$C$7,0)</f>
        <v>0</v>
      </c>
      <c r="U137" s="9">
        <f>IF(C137&lt;&gt;0,C137-Gear!$C$7,0)</f>
        <v>0</v>
      </c>
    </row>
    <row r="138" spans="20:21" x14ac:dyDescent="0.25">
      <c r="T138" s="9">
        <f>IF(C138&lt;&gt;0,C138-Gear!$C$7,0)</f>
        <v>0</v>
      </c>
      <c r="U138" s="9">
        <f>IF(C138&lt;&gt;0,C138-Gear!$C$7,0)</f>
        <v>0</v>
      </c>
    </row>
    <row r="139" spans="20:21" x14ac:dyDescent="0.25">
      <c r="T139" s="9">
        <f>IF(C139&lt;&gt;0,C139-Gear!$C$7,0)</f>
        <v>0</v>
      </c>
      <c r="U139" s="9">
        <f>IF(C139&lt;&gt;0,C139-Gear!$C$7,0)</f>
        <v>0</v>
      </c>
    </row>
    <row r="140" spans="20:21" x14ac:dyDescent="0.25">
      <c r="T140" s="9">
        <f>IF(C140&lt;&gt;0,C140-Gear!$C$7,0)</f>
        <v>0</v>
      </c>
      <c r="U140" s="9">
        <f>IF(C140&lt;&gt;0,C140-Gear!$C$7,0)</f>
        <v>0</v>
      </c>
    </row>
    <row r="141" spans="20:21" x14ac:dyDescent="0.25">
      <c r="T141" s="9">
        <f>IF(C141&lt;&gt;0,C141-Gear!$C$7,0)</f>
        <v>0</v>
      </c>
      <c r="U141" s="9">
        <f>IF(C141&lt;&gt;0,C141-Gear!$C$7,0)</f>
        <v>0</v>
      </c>
    </row>
    <row r="142" spans="20:21" x14ac:dyDescent="0.25">
      <c r="T142" s="9">
        <f>IF(C142&lt;&gt;0,C142-Gear!$C$7,0)</f>
        <v>0</v>
      </c>
      <c r="U142" s="9">
        <f>IF(C142&lt;&gt;0,C142-Gear!$C$7,0)</f>
        <v>0</v>
      </c>
    </row>
    <row r="143" spans="20:21" x14ac:dyDescent="0.25">
      <c r="T143" s="9">
        <f>IF(C143&lt;&gt;0,C143-Gear!$C$7,0)</f>
        <v>0</v>
      </c>
      <c r="U143" s="9">
        <f>IF(C143&lt;&gt;0,C143-Gear!$C$7,0)</f>
        <v>0</v>
      </c>
    </row>
    <row r="144" spans="20:21" x14ac:dyDescent="0.25">
      <c r="T144" s="9">
        <f>IF(C144&lt;&gt;0,C144-Gear!$C$7,0)</f>
        <v>0</v>
      </c>
      <c r="U144" s="9">
        <f>IF(C144&lt;&gt;0,C144-Gear!$C$7,0)</f>
        <v>0</v>
      </c>
    </row>
    <row r="145" spans="20:21" x14ac:dyDescent="0.25">
      <c r="T145" s="9">
        <f>IF(C145&lt;&gt;0,C145-Gear!$C$7,0)</f>
        <v>0</v>
      </c>
      <c r="U145" s="9">
        <f>IF(C145&lt;&gt;0,C145-Gear!$C$7,0)</f>
        <v>0</v>
      </c>
    </row>
    <row r="146" spans="20:21" x14ac:dyDescent="0.25">
      <c r="T146" s="9">
        <f>IF(C146&lt;&gt;0,C146-Gear!$C$7,0)</f>
        <v>0</v>
      </c>
      <c r="U146" s="9">
        <f>IF(C146&lt;&gt;0,C146-Gear!$C$7,0)</f>
        <v>0</v>
      </c>
    </row>
    <row r="147" spans="20:21" x14ac:dyDescent="0.25">
      <c r="T147" s="9">
        <f>IF(C147&lt;&gt;0,C147-Gear!$C$7,0)</f>
        <v>0</v>
      </c>
      <c r="U147" s="9">
        <f>IF(C147&lt;&gt;0,C147-Gear!$C$7,0)</f>
        <v>0</v>
      </c>
    </row>
    <row r="148" spans="20:21" x14ac:dyDescent="0.25">
      <c r="T148" s="9">
        <f>IF(C148&lt;&gt;0,C148-Gear!$C$7,0)</f>
        <v>0</v>
      </c>
      <c r="U148" s="9">
        <f>IF(C148&lt;&gt;0,C148-Gear!$C$7,0)</f>
        <v>0</v>
      </c>
    </row>
    <row r="149" spans="20:21" x14ac:dyDescent="0.25">
      <c r="T149" s="9">
        <f>IF(C149&lt;&gt;0,C149-Gear!$C$7,0)</f>
        <v>0</v>
      </c>
      <c r="U149" s="9">
        <f>IF(C149&lt;&gt;0,C149-Gear!$C$7,0)</f>
        <v>0</v>
      </c>
    </row>
    <row r="150" spans="20:21" x14ac:dyDescent="0.25">
      <c r="T150" s="9">
        <f>IF(C150&lt;&gt;0,C150-Gear!$C$7,0)</f>
        <v>0</v>
      </c>
      <c r="U150" s="9">
        <f>IF(C150&lt;&gt;0,C150-Gear!$C$7,0)</f>
        <v>0</v>
      </c>
    </row>
    <row r="151" spans="20:21" x14ac:dyDescent="0.25">
      <c r="T151" s="9">
        <f>IF(C151&lt;&gt;0,C151-Gear!$C$7,0)</f>
        <v>0</v>
      </c>
      <c r="U151" s="9">
        <f>IF(C151&lt;&gt;0,C151-Gear!$C$7,0)</f>
        <v>0</v>
      </c>
    </row>
    <row r="152" spans="20:21" x14ac:dyDescent="0.25">
      <c r="T152" s="9">
        <f>IF(C152&lt;&gt;0,C152-Gear!$C$7,0)</f>
        <v>0</v>
      </c>
      <c r="U152" s="9">
        <f>IF(C152&lt;&gt;0,C152-Gear!$C$7,0)</f>
        <v>0</v>
      </c>
    </row>
    <row r="153" spans="20:21" x14ac:dyDescent="0.25">
      <c r="T153" s="9">
        <f>IF(C153&lt;&gt;0,C153-Gear!$C$7,0)</f>
        <v>0</v>
      </c>
      <c r="U153" s="9">
        <f>IF(C153&lt;&gt;0,C153-Gear!$C$7,0)</f>
        <v>0</v>
      </c>
    </row>
    <row r="154" spans="20:21" x14ac:dyDescent="0.25">
      <c r="T154" s="9">
        <f>IF(C154&lt;&gt;0,C154-Gear!$C$7,0)</f>
        <v>0</v>
      </c>
      <c r="U154" s="9">
        <f>IF(C154&lt;&gt;0,C154-Gear!$C$7,0)</f>
        <v>0</v>
      </c>
    </row>
    <row r="155" spans="20:21" x14ac:dyDescent="0.25">
      <c r="T155" s="9">
        <f>IF(C155&lt;&gt;0,C155-Gear!$C$7,0)</f>
        <v>0</v>
      </c>
      <c r="U155" s="9">
        <f>IF(C155&lt;&gt;0,C155-Gear!$C$7,0)</f>
        <v>0</v>
      </c>
    </row>
    <row r="156" spans="20:21" x14ac:dyDescent="0.25">
      <c r="T156" s="9">
        <f>IF(C156&lt;&gt;0,C156-Gear!$C$7,0)</f>
        <v>0</v>
      </c>
      <c r="U156" s="9">
        <f>IF(C156&lt;&gt;0,C156-Gear!$C$7,0)</f>
        <v>0</v>
      </c>
    </row>
    <row r="157" spans="20:21" x14ac:dyDescent="0.25">
      <c r="T157" s="9">
        <f>IF(C157&lt;&gt;0,C157-Gear!$C$7,0)</f>
        <v>0</v>
      </c>
      <c r="U157" s="9">
        <f>IF(C157&lt;&gt;0,C157-Gear!$C$7,0)</f>
        <v>0</v>
      </c>
    </row>
    <row r="158" spans="20:21" x14ac:dyDescent="0.25">
      <c r="T158" s="9">
        <f>IF(C158&lt;&gt;0,C158-Gear!$C$7,0)</f>
        <v>0</v>
      </c>
      <c r="U158" s="9">
        <f>IF(C158&lt;&gt;0,C158-Gear!$C$7,0)</f>
        <v>0</v>
      </c>
    </row>
    <row r="159" spans="20:21" x14ac:dyDescent="0.25">
      <c r="T159" s="9">
        <f>IF(C159&lt;&gt;0,C159-Gear!$C$7,0)</f>
        <v>0</v>
      </c>
      <c r="U159" s="9">
        <f>IF(C159&lt;&gt;0,C159-Gear!$C$7,0)</f>
        <v>0</v>
      </c>
    </row>
    <row r="160" spans="20:21" x14ac:dyDescent="0.25">
      <c r="T160" s="9">
        <f>IF(C160&lt;&gt;0,C160-Gear!$C$7,0)</f>
        <v>0</v>
      </c>
      <c r="U160" s="9">
        <f>IF(C160&lt;&gt;0,C160-Gear!$C$7,0)</f>
        <v>0</v>
      </c>
    </row>
    <row r="161" spans="20:21" x14ac:dyDescent="0.25">
      <c r="T161" s="9">
        <f>IF(C161&lt;&gt;0,C161-Gear!$C$7,0)</f>
        <v>0</v>
      </c>
      <c r="U161" s="9">
        <f>IF(C161&lt;&gt;0,C161-Gear!$C$7,0)</f>
        <v>0</v>
      </c>
    </row>
    <row r="162" spans="20:21" x14ac:dyDescent="0.25">
      <c r="T162" s="9">
        <f>IF(C162&lt;&gt;0,C162-Gear!$C$7,0)</f>
        <v>0</v>
      </c>
      <c r="U162" s="9">
        <f>IF(C162&lt;&gt;0,C162-Gear!$C$7,0)</f>
        <v>0</v>
      </c>
    </row>
    <row r="163" spans="20:21" x14ac:dyDescent="0.25">
      <c r="T163" s="9">
        <f>IF(C163&lt;&gt;0,C163-Gear!$C$7,0)</f>
        <v>0</v>
      </c>
      <c r="U163" s="9">
        <f>IF(C163&lt;&gt;0,C163-Gear!$C$7,0)</f>
        <v>0</v>
      </c>
    </row>
    <row r="164" spans="20:21" x14ac:dyDescent="0.25">
      <c r="T164" s="9">
        <f>IF(C164&lt;&gt;0,C164-Gear!$C$7,0)</f>
        <v>0</v>
      </c>
      <c r="U164" s="9">
        <f>IF(C164&lt;&gt;0,C164-Gear!$C$7,0)</f>
        <v>0</v>
      </c>
    </row>
    <row r="165" spans="20:21" x14ac:dyDescent="0.25">
      <c r="T165" s="9">
        <f>IF(C165&lt;&gt;0,C165-Gear!$C$7,0)</f>
        <v>0</v>
      </c>
      <c r="U165" s="9">
        <f>IF(C165&lt;&gt;0,C165-Gear!$C$7,0)</f>
        <v>0</v>
      </c>
    </row>
    <row r="166" spans="20:21" x14ac:dyDescent="0.25">
      <c r="T166" s="9">
        <f>IF(C166&lt;&gt;0,C166-Gear!$C$7,0)</f>
        <v>0</v>
      </c>
      <c r="U166" s="9">
        <f>IF(C166&lt;&gt;0,C166-Gear!$C$7,0)</f>
        <v>0</v>
      </c>
    </row>
    <row r="167" spans="20:21" x14ac:dyDescent="0.25">
      <c r="T167" s="9">
        <f>IF(C167&lt;&gt;0,C167-Gear!$C$7,0)</f>
        <v>0</v>
      </c>
      <c r="U167" s="9">
        <f>IF(C167&lt;&gt;0,C167-Gear!$C$7,0)</f>
        <v>0</v>
      </c>
    </row>
    <row r="168" spans="20:21" x14ac:dyDescent="0.25">
      <c r="T168" s="9">
        <f>IF(C168&lt;&gt;0,C168-Gear!$C$7,0)</f>
        <v>0</v>
      </c>
      <c r="U168" s="9">
        <f>IF(C168&lt;&gt;0,C168-Gear!$C$7,0)</f>
        <v>0</v>
      </c>
    </row>
    <row r="169" spans="20:21" x14ac:dyDescent="0.25">
      <c r="T169" s="9">
        <f>IF(C169&lt;&gt;0,C169-Gear!$C$7,0)</f>
        <v>0</v>
      </c>
      <c r="U169" s="9">
        <f>IF(C169&lt;&gt;0,C169-Gear!$C$7,0)</f>
        <v>0</v>
      </c>
    </row>
    <row r="170" spans="20:21" x14ac:dyDescent="0.25">
      <c r="T170" s="9">
        <f>IF(C170&lt;&gt;0,C170-Gear!$C$7,0)</f>
        <v>0</v>
      </c>
      <c r="U170" s="9">
        <f>IF(C170&lt;&gt;0,C170-Gear!$C$7,0)</f>
        <v>0</v>
      </c>
    </row>
    <row r="171" spans="20:21" x14ac:dyDescent="0.25">
      <c r="T171" s="9">
        <f>IF(C171&lt;&gt;0,C171-Gear!$C$7,0)</f>
        <v>0</v>
      </c>
      <c r="U171" s="9">
        <f>IF(C171&lt;&gt;0,C171-Gear!$C$7,0)</f>
        <v>0</v>
      </c>
    </row>
    <row r="172" spans="20:21" x14ac:dyDescent="0.25">
      <c r="T172" s="9">
        <f>IF(C172&lt;&gt;0,C172-Gear!$C$7,0)</f>
        <v>0</v>
      </c>
      <c r="U172" s="9">
        <f>IF(C172&lt;&gt;0,C172-Gear!$C$7,0)</f>
        <v>0</v>
      </c>
    </row>
    <row r="173" spans="20:21" x14ac:dyDescent="0.25">
      <c r="T173" s="9">
        <f>IF(C173&lt;&gt;0,C173-Gear!$C$7,0)</f>
        <v>0</v>
      </c>
      <c r="U173" s="9">
        <f>IF(C173&lt;&gt;0,C173-Gear!$C$7,0)</f>
        <v>0</v>
      </c>
    </row>
    <row r="174" spans="20:21" x14ac:dyDescent="0.25">
      <c r="T174" s="9">
        <f>IF(C174&lt;&gt;0,C174-Gear!$C$7,0)</f>
        <v>0</v>
      </c>
      <c r="U174" s="9">
        <f>IF(C174&lt;&gt;0,C174-Gear!$C$7,0)</f>
        <v>0</v>
      </c>
    </row>
    <row r="175" spans="20:21" x14ac:dyDescent="0.25">
      <c r="T175" s="9">
        <f>IF(C175&lt;&gt;0,C175-Gear!$C$7,0)</f>
        <v>0</v>
      </c>
      <c r="U175" s="9">
        <f>IF(C175&lt;&gt;0,C175-Gear!$C$7,0)</f>
        <v>0</v>
      </c>
    </row>
    <row r="176" spans="20:21" x14ac:dyDescent="0.25">
      <c r="T176" s="9">
        <f>IF(C176&lt;&gt;0,C176-Gear!$C$7,0)</f>
        <v>0</v>
      </c>
      <c r="U176" s="9">
        <f>IF(C176&lt;&gt;0,C176-Gear!$C$7,0)</f>
        <v>0</v>
      </c>
    </row>
    <row r="177" spans="20:21" x14ac:dyDescent="0.25">
      <c r="T177" s="9">
        <f>IF(C177&lt;&gt;0,C177-Gear!$C$7,0)</f>
        <v>0</v>
      </c>
      <c r="U177" s="9">
        <f>IF(C177&lt;&gt;0,C177-Gear!$C$7,0)</f>
        <v>0</v>
      </c>
    </row>
    <row r="178" spans="20:21" x14ac:dyDescent="0.25">
      <c r="T178" s="9">
        <f>IF(C178&lt;&gt;0,C178-Gear!$C$7,0)</f>
        <v>0</v>
      </c>
      <c r="U178" s="9">
        <f>IF(C178&lt;&gt;0,C178-Gear!$C$7,0)</f>
        <v>0</v>
      </c>
    </row>
    <row r="179" spans="20:21" x14ac:dyDescent="0.25">
      <c r="T179" s="9">
        <f>IF(C179&lt;&gt;0,C179-Gear!$C$7,0)</f>
        <v>0</v>
      </c>
      <c r="U179" s="9">
        <f>IF(C179&lt;&gt;0,C179-Gear!$C$7,0)</f>
        <v>0</v>
      </c>
    </row>
    <row r="180" spans="20:21" x14ac:dyDescent="0.25">
      <c r="T180" s="9">
        <f>IF(C180&lt;&gt;0,C180-Gear!$C$7,0)</f>
        <v>0</v>
      </c>
      <c r="U180" s="9">
        <f>IF(C180&lt;&gt;0,C180-Gear!$C$7,0)</f>
        <v>0</v>
      </c>
    </row>
    <row r="181" spans="20:21" x14ac:dyDescent="0.25">
      <c r="T181" s="9">
        <f>IF(C181&lt;&gt;0,C181-Gear!$C$7,0)</f>
        <v>0</v>
      </c>
      <c r="U181" s="9">
        <f>IF(C181&lt;&gt;0,C181-Gear!$C$7,0)</f>
        <v>0</v>
      </c>
    </row>
    <row r="182" spans="20:21" x14ac:dyDescent="0.25">
      <c r="T182" s="9">
        <f>IF(C182&lt;&gt;0,C182-Gear!$C$7,0)</f>
        <v>0</v>
      </c>
      <c r="U182" s="9">
        <f>IF(C182&lt;&gt;0,C182-Gear!$C$7,0)</f>
        <v>0</v>
      </c>
    </row>
    <row r="183" spans="20:21" x14ac:dyDescent="0.25">
      <c r="T183" s="9">
        <f>IF(C183&lt;&gt;0,C183-Gear!$C$7,0)</f>
        <v>0</v>
      </c>
      <c r="U183" s="9">
        <f>IF(C183&lt;&gt;0,C183-Gear!$C$7,0)</f>
        <v>0</v>
      </c>
    </row>
    <row r="184" spans="20:21" x14ac:dyDescent="0.25">
      <c r="T184" s="9">
        <f>IF(C184&lt;&gt;0,C184-Gear!$C$7,0)</f>
        <v>0</v>
      </c>
      <c r="U184" s="9">
        <f>IF(C184&lt;&gt;0,C184-Gear!$C$7,0)</f>
        <v>0</v>
      </c>
    </row>
    <row r="185" spans="20:21" x14ac:dyDescent="0.25">
      <c r="T185" s="9">
        <f>IF(C185&lt;&gt;0,C185-Gear!$C$7,0)</f>
        <v>0</v>
      </c>
      <c r="U185" s="9">
        <f>IF(C185&lt;&gt;0,C185-Gear!$C$7,0)</f>
        <v>0</v>
      </c>
    </row>
    <row r="186" spans="20:21" x14ac:dyDescent="0.25">
      <c r="T186" s="9">
        <f>IF(C186&lt;&gt;0,C186-Gear!$C$7,0)</f>
        <v>0</v>
      </c>
      <c r="U186" s="9">
        <f>IF(C186&lt;&gt;0,C186-Gear!$C$7,0)</f>
        <v>0</v>
      </c>
    </row>
    <row r="187" spans="20:21" x14ac:dyDescent="0.25">
      <c r="T187" s="9">
        <f>IF(C187&lt;&gt;0,C187-Gear!$C$7,0)</f>
        <v>0</v>
      </c>
      <c r="U187" s="9">
        <f>IF(C187&lt;&gt;0,C187-Gear!$C$7,0)</f>
        <v>0</v>
      </c>
    </row>
    <row r="188" spans="20:21" x14ac:dyDescent="0.25">
      <c r="T188" s="9">
        <f>IF(C188&lt;&gt;0,C188-Gear!$C$7,0)</f>
        <v>0</v>
      </c>
      <c r="U188" s="9">
        <f>IF(C188&lt;&gt;0,C188-Gear!$C$7,0)</f>
        <v>0</v>
      </c>
    </row>
    <row r="189" spans="20:21" x14ac:dyDescent="0.25">
      <c r="T189" s="9">
        <f>IF(C189&lt;&gt;0,C189-Gear!$C$7,0)</f>
        <v>0</v>
      </c>
      <c r="U189" s="9">
        <f>IF(C189&lt;&gt;0,C189-Gear!$C$7,0)</f>
        <v>0</v>
      </c>
    </row>
    <row r="190" spans="20:21" x14ac:dyDescent="0.25">
      <c r="T190" s="9">
        <f>IF(C190&lt;&gt;0,C190-Gear!$C$7,0)</f>
        <v>0</v>
      </c>
      <c r="U190" s="9">
        <f>IF(C190&lt;&gt;0,C190-Gear!$C$7,0)</f>
        <v>0</v>
      </c>
    </row>
    <row r="191" spans="20:21" x14ac:dyDescent="0.25">
      <c r="T191" s="9">
        <f>IF(C191&lt;&gt;0,C191-Gear!$C$7,0)</f>
        <v>0</v>
      </c>
      <c r="U191" s="9">
        <f>IF(C191&lt;&gt;0,C191-Gear!$C$7,0)</f>
        <v>0</v>
      </c>
    </row>
    <row r="192" spans="20:21" x14ac:dyDescent="0.25">
      <c r="T192" s="9">
        <f>IF(C192&lt;&gt;0,C192-Gear!$C$7,0)</f>
        <v>0</v>
      </c>
      <c r="U192" s="9">
        <f>IF(C192&lt;&gt;0,C192-Gear!$C$7,0)</f>
        <v>0</v>
      </c>
    </row>
    <row r="193" spans="20:21" x14ac:dyDescent="0.25">
      <c r="T193" s="9">
        <f>IF(C193&lt;&gt;0,C193-Gear!$C$7,0)</f>
        <v>0</v>
      </c>
      <c r="U193" s="9">
        <f>IF(C193&lt;&gt;0,C193-Gear!$C$7,0)</f>
        <v>0</v>
      </c>
    </row>
    <row r="194" spans="20:21" x14ac:dyDescent="0.25">
      <c r="T194" s="9">
        <f>IF(C194&lt;&gt;0,C194-Gear!$C$7,0)</f>
        <v>0</v>
      </c>
      <c r="U194" s="9">
        <f>IF(C194&lt;&gt;0,C194-Gear!$C$7,0)</f>
        <v>0</v>
      </c>
    </row>
    <row r="195" spans="20:21" x14ac:dyDescent="0.25">
      <c r="T195" s="9">
        <f>IF(C195&lt;&gt;0,C195-Gear!$C$7,0)</f>
        <v>0</v>
      </c>
      <c r="U195" s="9">
        <f>IF(C195&lt;&gt;0,C195-Gear!$C$7,0)</f>
        <v>0</v>
      </c>
    </row>
    <row r="196" spans="20:21" x14ac:dyDescent="0.25">
      <c r="T196" s="9">
        <f>IF(C196&lt;&gt;0,C196-Gear!$C$7,0)</f>
        <v>0</v>
      </c>
      <c r="U196" s="9">
        <f>IF(C196&lt;&gt;0,C196-Gear!$C$7,0)</f>
        <v>0</v>
      </c>
    </row>
    <row r="197" spans="20:21" x14ac:dyDescent="0.25">
      <c r="T197" s="9">
        <f>IF(C197&lt;&gt;0,C197-Gear!$C$7,0)</f>
        <v>0</v>
      </c>
      <c r="U197" s="9">
        <f>IF(C197&lt;&gt;0,C197-Gear!$C$7,0)</f>
        <v>0</v>
      </c>
    </row>
    <row r="198" spans="20:21" x14ac:dyDescent="0.25">
      <c r="T198" s="9">
        <f>IF(C198&lt;&gt;0,C198-Gear!$C$7,0)</f>
        <v>0</v>
      </c>
      <c r="U198" s="9">
        <f>IF(C198&lt;&gt;0,C198-Gear!$C$7,0)</f>
        <v>0</v>
      </c>
    </row>
    <row r="199" spans="20:21" x14ac:dyDescent="0.25">
      <c r="T199" s="9">
        <f>IF(C199&lt;&gt;0,C199-Gear!$C$7,0)</f>
        <v>0</v>
      </c>
      <c r="U199" s="9">
        <f>IF(C199&lt;&gt;0,C199-Gear!$C$7,0)</f>
        <v>0</v>
      </c>
    </row>
    <row r="200" spans="20:21" x14ac:dyDescent="0.25">
      <c r="T200" s="9">
        <f>IF(C200&lt;&gt;0,C200-Gear!$C$7,0)</f>
        <v>0</v>
      </c>
      <c r="U200" s="9">
        <f>IF(C200&lt;&gt;0,C200-Gear!$C$7,0)</f>
        <v>0</v>
      </c>
    </row>
    <row r="201" spans="20:21" x14ac:dyDescent="0.25">
      <c r="T201" s="9">
        <f>IF(C201&lt;&gt;0,C201-Gear!$C$7,0)</f>
        <v>0</v>
      </c>
      <c r="U201" s="9">
        <f>IF(C201&lt;&gt;0,C201-Gear!$C$7,0)</f>
        <v>0</v>
      </c>
    </row>
    <row r="202" spans="20:21" x14ac:dyDescent="0.25">
      <c r="T202" s="9">
        <f>IF(C202&lt;&gt;0,C202-Gear!$C$7,0)</f>
        <v>0</v>
      </c>
      <c r="U202" s="9">
        <f>IF(C202&lt;&gt;0,C202-Gear!$C$7,0)</f>
        <v>0</v>
      </c>
    </row>
    <row r="203" spans="20:21" x14ac:dyDescent="0.25">
      <c r="T203" s="9">
        <f>IF(C203&lt;&gt;0,C203-Gear!$C$7,0)</f>
        <v>0</v>
      </c>
      <c r="U203" s="9">
        <f>IF(C203&lt;&gt;0,C203-Gear!$C$7,0)</f>
        <v>0</v>
      </c>
    </row>
    <row r="204" spans="20:21" x14ac:dyDescent="0.25">
      <c r="T204" s="9">
        <f>IF(C204&lt;&gt;0,C204-Gear!$C$7,0)</f>
        <v>0</v>
      </c>
      <c r="U204" s="9">
        <f>IF(C204&lt;&gt;0,C204-Gear!$C$7,0)</f>
        <v>0</v>
      </c>
    </row>
    <row r="205" spans="20:21" x14ac:dyDescent="0.25">
      <c r="T205" s="9">
        <f>IF(C205&lt;&gt;0,C205-Gear!$C$7,0)</f>
        <v>0</v>
      </c>
      <c r="U205" s="9">
        <f>IF(C205&lt;&gt;0,C205-Gear!$C$7,0)</f>
        <v>0</v>
      </c>
    </row>
    <row r="206" spans="20:21" x14ac:dyDescent="0.25">
      <c r="T206" s="9">
        <f>IF(C206&lt;&gt;0,C206-Gear!$C$7,0)</f>
        <v>0</v>
      </c>
      <c r="U206" s="9">
        <f>IF(C206&lt;&gt;0,C206-Gear!$C$7,0)</f>
        <v>0</v>
      </c>
    </row>
    <row r="207" spans="20:21" x14ac:dyDescent="0.25">
      <c r="T207" s="9">
        <f>IF(C207&lt;&gt;0,C207-Gear!$C$7,0)</f>
        <v>0</v>
      </c>
      <c r="U207" s="9">
        <f>IF(C207&lt;&gt;0,C207-Gear!$C$7,0)</f>
        <v>0</v>
      </c>
    </row>
    <row r="208" spans="20:21" x14ac:dyDescent="0.25">
      <c r="T208" s="9">
        <f>IF(C208&lt;&gt;0,C208-Gear!$C$7,0)</f>
        <v>0</v>
      </c>
      <c r="U208" s="9">
        <f>IF(C208&lt;&gt;0,C208-Gear!$C$7,0)</f>
        <v>0</v>
      </c>
    </row>
    <row r="209" spans="20:21" x14ac:dyDescent="0.25">
      <c r="T209" s="9">
        <f>IF(C209&lt;&gt;0,C209-Gear!$C$7,0)</f>
        <v>0</v>
      </c>
      <c r="U209" s="9">
        <f>IF(C209&lt;&gt;0,C209-Gear!$C$7,0)</f>
        <v>0</v>
      </c>
    </row>
    <row r="210" spans="20:21" x14ac:dyDescent="0.25">
      <c r="T210" s="9">
        <f>IF(C210&lt;&gt;0,C210-Gear!$C$7,0)</f>
        <v>0</v>
      </c>
      <c r="U210" s="9">
        <f>IF(C210&lt;&gt;0,C210-Gear!$C$7,0)</f>
        <v>0</v>
      </c>
    </row>
    <row r="211" spans="20:21" x14ac:dyDescent="0.25">
      <c r="T211" s="9">
        <f>IF(C211&lt;&gt;0,C211-Gear!$C$7,0)</f>
        <v>0</v>
      </c>
      <c r="U211" s="9">
        <f>IF(C211&lt;&gt;0,C211-Gear!$C$7,0)</f>
        <v>0</v>
      </c>
    </row>
    <row r="212" spans="20:21" x14ac:dyDescent="0.25">
      <c r="T212" s="9">
        <f>IF(C212&lt;&gt;0,C212-Gear!$C$7,0)</f>
        <v>0</v>
      </c>
      <c r="U212" s="9">
        <f>IF(C212&lt;&gt;0,C212-Gear!$C$7,0)</f>
        <v>0</v>
      </c>
    </row>
    <row r="213" spans="20:21" x14ac:dyDescent="0.25">
      <c r="T213" s="9">
        <f>IF(C213&lt;&gt;0,C213-Gear!$C$7,0)</f>
        <v>0</v>
      </c>
      <c r="U213" s="9">
        <f>IF(C213&lt;&gt;0,C213-Gear!$C$7,0)</f>
        <v>0</v>
      </c>
    </row>
    <row r="214" spans="20:21" x14ac:dyDescent="0.25">
      <c r="T214" s="9">
        <f>IF(C214&lt;&gt;0,C214-Gear!$C$7,0)</f>
        <v>0</v>
      </c>
      <c r="U214" s="9">
        <f>IF(C214&lt;&gt;0,C214-Gear!$C$7,0)</f>
        <v>0</v>
      </c>
    </row>
    <row r="215" spans="20:21" x14ac:dyDescent="0.25">
      <c r="T215" s="9">
        <f>IF(C215&lt;&gt;0,C215-Gear!$C$7,0)</f>
        <v>0</v>
      </c>
      <c r="U215" s="9">
        <f>IF(C215&lt;&gt;0,C215-Gear!$C$7,0)</f>
        <v>0</v>
      </c>
    </row>
    <row r="216" spans="20:21" x14ac:dyDescent="0.25">
      <c r="T216" s="9">
        <f>IF(C216&lt;&gt;0,C216-Gear!$C$7,0)</f>
        <v>0</v>
      </c>
      <c r="U216" s="9">
        <f>IF(C216&lt;&gt;0,C216-Gear!$C$7,0)</f>
        <v>0</v>
      </c>
    </row>
    <row r="217" spans="20:21" x14ac:dyDescent="0.25">
      <c r="T217" s="9">
        <f>IF(C217&lt;&gt;0,C217-Gear!$C$7,0)</f>
        <v>0</v>
      </c>
      <c r="U217" s="9">
        <f>IF(C217&lt;&gt;0,C217-Gear!$C$7,0)</f>
        <v>0</v>
      </c>
    </row>
    <row r="218" spans="20:21" x14ac:dyDescent="0.25">
      <c r="T218" s="9">
        <f>IF(C218&lt;&gt;0,C218-Gear!$C$7,0)</f>
        <v>0</v>
      </c>
      <c r="U218" s="9">
        <f>IF(C218&lt;&gt;0,C218-Gear!$C$7,0)</f>
        <v>0</v>
      </c>
    </row>
    <row r="219" spans="20:21" x14ac:dyDescent="0.25">
      <c r="T219" s="9">
        <f>IF(C219&lt;&gt;0,C219-Gear!$C$7,0)</f>
        <v>0</v>
      </c>
      <c r="U219" s="9">
        <f>IF(C219&lt;&gt;0,C219-Gear!$C$7,0)</f>
        <v>0</v>
      </c>
    </row>
    <row r="220" spans="20:21" x14ac:dyDescent="0.25">
      <c r="T220" s="9">
        <f>IF(C220&lt;&gt;0,C220-Gear!$C$7,0)</f>
        <v>0</v>
      </c>
      <c r="U220" s="9">
        <f>IF(C220&lt;&gt;0,C220-Gear!$C$7,0)</f>
        <v>0</v>
      </c>
    </row>
    <row r="221" spans="20:21" x14ac:dyDescent="0.25">
      <c r="T221" s="9">
        <f>IF(C221&lt;&gt;0,C221-Gear!$C$7,0)</f>
        <v>0</v>
      </c>
      <c r="U221" s="9">
        <f>IF(C221&lt;&gt;0,C221-Gear!$C$7,0)</f>
        <v>0</v>
      </c>
    </row>
    <row r="222" spans="20:21" x14ac:dyDescent="0.25">
      <c r="T222" s="9">
        <f>IF(C222&lt;&gt;0,C222-Gear!$C$7,0)</f>
        <v>0</v>
      </c>
      <c r="U222" s="9">
        <f>IF(C222&lt;&gt;0,C222-Gear!$C$7,0)</f>
        <v>0</v>
      </c>
    </row>
    <row r="223" spans="20:21" x14ac:dyDescent="0.25">
      <c r="T223" s="9">
        <f>IF(C223&lt;&gt;0,C223-Gear!$C$7,0)</f>
        <v>0</v>
      </c>
      <c r="U223" s="9">
        <f>IF(C223&lt;&gt;0,C223-Gear!$C$7,0)</f>
        <v>0</v>
      </c>
    </row>
    <row r="224" spans="20:21" x14ac:dyDescent="0.25">
      <c r="T224" s="9">
        <f>IF(C224&lt;&gt;0,C224-Gear!$C$7,0)</f>
        <v>0</v>
      </c>
      <c r="U224" s="9">
        <f>IF(C224&lt;&gt;0,C224-Gear!$C$7,0)</f>
        <v>0</v>
      </c>
    </row>
    <row r="225" spans="20:21" x14ac:dyDescent="0.25">
      <c r="T225" s="9">
        <f>IF(C225&lt;&gt;0,C225-Gear!$C$7,0)</f>
        <v>0</v>
      </c>
      <c r="U225" s="9">
        <f>IF(C225&lt;&gt;0,C225-Gear!$C$7,0)</f>
        <v>0</v>
      </c>
    </row>
    <row r="226" spans="20:21" x14ac:dyDescent="0.25">
      <c r="T226" s="9">
        <f>IF(C226&lt;&gt;0,C226-Gear!$C$7,0)</f>
        <v>0</v>
      </c>
      <c r="U226" s="9">
        <f>IF(C226&lt;&gt;0,C226-Gear!$C$7,0)</f>
        <v>0</v>
      </c>
    </row>
    <row r="227" spans="20:21" x14ac:dyDescent="0.25">
      <c r="T227" s="9">
        <f>IF(C227&lt;&gt;0,C227-Gear!$C$7,0)</f>
        <v>0</v>
      </c>
      <c r="U227" s="9">
        <f>IF(C227&lt;&gt;0,C227-Gear!$C$7,0)</f>
        <v>0</v>
      </c>
    </row>
    <row r="228" spans="20:21" x14ac:dyDescent="0.25">
      <c r="T228" s="9">
        <f>IF(C228&lt;&gt;0,C228-Gear!$C$7,0)</f>
        <v>0</v>
      </c>
      <c r="U228" s="9">
        <f>IF(C228&lt;&gt;0,C228-Gear!$C$7,0)</f>
        <v>0</v>
      </c>
    </row>
    <row r="229" spans="20:21" x14ac:dyDescent="0.25">
      <c r="T229" s="9">
        <f>IF(C229&lt;&gt;0,C229-Gear!$C$7,0)</f>
        <v>0</v>
      </c>
      <c r="U229" s="9">
        <f>IF(C229&lt;&gt;0,C229-Gear!$C$7,0)</f>
        <v>0</v>
      </c>
    </row>
    <row r="230" spans="20:21" x14ac:dyDescent="0.25">
      <c r="T230" s="9">
        <f>IF(C230&lt;&gt;0,C230-Gear!$C$7,0)</f>
        <v>0</v>
      </c>
      <c r="U230" s="9">
        <f>IF(C230&lt;&gt;0,C230-Gear!$C$7,0)</f>
        <v>0</v>
      </c>
    </row>
    <row r="231" spans="20:21" x14ac:dyDescent="0.25">
      <c r="T231" s="9">
        <f>IF(C231&lt;&gt;0,C231-Gear!$C$7,0)</f>
        <v>0</v>
      </c>
      <c r="U231" s="9">
        <f>IF(C231&lt;&gt;0,C231-Gear!$C$7,0)</f>
        <v>0</v>
      </c>
    </row>
    <row r="232" spans="20:21" x14ac:dyDescent="0.25">
      <c r="T232" s="9">
        <f>IF(C232&lt;&gt;0,C232-Gear!$C$7,0)</f>
        <v>0</v>
      </c>
      <c r="U232" s="9">
        <f>IF(C232&lt;&gt;0,C232-Gear!$C$7,0)</f>
        <v>0</v>
      </c>
    </row>
    <row r="233" spans="20:21" x14ac:dyDescent="0.25">
      <c r="T233" s="9">
        <f>IF(C233&lt;&gt;0,C233-Gear!$C$7,0)</f>
        <v>0</v>
      </c>
      <c r="U233" s="9">
        <f>IF(C233&lt;&gt;0,C233-Gear!$C$7,0)</f>
        <v>0</v>
      </c>
    </row>
    <row r="234" spans="20:21" x14ac:dyDescent="0.25">
      <c r="T234" s="9">
        <f>IF(C234&lt;&gt;0,C234-Gear!$C$7,0)</f>
        <v>0</v>
      </c>
      <c r="U234" s="9">
        <f>IF(C234&lt;&gt;0,C234-Gear!$C$7,0)</f>
        <v>0</v>
      </c>
    </row>
    <row r="235" spans="20:21" x14ac:dyDescent="0.25">
      <c r="T235" s="9">
        <f>IF(C235&lt;&gt;0,C235-Gear!$C$7,0)</f>
        <v>0</v>
      </c>
      <c r="U235" s="9">
        <f>IF(C235&lt;&gt;0,C235-Gear!$C$7,0)</f>
        <v>0</v>
      </c>
    </row>
    <row r="236" spans="20:21" x14ac:dyDescent="0.25">
      <c r="T236" s="9">
        <f>IF(C236&lt;&gt;0,C236-Gear!$C$7,0)</f>
        <v>0</v>
      </c>
      <c r="U236" s="9">
        <f>IF(C236&lt;&gt;0,C236-Gear!$C$7,0)</f>
        <v>0</v>
      </c>
    </row>
    <row r="237" spans="20:21" x14ac:dyDescent="0.25">
      <c r="T237" s="9">
        <f>IF(C237&lt;&gt;0,C237-Gear!$C$7,0)</f>
        <v>0</v>
      </c>
      <c r="U237" s="9">
        <f>IF(C237&lt;&gt;0,C237-Gear!$C$7,0)</f>
        <v>0</v>
      </c>
    </row>
    <row r="238" spans="20:21" x14ac:dyDescent="0.25">
      <c r="T238" s="9">
        <f>IF(C238&lt;&gt;0,C238-Gear!$C$7,0)</f>
        <v>0</v>
      </c>
      <c r="U238" s="9">
        <f>IF(C238&lt;&gt;0,C238-Gear!$C$7,0)</f>
        <v>0</v>
      </c>
    </row>
    <row r="239" spans="20:21" x14ac:dyDescent="0.25">
      <c r="T239" s="9">
        <f>IF(C239&lt;&gt;0,C239-Gear!$C$7,0)</f>
        <v>0</v>
      </c>
      <c r="U239" s="9">
        <f>IF(C239&lt;&gt;0,C239-Gear!$C$7,0)</f>
        <v>0</v>
      </c>
    </row>
    <row r="240" spans="20:21" x14ac:dyDescent="0.25">
      <c r="T240" s="9">
        <f>IF(C240&lt;&gt;0,C240-Gear!$C$7,0)</f>
        <v>0</v>
      </c>
      <c r="U240" s="9">
        <f>IF(C240&lt;&gt;0,C240-Gear!$C$7,0)</f>
        <v>0</v>
      </c>
    </row>
    <row r="241" spans="20:21" x14ac:dyDescent="0.25">
      <c r="T241" s="9">
        <f>IF(C241&lt;&gt;0,C241-Gear!$C$7,0)</f>
        <v>0</v>
      </c>
      <c r="U241" s="9">
        <f>IF(C241&lt;&gt;0,C241-Gear!$C$7,0)</f>
        <v>0</v>
      </c>
    </row>
    <row r="242" spans="20:21" x14ac:dyDescent="0.25">
      <c r="T242" s="9">
        <f>IF(C242&lt;&gt;0,C242-Gear!$C$7,0)</f>
        <v>0</v>
      </c>
      <c r="U242" s="9">
        <f>IF(C242&lt;&gt;0,C242-Gear!$C$7,0)</f>
        <v>0</v>
      </c>
    </row>
    <row r="243" spans="20:21" x14ac:dyDescent="0.25">
      <c r="T243" s="9">
        <f>IF(C243&lt;&gt;0,C243-Gear!$C$7,0)</f>
        <v>0</v>
      </c>
      <c r="U243" s="9">
        <f>IF(C243&lt;&gt;0,C243-Gear!$C$7,0)</f>
        <v>0</v>
      </c>
    </row>
    <row r="244" spans="20:21" x14ac:dyDescent="0.25">
      <c r="T244" s="9">
        <f>IF(C244&lt;&gt;0,C244-Gear!$C$7,0)</f>
        <v>0</v>
      </c>
      <c r="U244" s="9">
        <f>IF(C244&lt;&gt;0,C244-Gear!$C$7,0)</f>
        <v>0</v>
      </c>
    </row>
    <row r="245" spans="20:21" x14ac:dyDescent="0.25">
      <c r="T245" s="9">
        <f>IF(C245&lt;&gt;0,C245-Gear!$C$7,0)</f>
        <v>0</v>
      </c>
      <c r="U245" s="9">
        <f>IF(C245&lt;&gt;0,C245-Gear!$C$7,0)</f>
        <v>0</v>
      </c>
    </row>
    <row r="246" spans="20:21" x14ac:dyDescent="0.25">
      <c r="T246" s="9">
        <f>IF(C246&lt;&gt;0,C246-Gear!$C$7,0)</f>
        <v>0</v>
      </c>
      <c r="U246" s="9">
        <f>IF(C246&lt;&gt;0,C246-Gear!$C$7,0)</f>
        <v>0</v>
      </c>
    </row>
    <row r="247" spans="20:21" x14ac:dyDescent="0.25">
      <c r="T247" s="9">
        <f>IF(C247&lt;&gt;0,C247-Gear!$C$7,0)</f>
        <v>0</v>
      </c>
      <c r="U247" s="9">
        <f>IF(C247&lt;&gt;0,C247-Gear!$C$7,0)</f>
        <v>0</v>
      </c>
    </row>
    <row r="248" spans="20:21" x14ac:dyDescent="0.25">
      <c r="T248" s="9">
        <f>IF(C248&lt;&gt;0,C248-Gear!$C$7,0)</f>
        <v>0</v>
      </c>
      <c r="U248" s="9">
        <f>IF(C248&lt;&gt;0,C248-Gear!$C$7,0)</f>
        <v>0</v>
      </c>
    </row>
    <row r="249" spans="20:21" x14ac:dyDescent="0.25">
      <c r="T249" s="9">
        <f>IF(C249&lt;&gt;0,C249-Gear!$C$7,0)</f>
        <v>0</v>
      </c>
      <c r="U249" s="9">
        <f>IF(C249&lt;&gt;0,C249-Gear!$C$7,0)</f>
        <v>0</v>
      </c>
    </row>
    <row r="250" spans="20:21" x14ac:dyDescent="0.25">
      <c r="T250" s="9">
        <f>IF(C250&lt;&gt;0,C250-Gear!$C$7,0)</f>
        <v>0</v>
      </c>
      <c r="U250" s="9">
        <f>IF(C250&lt;&gt;0,C250-Gear!$C$7,0)</f>
        <v>0</v>
      </c>
    </row>
    <row r="251" spans="20:21" x14ac:dyDescent="0.25">
      <c r="T251" s="9">
        <f>IF(C251&lt;&gt;0,C251-Gear!$C$7,0)</f>
        <v>0</v>
      </c>
      <c r="U251" s="9">
        <f>IF(C251&lt;&gt;0,C251-Gear!$C$7,0)</f>
        <v>0</v>
      </c>
    </row>
    <row r="252" spans="20:21" x14ac:dyDescent="0.25">
      <c r="T252" s="9">
        <f>IF(C252&lt;&gt;0,C252-Gear!$C$7,0)</f>
        <v>0</v>
      </c>
      <c r="U252" s="9">
        <f>IF(C252&lt;&gt;0,C252-Gear!$C$7,0)</f>
        <v>0</v>
      </c>
    </row>
    <row r="253" spans="20:21" x14ac:dyDescent="0.25">
      <c r="T253" s="9">
        <f>IF(C253&lt;&gt;0,C253-Gear!$C$7,0)</f>
        <v>0</v>
      </c>
      <c r="U253" s="9">
        <f>IF(C253&lt;&gt;0,C253-Gear!$C$7,0)</f>
        <v>0</v>
      </c>
    </row>
    <row r="254" spans="20:21" x14ac:dyDescent="0.25">
      <c r="T254" s="9">
        <f>IF(C254&lt;&gt;0,C254-Gear!$C$7,0)</f>
        <v>0</v>
      </c>
      <c r="U254" s="9">
        <f>IF(C254&lt;&gt;0,C254-Gear!$C$7,0)</f>
        <v>0</v>
      </c>
    </row>
    <row r="255" spans="20:21" x14ac:dyDescent="0.25">
      <c r="T255" s="9">
        <f>IF(C255&lt;&gt;0,C255-Gear!$C$7,0)</f>
        <v>0</v>
      </c>
      <c r="U255" s="9">
        <f>IF(C255&lt;&gt;0,C255-Gear!$C$7,0)</f>
        <v>0</v>
      </c>
    </row>
    <row r="256" spans="20:21" x14ac:dyDescent="0.25">
      <c r="T256" s="9">
        <f>IF(C256&lt;&gt;0,C256-Gear!$C$7,0)</f>
        <v>0</v>
      </c>
      <c r="U256" s="9">
        <f>IF(C256&lt;&gt;0,C256-Gear!$C$7,0)</f>
        <v>0</v>
      </c>
    </row>
    <row r="257" spans="20:21" x14ac:dyDescent="0.25">
      <c r="T257" s="9">
        <f>IF(C257&lt;&gt;0,C257-Gear!$C$7,0)</f>
        <v>0</v>
      </c>
      <c r="U257" s="9">
        <f>IF(C257&lt;&gt;0,C257-Gear!$C$7,0)</f>
        <v>0</v>
      </c>
    </row>
    <row r="258" spans="20:21" x14ac:dyDescent="0.25">
      <c r="T258" s="9">
        <f>IF(C258&lt;&gt;0,C258-Gear!$C$7,0)</f>
        <v>0</v>
      </c>
      <c r="U258" s="9">
        <f>IF(C258&lt;&gt;0,C258-Gear!$C$7,0)</f>
        <v>0</v>
      </c>
    </row>
    <row r="259" spans="20:21" x14ac:dyDescent="0.25">
      <c r="T259" s="9">
        <f>IF(C259&lt;&gt;0,C259-Gear!$C$7,0)</f>
        <v>0</v>
      </c>
      <c r="U259" s="9">
        <f>IF(C259&lt;&gt;0,C259-Gear!$C$7,0)</f>
        <v>0</v>
      </c>
    </row>
    <row r="260" spans="20:21" x14ac:dyDescent="0.25">
      <c r="T260" s="9">
        <f>IF(C260&lt;&gt;0,C260-Gear!$C$7,0)</f>
        <v>0</v>
      </c>
      <c r="U260" s="9">
        <f>IF(C260&lt;&gt;0,C260-Gear!$C$7,0)</f>
        <v>0</v>
      </c>
    </row>
    <row r="261" spans="20:21" x14ac:dyDescent="0.25">
      <c r="T261" s="9">
        <f>IF(C261&lt;&gt;0,C261-Gear!$C$7,0)</f>
        <v>0</v>
      </c>
      <c r="U261" s="9">
        <f>IF(C261&lt;&gt;0,C261-Gear!$C$7,0)</f>
        <v>0</v>
      </c>
    </row>
    <row r="262" spans="20:21" x14ac:dyDescent="0.25">
      <c r="T262" s="9">
        <f>IF(C262&lt;&gt;0,C262-Gear!$C$7,0)</f>
        <v>0</v>
      </c>
      <c r="U262" s="9">
        <f>IF(C262&lt;&gt;0,C262-Gear!$C$7,0)</f>
        <v>0</v>
      </c>
    </row>
    <row r="263" spans="20:21" x14ac:dyDescent="0.25">
      <c r="T263" s="9">
        <f>IF(C263&lt;&gt;0,C263-Gear!$C$7,0)</f>
        <v>0</v>
      </c>
      <c r="U263" s="9">
        <f>IF(C263&lt;&gt;0,C263-Gear!$C$7,0)</f>
        <v>0</v>
      </c>
    </row>
    <row r="264" spans="20:21" x14ac:dyDescent="0.25">
      <c r="T264" s="9">
        <f>IF(C264&lt;&gt;0,C264-Gear!$C$7,0)</f>
        <v>0</v>
      </c>
      <c r="U264" s="9">
        <f>IF(C264&lt;&gt;0,C264-Gear!$C$7,0)</f>
        <v>0</v>
      </c>
    </row>
    <row r="265" spans="20:21" x14ac:dyDescent="0.25">
      <c r="T265" s="9">
        <f>IF(C265&lt;&gt;0,C265-Gear!$C$7,0)</f>
        <v>0</v>
      </c>
      <c r="U265" s="9">
        <f>IF(C265&lt;&gt;0,C265-Gear!$C$7,0)</f>
        <v>0</v>
      </c>
    </row>
    <row r="266" spans="20:21" x14ac:dyDescent="0.25">
      <c r="T266" s="9">
        <f>IF(C266&lt;&gt;0,C266-Gear!$C$7,0)</f>
        <v>0</v>
      </c>
      <c r="U266" s="9">
        <f>IF(C266&lt;&gt;0,C266-Gear!$C$7,0)</f>
        <v>0</v>
      </c>
    </row>
    <row r="267" spans="20:21" x14ac:dyDescent="0.25">
      <c r="T267" s="9">
        <f>IF(C267&lt;&gt;0,C267-Gear!$C$7,0)</f>
        <v>0</v>
      </c>
      <c r="U267" s="9">
        <f>IF(C267&lt;&gt;0,C267-Gear!$C$7,0)</f>
        <v>0</v>
      </c>
    </row>
    <row r="268" spans="20:21" x14ac:dyDescent="0.25">
      <c r="T268" s="9">
        <f>IF(C268&lt;&gt;0,C268-Gear!$C$7,0)</f>
        <v>0</v>
      </c>
      <c r="U268" s="9">
        <f>IF(C268&lt;&gt;0,C268-Gear!$C$7,0)</f>
        <v>0</v>
      </c>
    </row>
    <row r="269" spans="20:21" x14ac:dyDescent="0.25">
      <c r="T269" s="9">
        <f>IF(C269&lt;&gt;0,C269-Gear!$C$7,0)</f>
        <v>0</v>
      </c>
      <c r="U269" s="9">
        <f>IF(C269&lt;&gt;0,C269-Gear!$C$7,0)</f>
        <v>0</v>
      </c>
    </row>
    <row r="270" spans="20:21" x14ac:dyDescent="0.25">
      <c r="T270" s="9">
        <f>IF(C270&lt;&gt;0,C270-Gear!$C$7,0)</f>
        <v>0</v>
      </c>
      <c r="U270" s="9">
        <f>IF(C270&lt;&gt;0,C270-Gear!$C$7,0)</f>
        <v>0</v>
      </c>
    </row>
    <row r="271" spans="20:21" x14ac:dyDescent="0.25">
      <c r="T271" s="9">
        <f>IF(C271&lt;&gt;0,C271-Gear!$C$7,0)</f>
        <v>0</v>
      </c>
      <c r="U271" s="9">
        <f>IF(C271&lt;&gt;0,C271-Gear!$C$7,0)</f>
        <v>0</v>
      </c>
    </row>
    <row r="272" spans="20:21" x14ac:dyDescent="0.25">
      <c r="T272" s="9">
        <f>IF(C272&lt;&gt;0,C272-Gear!$C$7,0)</f>
        <v>0</v>
      </c>
      <c r="U272" s="9">
        <f>IF(C272&lt;&gt;0,C272-Gear!$C$7,0)</f>
        <v>0</v>
      </c>
    </row>
    <row r="273" spans="20:21" x14ac:dyDescent="0.25">
      <c r="T273" s="9">
        <f>IF(C273&lt;&gt;0,C273-Gear!$C$7,0)</f>
        <v>0</v>
      </c>
      <c r="U273" s="9">
        <f>IF(C273&lt;&gt;0,C273-Gear!$C$7,0)</f>
        <v>0</v>
      </c>
    </row>
    <row r="274" spans="20:21" x14ac:dyDescent="0.25">
      <c r="T274" s="9">
        <f>IF(C274&lt;&gt;0,C274-Gear!$C$7,0)</f>
        <v>0</v>
      </c>
      <c r="U274" s="9">
        <f>IF(C274&lt;&gt;0,C274-Gear!$C$7,0)</f>
        <v>0</v>
      </c>
    </row>
    <row r="275" spans="20:21" x14ac:dyDescent="0.25">
      <c r="T275" s="9">
        <f>IF(C275&lt;&gt;0,C275-Gear!$C$7,0)</f>
        <v>0</v>
      </c>
      <c r="U275" s="9">
        <f>IF(C275&lt;&gt;0,C275-Gear!$C$7,0)</f>
        <v>0</v>
      </c>
    </row>
    <row r="276" spans="20:21" x14ac:dyDescent="0.25">
      <c r="T276" s="9">
        <f>IF(C276&lt;&gt;0,C276-Gear!$C$7,0)</f>
        <v>0</v>
      </c>
      <c r="U276" s="9">
        <f>IF(C276&lt;&gt;0,C276-Gear!$C$7,0)</f>
        <v>0</v>
      </c>
    </row>
    <row r="277" spans="20:21" x14ac:dyDescent="0.25">
      <c r="T277" s="9">
        <f>IF(C277&lt;&gt;0,C277-Gear!$C$7,0)</f>
        <v>0</v>
      </c>
      <c r="U277" s="9">
        <f>IF(C277&lt;&gt;0,C277-Gear!$C$7,0)</f>
        <v>0</v>
      </c>
    </row>
    <row r="278" spans="20:21" x14ac:dyDescent="0.25">
      <c r="T278" s="9">
        <f>IF(C278&lt;&gt;0,C278-Gear!$C$7,0)</f>
        <v>0</v>
      </c>
      <c r="U278" s="9">
        <f>IF(C278&lt;&gt;0,C278-Gear!$C$7,0)</f>
        <v>0</v>
      </c>
    </row>
    <row r="279" spans="20:21" x14ac:dyDescent="0.25">
      <c r="T279" s="9">
        <f>IF(C279&lt;&gt;0,C279-Gear!$C$7,0)</f>
        <v>0</v>
      </c>
      <c r="U279" s="9">
        <f>IF(C279&lt;&gt;0,C279-Gear!$C$7,0)</f>
        <v>0</v>
      </c>
    </row>
    <row r="280" spans="20:21" x14ac:dyDescent="0.25">
      <c r="T280" s="9">
        <f>IF(C280&lt;&gt;0,C280-Gear!$C$7,0)</f>
        <v>0</v>
      </c>
      <c r="U280" s="9">
        <f>IF(C280&lt;&gt;0,C280-Gear!$C$7,0)</f>
        <v>0</v>
      </c>
    </row>
    <row r="281" spans="20:21" x14ac:dyDescent="0.25">
      <c r="T281" s="9">
        <f>IF(C281&lt;&gt;0,C281-Gear!$C$7,0)</f>
        <v>0</v>
      </c>
      <c r="U281" s="9">
        <f>IF(C281&lt;&gt;0,C281-Gear!$C$7,0)</f>
        <v>0</v>
      </c>
    </row>
    <row r="282" spans="20:21" x14ac:dyDescent="0.25">
      <c r="T282" s="9">
        <f>IF(C282&lt;&gt;0,C282-Gear!$C$7,0)</f>
        <v>0</v>
      </c>
      <c r="U282" s="9">
        <f>IF(C282&lt;&gt;0,C282-Gear!$C$7,0)</f>
        <v>0</v>
      </c>
    </row>
    <row r="283" spans="20:21" x14ac:dyDescent="0.25">
      <c r="T283" s="9">
        <f>IF(C283&lt;&gt;0,C283-Gear!$C$7,0)</f>
        <v>0</v>
      </c>
      <c r="U283" s="9">
        <f>IF(C283&lt;&gt;0,C283-Gear!$C$7,0)</f>
        <v>0</v>
      </c>
    </row>
    <row r="284" spans="20:21" x14ac:dyDescent="0.25">
      <c r="T284" s="9">
        <f>IF(C284&lt;&gt;0,C284-Gear!$C$7,0)</f>
        <v>0</v>
      </c>
      <c r="U284" s="9">
        <f>IF(C284&lt;&gt;0,C284-Gear!$C$7,0)</f>
        <v>0</v>
      </c>
    </row>
    <row r="285" spans="20:21" x14ac:dyDescent="0.25">
      <c r="T285" s="9">
        <f>IF(C285&lt;&gt;0,C285-Gear!$C$7,0)</f>
        <v>0</v>
      </c>
      <c r="U285" s="9">
        <f>IF(C285&lt;&gt;0,C285-Gear!$C$7,0)</f>
        <v>0</v>
      </c>
    </row>
    <row r="286" spans="20:21" x14ac:dyDescent="0.25">
      <c r="T286" s="9">
        <f>IF(C286&lt;&gt;0,C286-Gear!$C$7,0)</f>
        <v>0</v>
      </c>
      <c r="U286" s="9">
        <f>IF(C286&lt;&gt;0,C286-Gear!$C$7,0)</f>
        <v>0</v>
      </c>
    </row>
    <row r="287" spans="20:21" x14ac:dyDescent="0.25">
      <c r="T287" s="9">
        <f>IF(C287&lt;&gt;0,C287-Gear!$C$7,0)</f>
        <v>0</v>
      </c>
      <c r="U287" s="9">
        <f>IF(C287&lt;&gt;0,C287-Gear!$C$7,0)</f>
        <v>0</v>
      </c>
    </row>
    <row r="288" spans="20:21" x14ac:dyDescent="0.25">
      <c r="T288" s="9">
        <f>IF(C288&lt;&gt;0,C288-Gear!$C$7,0)</f>
        <v>0</v>
      </c>
      <c r="U288" s="9">
        <f>IF(C288&lt;&gt;0,C288-Gear!$C$7,0)</f>
        <v>0</v>
      </c>
    </row>
    <row r="289" spans="20:21" x14ac:dyDescent="0.25">
      <c r="T289" s="9">
        <f>IF(C289&lt;&gt;0,C289-Gear!$C$7,0)</f>
        <v>0</v>
      </c>
      <c r="U289" s="9">
        <f>IF(C289&lt;&gt;0,C289-Gear!$C$7,0)</f>
        <v>0</v>
      </c>
    </row>
    <row r="290" spans="20:21" x14ac:dyDescent="0.25">
      <c r="T290" s="9">
        <f>IF(C290&lt;&gt;0,C290-Gear!$C$7,0)</f>
        <v>0</v>
      </c>
      <c r="U290" s="9">
        <f>IF(C290&lt;&gt;0,C290-Gear!$C$7,0)</f>
        <v>0</v>
      </c>
    </row>
    <row r="291" spans="20:21" x14ac:dyDescent="0.25">
      <c r="T291" s="9">
        <f>IF(C291&lt;&gt;0,C291-Gear!$C$7,0)</f>
        <v>0</v>
      </c>
      <c r="U291" s="9">
        <f>IF(C291&lt;&gt;0,C291-Gear!$C$7,0)</f>
        <v>0</v>
      </c>
    </row>
    <row r="292" spans="20:21" x14ac:dyDescent="0.25">
      <c r="T292" s="9">
        <f>IF(C292&lt;&gt;0,C292-Gear!$C$7,0)</f>
        <v>0</v>
      </c>
      <c r="U292" s="9">
        <f>IF(C292&lt;&gt;0,C292-Gear!$C$7,0)</f>
        <v>0</v>
      </c>
    </row>
    <row r="293" spans="20:21" x14ac:dyDescent="0.25">
      <c r="T293" s="9">
        <f>IF(C293&lt;&gt;0,C293-Gear!$C$7,0)</f>
        <v>0</v>
      </c>
      <c r="U293" s="9">
        <f>IF(C293&lt;&gt;0,C293-Gear!$C$7,0)</f>
        <v>0</v>
      </c>
    </row>
    <row r="294" spans="20:21" x14ac:dyDescent="0.25">
      <c r="T294" s="9">
        <f>IF(C294&lt;&gt;0,C294-Gear!$C$7,0)</f>
        <v>0</v>
      </c>
      <c r="U294" s="9">
        <f>IF(C294&lt;&gt;0,C294-Gear!$C$7,0)</f>
        <v>0</v>
      </c>
    </row>
    <row r="295" spans="20:21" x14ac:dyDescent="0.25">
      <c r="T295" s="9">
        <f>IF(C295&lt;&gt;0,C295-Gear!$C$7,0)</f>
        <v>0</v>
      </c>
      <c r="U295" s="9">
        <f>IF(C295&lt;&gt;0,C295-Gear!$C$7,0)</f>
        <v>0</v>
      </c>
    </row>
    <row r="296" spans="20:21" x14ac:dyDescent="0.25">
      <c r="T296" s="9">
        <f>IF(C296&lt;&gt;0,C296-Gear!$C$7,0)</f>
        <v>0</v>
      </c>
      <c r="U296" s="9">
        <f>IF(C296&lt;&gt;0,C296-Gear!$C$7,0)</f>
        <v>0</v>
      </c>
    </row>
    <row r="297" spans="20:21" x14ac:dyDescent="0.25">
      <c r="T297" s="9">
        <f>IF(C297&lt;&gt;0,C297-Gear!$C$7,0)</f>
        <v>0</v>
      </c>
      <c r="U297" s="9">
        <f>IF(C297&lt;&gt;0,C297-Gear!$C$7,0)</f>
        <v>0</v>
      </c>
    </row>
    <row r="298" spans="20:21" x14ac:dyDescent="0.25">
      <c r="T298" s="9">
        <f>IF(C298&lt;&gt;0,C298-Gear!$C$7,0)</f>
        <v>0</v>
      </c>
      <c r="U298" s="9">
        <f>IF(C298&lt;&gt;0,C298-Gear!$C$7,0)</f>
        <v>0</v>
      </c>
    </row>
    <row r="299" spans="20:21" x14ac:dyDescent="0.25">
      <c r="T299" s="9">
        <f>IF(C299&lt;&gt;0,C299-Gear!$C$7,0)</f>
        <v>0</v>
      </c>
      <c r="U299" s="9">
        <f>IF(C299&lt;&gt;0,C299-Gear!$C$7,0)</f>
        <v>0</v>
      </c>
    </row>
    <row r="300" spans="20:21" x14ac:dyDescent="0.25">
      <c r="T300" s="9">
        <f>IF(C300&lt;&gt;0,C300-Gear!$C$7,0)</f>
        <v>0</v>
      </c>
      <c r="U300" s="9">
        <f>IF(C300&lt;&gt;0,C300-Gear!$C$7,0)</f>
        <v>0</v>
      </c>
    </row>
    <row r="301" spans="20:21" x14ac:dyDescent="0.25">
      <c r="T301" s="9">
        <f>IF(C301&lt;&gt;0,C301-Gear!$C$7,0)</f>
        <v>0</v>
      </c>
      <c r="U301" s="9">
        <f>IF(C301&lt;&gt;0,C301-Gear!$C$7,0)</f>
        <v>0</v>
      </c>
    </row>
    <row r="302" spans="20:21" x14ac:dyDescent="0.25">
      <c r="T302" s="9">
        <f>IF(C302&lt;&gt;0,C302-Gear!$C$7,0)</f>
        <v>0</v>
      </c>
      <c r="U302" s="9">
        <f>IF(C302&lt;&gt;0,C302-Gear!$C$7,0)</f>
        <v>0</v>
      </c>
    </row>
    <row r="303" spans="20:21" x14ac:dyDescent="0.25">
      <c r="T303" s="9">
        <f>IF(C303&lt;&gt;0,C303-Gear!$C$7,0)</f>
        <v>0</v>
      </c>
      <c r="U303" s="9">
        <f>IF(C303&lt;&gt;0,C303-Gear!$C$7,0)</f>
        <v>0</v>
      </c>
    </row>
    <row r="304" spans="20:21" x14ac:dyDescent="0.25">
      <c r="T304" s="9">
        <f>IF(C304&lt;&gt;0,C304-Gear!$C$7,0)</f>
        <v>0</v>
      </c>
      <c r="U304" s="9">
        <f>IF(C304&lt;&gt;0,C304-Gear!$C$7,0)</f>
        <v>0</v>
      </c>
    </row>
    <row r="305" spans="20:21" x14ac:dyDescent="0.25">
      <c r="T305" s="9">
        <f>IF(C305&lt;&gt;0,C305-Gear!$C$7,0)</f>
        <v>0</v>
      </c>
      <c r="U305" s="9">
        <f>IF(C305&lt;&gt;0,C305-Gear!$C$7,0)</f>
        <v>0</v>
      </c>
    </row>
    <row r="306" spans="20:21" x14ac:dyDescent="0.25">
      <c r="T306" s="9">
        <f>IF(C306&lt;&gt;0,C306-Gear!$C$7,0)</f>
        <v>0</v>
      </c>
      <c r="U306" s="9">
        <f>IF(C306&lt;&gt;0,C306-Gear!$C$7,0)</f>
        <v>0</v>
      </c>
    </row>
    <row r="307" spans="20:21" x14ac:dyDescent="0.25">
      <c r="T307" s="9">
        <f>IF(C307&lt;&gt;0,C307-Gear!$C$7,0)</f>
        <v>0</v>
      </c>
      <c r="U307" s="9">
        <f>IF(C307&lt;&gt;0,C307-Gear!$C$7,0)</f>
        <v>0</v>
      </c>
    </row>
    <row r="308" spans="20:21" x14ac:dyDescent="0.25">
      <c r="T308" s="9">
        <f>IF(C308&lt;&gt;0,C308-Gear!$C$7,0)</f>
        <v>0</v>
      </c>
      <c r="U308" s="9">
        <f>IF(C308&lt;&gt;0,C308-Gear!$C$7,0)</f>
        <v>0</v>
      </c>
    </row>
    <row r="309" spans="20:21" x14ac:dyDescent="0.25">
      <c r="T309" s="9">
        <f>IF(C309&lt;&gt;0,C309-Gear!$C$7,0)</f>
        <v>0</v>
      </c>
      <c r="U309" s="9">
        <f>IF(C309&lt;&gt;0,C309-Gear!$C$7,0)</f>
        <v>0</v>
      </c>
    </row>
    <row r="310" spans="20:21" x14ac:dyDescent="0.25">
      <c r="T310" s="9">
        <f>IF(C310&lt;&gt;0,C310-Gear!$C$7,0)</f>
        <v>0</v>
      </c>
      <c r="U310" s="9">
        <f>IF(C310&lt;&gt;0,C310-Gear!$C$7,0)</f>
        <v>0</v>
      </c>
    </row>
    <row r="311" spans="20:21" x14ac:dyDescent="0.25">
      <c r="T311" s="9">
        <f>IF(C311&lt;&gt;0,C311-Gear!$C$7,0)</f>
        <v>0</v>
      </c>
      <c r="U311" s="9">
        <f>IF(C311&lt;&gt;0,C311-Gear!$C$7,0)</f>
        <v>0</v>
      </c>
    </row>
    <row r="312" spans="20:21" x14ac:dyDescent="0.25">
      <c r="T312" s="9">
        <f>IF(C312&lt;&gt;0,C312-Gear!$C$7,0)</f>
        <v>0</v>
      </c>
      <c r="U312" s="9">
        <f>IF(C312&lt;&gt;0,C312-Gear!$C$7,0)</f>
        <v>0</v>
      </c>
    </row>
    <row r="313" spans="20:21" x14ac:dyDescent="0.25">
      <c r="T313" s="9">
        <f>IF(C313&lt;&gt;0,C313-Gear!$C$7,0)</f>
        <v>0</v>
      </c>
      <c r="U313" s="9">
        <f>IF(C313&lt;&gt;0,C313-Gear!$C$7,0)</f>
        <v>0</v>
      </c>
    </row>
    <row r="314" spans="20:21" x14ac:dyDescent="0.25">
      <c r="T314" s="9">
        <f>IF(C314&lt;&gt;0,C314-Gear!$C$7,0)</f>
        <v>0</v>
      </c>
    </row>
    <row r="315" spans="20:21" x14ac:dyDescent="0.25">
      <c r="T315" s="9">
        <f>IF(C315&lt;&gt;0,C315-Gear!$C$7,0)</f>
        <v>0</v>
      </c>
    </row>
    <row r="316" spans="20:21" x14ac:dyDescent="0.25">
      <c r="T316" s="9">
        <f>IF(C316&lt;&gt;0,C316-Gear!$C$7,0)</f>
        <v>0</v>
      </c>
    </row>
    <row r="317" spans="20:21" x14ac:dyDescent="0.25">
      <c r="T317" s="9">
        <f>IF(C317&lt;&gt;0,C317-Gear!$C$7,0)</f>
        <v>0</v>
      </c>
    </row>
    <row r="318" spans="20:21" x14ac:dyDescent="0.25">
      <c r="T318" s="9">
        <f>IF(C318&lt;&gt;0,C318-Gear!$C$7,0)</f>
        <v>0</v>
      </c>
    </row>
    <row r="319" spans="20:21" x14ac:dyDescent="0.25">
      <c r="T319" s="9">
        <f>IF(C319&lt;&gt;0,C319-Gear!$C$7,0)</f>
        <v>0</v>
      </c>
    </row>
    <row r="320" spans="20:21" x14ac:dyDescent="0.25">
      <c r="T320" s="9">
        <f>IF(C320&lt;&gt;0,C320-Gear!$C$7,0)</f>
        <v>0</v>
      </c>
    </row>
    <row r="321" spans="20:20" x14ac:dyDescent="0.25">
      <c r="T321" s="9">
        <f>IF(C321&lt;&gt;0,C321-Gear!$C$7,0)</f>
        <v>0</v>
      </c>
    </row>
  </sheetData>
  <conditionalFormatting sqref="U2:U400">
    <cfRule type="cellIs" dxfId="9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05D6E-52F0-4A41-8259-CE688103388C}">
  <sheetPr codeName="Tabelle11"/>
  <dimension ref="A1:U395"/>
  <sheetViews>
    <sheetView showGridLines="0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27.28515625" style="9" bestFit="1" customWidth="1"/>
    <col min="3" max="3" width="12" style="9" bestFit="1" customWidth="1"/>
    <col min="4" max="4" width="6.425781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  <col min="21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Database'!A27</f>
        <v>21585</v>
      </c>
      <c r="B2" s="9" t="str">
        <f>'Item Database'!B27</f>
        <v>Dark Storm Gauntlets</v>
      </c>
      <c r="C2" s="12">
        <f>'Item Database'!C27</f>
        <v>17.114687040807855</v>
      </c>
      <c r="D2" s="9" t="str">
        <f>'Item Database'!D27</f>
        <v>Hands</v>
      </c>
      <c r="E2" s="9">
        <f>'Item Database'!E27</f>
        <v>83</v>
      </c>
      <c r="F2" s="9">
        <f>'Item Database'!F27</f>
        <v>0</v>
      </c>
      <c r="G2" s="9">
        <f>'Item Database'!G27</f>
        <v>19</v>
      </c>
      <c r="H2" s="9">
        <f>'Item Database'!H27</f>
        <v>0</v>
      </c>
      <c r="I2" s="9">
        <f>'Item Database'!I27</f>
        <v>15</v>
      </c>
      <c r="J2" s="9">
        <f>'Item Database'!J27</f>
        <v>0</v>
      </c>
      <c r="K2" s="9">
        <f>'Item Database'!K27</f>
        <v>37</v>
      </c>
      <c r="L2" s="35">
        <f>'Item Database'!L27</f>
        <v>0</v>
      </c>
      <c r="M2" s="35">
        <f>'Item Database'!M27</f>
        <v>0.01</v>
      </c>
      <c r="N2" s="9">
        <f>'Item Database'!N27</f>
        <v>0</v>
      </c>
      <c r="O2" s="9">
        <f>'Item Database'!O27</f>
        <v>0</v>
      </c>
      <c r="P2" s="9">
        <f>'Item Database'!P27</f>
        <v>0</v>
      </c>
      <c r="Q2" s="9">
        <f>'Item Database'!Q27</f>
        <v>0</v>
      </c>
      <c r="R2" s="9">
        <f>'Item Database'!R27</f>
        <v>0</v>
      </c>
      <c r="S2" s="9">
        <f>'Item Database'!S27</f>
        <v>0</v>
      </c>
      <c r="T2" s="53" t="str">
        <f>HYPERLINK('Item Database'!T27)</f>
        <v>https://classic.wowhead.com/item=21585</v>
      </c>
      <c r="U2" s="9">
        <f>IF(C2&lt;&gt;0,C2-Gear!$C$8,0)</f>
        <v>17.114687040807855</v>
      </c>
    </row>
    <row r="3" spans="1:21" x14ac:dyDescent="0.25">
      <c r="A3" s="9">
        <f>'Item Database'!A56</f>
        <v>22501</v>
      </c>
      <c r="B3" s="9" t="str">
        <f>'Item Database'!B56</f>
        <v>Frostfire Gloves</v>
      </c>
      <c r="C3" s="12">
        <f>'Item Database'!C56</f>
        <v>13.707027878750058</v>
      </c>
      <c r="D3" s="9" t="str">
        <f>'Item Database'!D56</f>
        <v>Hands</v>
      </c>
      <c r="E3" s="9">
        <f>'Item Database'!E56</f>
        <v>83</v>
      </c>
      <c r="F3" s="9">
        <f>'Item Database'!F56</f>
        <v>0</v>
      </c>
      <c r="G3" s="9">
        <f>'Item Database'!G56</f>
        <v>17</v>
      </c>
      <c r="H3" s="9">
        <f>'Item Database'!H56</f>
        <v>0</v>
      </c>
      <c r="I3" s="9">
        <f>'Item Database'!I56</f>
        <v>19</v>
      </c>
      <c r="J3" s="9">
        <f>'Item Database'!J56</f>
        <v>10</v>
      </c>
      <c r="K3" s="9">
        <f>'Item Database'!K56</f>
        <v>36</v>
      </c>
      <c r="L3" s="35">
        <f>'Item Database'!L56</f>
        <v>0</v>
      </c>
      <c r="M3" s="35">
        <f>'Item Database'!M56</f>
        <v>0</v>
      </c>
      <c r="N3" s="9">
        <f>'Item Database'!N56</f>
        <v>0</v>
      </c>
      <c r="O3" s="9">
        <f>'Item Database'!O56</f>
        <v>0</v>
      </c>
      <c r="P3" s="9">
        <f>'Item Database'!P56</f>
        <v>0</v>
      </c>
      <c r="Q3" s="9">
        <f>'Item Database'!Q56</f>
        <v>0</v>
      </c>
      <c r="R3" s="9">
        <f>'Item Database'!R56</f>
        <v>0</v>
      </c>
      <c r="S3" s="9">
        <f>'Item Database'!S56</f>
        <v>0</v>
      </c>
      <c r="T3" s="53" t="str">
        <f>HYPERLINK('Item Database'!T56)</f>
        <v>https://classic.wowhead.com/item=22501</v>
      </c>
      <c r="U3" s="9">
        <f>IF(C3&lt;&gt;0,C3-Gear!$C$8,0)</f>
        <v>13.707027878750058</v>
      </c>
    </row>
    <row r="4" spans="1:21" x14ac:dyDescent="0.25">
      <c r="A4" s="9">
        <f>'Item Database'!A87</f>
        <v>21471</v>
      </c>
      <c r="B4" s="9" t="str">
        <f>'Item Database'!B87</f>
        <v>Talon of Furious Concentration</v>
      </c>
      <c r="C4" s="12">
        <f>'Item Database'!C87</f>
        <v>10.319415511991595</v>
      </c>
      <c r="D4" s="9" t="str">
        <f>'Item Database'!D87</f>
        <v>Offhand</v>
      </c>
      <c r="E4" s="9">
        <f>'Item Database'!E87</f>
        <v>0</v>
      </c>
      <c r="F4" s="9">
        <f>'Item Database'!F87</f>
        <v>0</v>
      </c>
      <c r="G4" s="9">
        <f>'Item Database'!G87</f>
        <v>8</v>
      </c>
      <c r="H4" s="9">
        <f>'Item Database'!H87</f>
        <v>0</v>
      </c>
      <c r="I4" s="9">
        <f>'Item Database'!I87</f>
        <v>8</v>
      </c>
      <c r="J4" s="9">
        <f>'Item Database'!J87</f>
        <v>0</v>
      </c>
      <c r="K4" s="9">
        <f>'Item Database'!K87</f>
        <v>21</v>
      </c>
      <c r="L4" s="35">
        <f>'Item Database'!L87</f>
        <v>0.01</v>
      </c>
      <c r="M4" s="35">
        <f>'Item Database'!M87</f>
        <v>0</v>
      </c>
      <c r="N4" s="9">
        <f>'Item Database'!N87</f>
        <v>0</v>
      </c>
      <c r="O4" s="9">
        <f>'Item Database'!O87</f>
        <v>0</v>
      </c>
      <c r="P4" s="9">
        <f>'Item Database'!P87</f>
        <v>0</v>
      </c>
      <c r="Q4" s="9">
        <f>'Item Database'!Q87</f>
        <v>0</v>
      </c>
      <c r="R4" s="9">
        <f>'Item Database'!R87</f>
        <v>0</v>
      </c>
      <c r="S4" s="9">
        <f>'Item Database'!S87</f>
        <v>0</v>
      </c>
      <c r="T4" s="53" t="str">
        <f>HYPERLINK('Item Database'!T87)</f>
        <v>https://classic.wowhead.com/item=21471</v>
      </c>
      <c r="U4" s="9">
        <f>IF(C4&lt;&gt;0,C4-Gear!$C$8,0)</f>
        <v>10.319415511991595</v>
      </c>
    </row>
    <row r="5" spans="1:21" x14ac:dyDescent="0.25">
      <c r="A5" s="24">
        <f>'Item Database'!A102</f>
        <v>12930</v>
      </c>
      <c r="B5" s="9" t="str">
        <f>'Item Database'!B102</f>
        <v>Briarwood Reed</v>
      </c>
      <c r="C5" s="12">
        <f>'Item Database'!C102</f>
        <v>10.411378200662663</v>
      </c>
      <c r="D5" s="9" t="str">
        <f>'Item Database'!D102</f>
        <v>Trinket</v>
      </c>
      <c r="E5" s="9">
        <f>'Item Database'!E102</f>
        <v>0</v>
      </c>
      <c r="F5" s="9">
        <f>'Item Database'!F102</f>
        <v>0</v>
      </c>
      <c r="G5" s="9">
        <f>'Item Database'!G102</f>
        <v>0</v>
      </c>
      <c r="H5" s="9">
        <f>'Item Database'!H102</f>
        <v>0</v>
      </c>
      <c r="I5" s="9">
        <f>'Item Database'!I102</f>
        <v>0</v>
      </c>
      <c r="J5" s="9">
        <f>'Item Database'!J102</f>
        <v>0</v>
      </c>
      <c r="K5" s="9">
        <f>'Item Database'!K102</f>
        <v>29</v>
      </c>
      <c r="L5" s="35">
        <f>'Item Database'!L102</f>
        <v>0</v>
      </c>
      <c r="M5" s="35">
        <f>'Item Database'!M102</f>
        <v>0</v>
      </c>
      <c r="N5" s="9">
        <f>'Item Database'!N102</f>
        <v>0</v>
      </c>
      <c r="O5" s="9">
        <f>'Item Database'!O102</f>
        <v>0</v>
      </c>
      <c r="P5" s="9">
        <f>'Item Database'!P102</f>
        <v>0</v>
      </c>
      <c r="Q5" s="9">
        <f>'Item Database'!Q102</f>
        <v>0</v>
      </c>
      <c r="R5" s="9">
        <f>'Item Database'!R102</f>
        <v>0</v>
      </c>
      <c r="S5" s="9">
        <f>'Item Database'!S102</f>
        <v>0</v>
      </c>
      <c r="T5" s="53" t="str">
        <f>HYPERLINK('Item Database'!T102)</f>
        <v>https://classic.wowhead.com/item=12930</v>
      </c>
      <c r="U5" s="9">
        <f>IF(C5&lt;&gt;0,C5-Gear!$C$8,0)</f>
        <v>10.411378200662663</v>
      </c>
    </row>
    <row r="6" spans="1:21" x14ac:dyDescent="0.25">
      <c r="A6" s="9">
        <f>'Item Database'!A105</f>
        <v>16444</v>
      </c>
      <c r="B6" s="9" t="str">
        <f>'Item Database'!B105</f>
        <v>Field Marshal's Silk Spaulders</v>
      </c>
      <c r="C6" s="12">
        <f>'Item Database'!C105</f>
        <v>9.593135288953178</v>
      </c>
      <c r="D6" s="9" t="str">
        <f>'Item Database'!D105</f>
        <v>Shoulder</v>
      </c>
      <c r="E6" s="9">
        <f>'Item Database'!E105</f>
        <v>135</v>
      </c>
      <c r="F6" s="9">
        <f>'Item Database'!F105</f>
        <v>0</v>
      </c>
      <c r="G6" s="9">
        <f>'Item Database'!G105</f>
        <v>21</v>
      </c>
      <c r="H6" s="9">
        <f>'Item Database'!H105</f>
        <v>0</v>
      </c>
      <c r="I6" s="9">
        <f>'Item Database'!I105</f>
        <v>15</v>
      </c>
      <c r="J6" s="9">
        <f>'Item Database'!J105</f>
        <v>5</v>
      </c>
      <c r="K6" s="9">
        <f>'Item Database'!K105</f>
        <v>25</v>
      </c>
      <c r="L6" s="35">
        <f>'Item Database'!L105</f>
        <v>0</v>
      </c>
      <c r="M6" s="35">
        <f>'Item Database'!M105</f>
        <v>0</v>
      </c>
      <c r="N6" s="9">
        <f>'Item Database'!N105</f>
        <v>0</v>
      </c>
      <c r="O6" s="9">
        <f>'Item Database'!O105</f>
        <v>0</v>
      </c>
      <c r="P6" s="9">
        <f>'Item Database'!P105</f>
        <v>0</v>
      </c>
      <c r="Q6" s="9">
        <f>'Item Database'!Q105</f>
        <v>0</v>
      </c>
      <c r="R6" s="9">
        <f>'Item Database'!R105</f>
        <v>0</v>
      </c>
      <c r="S6" s="9">
        <f>'Item Database'!S105</f>
        <v>0</v>
      </c>
      <c r="T6" s="53" t="str">
        <f>HYPERLINK('Item Database'!T105)</f>
        <v>https://classic.wowhead.com/item=16444</v>
      </c>
      <c r="U6" s="9">
        <f>IF(C6&lt;&gt;0,C6-Gear!$C$8,0)</f>
        <v>9.593135288953178</v>
      </c>
    </row>
    <row r="7" spans="1:21" x14ac:dyDescent="0.25">
      <c r="A7" s="24">
        <f>'Item Database'!A133</f>
        <v>19923</v>
      </c>
      <c r="B7" s="9" t="str">
        <f>'Item Database'!B133</f>
        <v>Jeklik's Opaline Talisman</v>
      </c>
      <c r="C7" s="12">
        <f>'Item Database'!C133</f>
        <v>7.8982869108475375</v>
      </c>
      <c r="D7" s="9" t="str">
        <f>'Item Database'!D133</f>
        <v>Neck</v>
      </c>
      <c r="E7" s="9">
        <f>'Item Database'!E133</f>
        <v>0</v>
      </c>
      <c r="F7" s="9">
        <f>'Item Database'!F133</f>
        <v>0</v>
      </c>
      <c r="G7" s="9">
        <f>'Item Database'!G133</f>
        <v>0</v>
      </c>
      <c r="H7" s="9">
        <f>'Item Database'!H133</f>
        <v>0</v>
      </c>
      <c r="I7" s="9">
        <f>'Item Database'!I133</f>
        <v>0</v>
      </c>
      <c r="J7" s="9">
        <f>'Item Database'!J133</f>
        <v>0</v>
      </c>
      <c r="K7" s="9">
        <f>'Item Database'!K133</f>
        <v>22</v>
      </c>
      <c r="L7" s="35">
        <f>'Item Database'!L133</f>
        <v>0</v>
      </c>
      <c r="M7" s="35">
        <f>'Item Database'!M133</f>
        <v>0</v>
      </c>
      <c r="N7" s="9">
        <f>'Item Database'!N133</f>
        <v>3</v>
      </c>
      <c r="O7" s="9">
        <f>'Item Database'!O133</f>
        <v>0</v>
      </c>
      <c r="P7" s="9">
        <f>'Item Database'!P133</f>
        <v>0</v>
      </c>
      <c r="Q7" s="9">
        <f>'Item Database'!Q133</f>
        <v>0</v>
      </c>
      <c r="R7" s="9">
        <f>'Item Database'!R133</f>
        <v>0</v>
      </c>
      <c r="S7" s="9">
        <f>'Item Database'!S133</f>
        <v>0</v>
      </c>
      <c r="T7" s="53" t="str">
        <f>HYPERLINK('Item Database'!T133)</f>
        <v>https://classic.wowhead.com/item=19923</v>
      </c>
      <c r="U7" s="9">
        <f>IF(C7&lt;&gt;0,C7-Gear!$C$8,0)</f>
        <v>7.8982869108475375</v>
      </c>
    </row>
    <row r="8" spans="1:21" x14ac:dyDescent="0.25">
      <c r="A8" s="9">
        <f>'Item Database'!A151</f>
        <v>22256</v>
      </c>
      <c r="B8" s="9" t="str">
        <f>'Item Database'!B151</f>
        <v>Mana Shaping Handwraps</v>
      </c>
      <c r="C8" s="12">
        <f>'Item Database'!C151</f>
        <v>6.1972687819606227</v>
      </c>
      <c r="D8" s="9" t="str">
        <f>'Item Database'!D151</f>
        <v>Hands</v>
      </c>
      <c r="E8" s="9">
        <f>'Item Database'!E151</f>
        <v>51</v>
      </c>
      <c r="F8" s="9">
        <f>'Item Database'!F151</f>
        <v>0</v>
      </c>
      <c r="G8" s="9">
        <f>'Item Database'!G151</f>
        <v>9</v>
      </c>
      <c r="H8" s="9">
        <f>'Item Database'!H151</f>
        <v>0</v>
      </c>
      <c r="I8" s="9">
        <f>'Item Database'!I151</f>
        <v>11</v>
      </c>
      <c r="J8" s="9">
        <f>'Item Database'!J151</f>
        <v>7</v>
      </c>
      <c r="K8" s="9">
        <f>'Item Database'!K151</f>
        <v>16</v>
      </c>
      <c r="L8" s="35">
        <f>'Item Database'!L151</f>
        <v>0</v>
      </c>
      <c r="M8" s="35">
        <f>'Item Database'!M151</f>
        <v>0</v>
      </c>
      <c r="N8" s="9">
        <f>'Item Database'!N151</f>
        <v>0</v>
      </c>
      <c r="O8" s="9">
        <f>'Item Database'!O151</f>
        <v>0</v>
      </c>
      <c r="P8" s="9">
        <f>'Item Database'!P151</f>
        <v>0</v>
      </c>
      <c r="Q8" s="9">
        <f>'Item Database'!Q151</f>
        <v>0</v>
      </c>
      <c r="R8" s="9">
        <f>'Item Database'!R151</f>
        <v>0</v>
      </c>
      <c r="S8" s="9">
        <f>'Item Database'!S151</f>
        <v>0</v>
      </c>
      <c r="T8" s="53" t="str">
        <f>HYPERLINK('Item Database'!T151)</f>
        <v>https://classic.wowhead.com/item=22256</v>
      </c>
      <c r="U8" s="9">
        <f>IF(C8&lt;&gt;0,C8-Gear!$C$8,0)</f>
        <v>6.1972687819606227</v>
      </c>
    </row>
    <row r="9" spans="1:21" x14ac:dyDescent="0.25">
      <c r="A9" s="24">
        <f>'Item Database'!A156</f>
        <v>22231</v>
      </c>
      <c r="B9" s="9" t="str">
        <f>'Item Database'!B156</f>
        <v>Kayser's Boots of Precision</v>
      </c>
      <c r="C9" s="12">
        <f>'Item Database'!C156</f>
        <v>3.9547663597077376</v>
      </c>
      <c r="D9" s="9" t="str">
        <f>'Item Database'!D156</f>
        <v>Feet</v>
      </c>
      <c r="E9" s="9">
        <f>'Item Database'!E156</f>
        <v>60</v>
      </c>
      <c r="F9" s="9">
        <f>'Item Database'!F156</f>
        <v>0</v>
      </c>
      <c r="G9" s="9">
        <f>'Item Database'!G156</f>
        <v>11</v>
      </c>
      <c r="H9" s="9">
        <f>'Item Database'!H156</f>
        <v>0</v>
      </c>
      <c r="I9" s="9">
        <f>'Item Database'!I156</f>
        <v>18</v>
      </c>
      <c r="J9" s="9">
        <f>'Item Database'!J156</f>
        <v>0</v>
      </c>
      <c r="K9" s="9">
        <f>'Item Database'!K156</f>
        <v>0</v>
      </c>
      <c r="L9" s="35">
        <f>'Item Database'!L156</f>
        <v>0</v>
      </c>
      <c r="M9" s="35">
        <f>'Item Database'!M156</f>
        <v>0.01</v>
      </c>
      <c r="N9" s="9">
        <f>'Item Database'!N156</f>
        <v>0</v>
      </c>
      <c r="O9" s="9">
        <f>'Item Database'!O156</f>
        <v>0</v>
      </c>
      <c r="P9" s="9">
        <f>'Item Database'!P156</f>
        <v>0</v>
      </c>
      <c r="Q9" s="9">
        <f>'Item Database'!Q156</f>
        <v>0</v>
      </c>
      <c r="R9" s="9">
        <f>'Item Database'!R156</f>
        <v>0</v>
      </c>
      <c r="S9" s="9">
        <f>'Item Database'!S156</f>
        <v>0</v>
      </c>
      <c r="T9" s="53" t="str">
        <f>HYPERLINK('Item Database'!T156)</f>
        <v>https://classic.wowhead.com/item=22231</v>
      </c>
      <c r="U9" s="9">
        <f>IF(C9&lt;&gt;0,C9-Gear!$C$8,0)</f>
        <v>3.9547663597077376</v>
      </c>
    </row>
    <row r="10" spans="1:21" x14ac:dyDescent="0.25">
      <c r="A10" s="24">
        <f>'Item Database'!A181</f>
        <v>11750</v>
      </c>
      <c r="B10" s="9" t="str">
        <f>'Item Database'!B181</f>
        <v>Kindling Stave</v>
      </c>
      <c r="C10" s="12">
        <f>'Item Database'!C181</f>
        <v>2.9448907769193275</v>
      </c>
      <c r="D10" s="9" t="str">
        <f>'Item Database'!D181</f>
        <v>Two-Hand</v>
      </c>
      <c r="E10" s="9">
        <f>'Item Database'!E181</f>
        <v>0</v>
      </c>
      <c r="F10" s="9">
        <f>'Item Database'!F181</f>
        <v>0</v>
      </c>
      <c r="G10" s="9">
        <f>'Item Database'!G181</f>
        <v>10</v>
      </c>
      <c r="H10" s="9">
        <f>'Item Database'!H181</f>
        <v>0</v>
      </c>
      <c r="I10" s="9">
        <f>'Item Database'!I181</f>
        <v>12</v>
      </c>
      <c r="J10" s="9">
        <f>'Item Database'!J181</f>
        <v>13</v>
      </c>
      <c r="K10" s="9">
        <f>'Item Database'!K181</f>
        <v>0</v>
      </c>
      <c r="L10" s="35">
        <f>'Item Database'!L181</f>
        <v>0.01</v>
      </c>
      <c r="M10" s="35">
        <f>'Item Database'!M181</f>
        <v>0</v>
      </c>
      <c r="N10" s="9">
        <f>'Item Database'!N181</f>
        <v>0</v>
      </c>
      <c r="O10" s="9">
        <f>'Item Database'!O181</f>
        <v>10</v>
      </c>
      <c r="P10" s="9">
        <f>'Item Database'!P181</f>
        <v>0</v>
      </c>
      <c r="Q10" s="9">
        <f>'Item Database'!Q181</f>
        <v>0</v>
      </c>
      <c r="R10" s="9">
        <f>'Item Database'!R181</f>
        <v>0</v>
      </c>
      <c r="S10" s="9">
        <f>'Item Database'!S181</f>
        <v>0</v>
      </c>
      <c r="T10" s="53" t="str">
        <f>HYPERLINK('Item Database'!T181)</f>
        <v>https://classic.wowhead.com/item=11750</v>
      </c>
      <c r="U10" s="9">
        <f>IF(C10&lt;&gt;0,C10-Gear!$C$8,0)</f>
        <v>2.9448907769193275</v>
      </c>
    </row>
    <row r="11" spans="1:21" x14ac:dyDescent="0.25">
      <c r="A11" s="9">
        <f>'Item Database'!A184</f>
        <v>7685</v>
      </c>
      <c r="B11" s="9" t="str">
        <f>'Item Database'!B184</f>
        <v>Orb of the Forgotten Seer</v>
      </c>
      <c r="C11" s="12">
        <f>'Item Database'!C184</f>
        <v>4.3081564968259292</v>
      </c>
      <c r="D11" s="9" t="str">
        <f>'Item Database'!D184</f>
        <v>Offhand</v>
      </c>
      <c r="E11" s="9">
        <f>'Item Database'!E184</f>
        <v>0</v>
      </c>
      <c r="F11" s="9">
        <f>'Item Database'!F184</f>
        <v>0</v>
      </c>
      <c r="G11" s="9">
        <f>'Item Database'!G184</f>
        <v>0</v>
      </c>
      <c r="H11" s="9">
        <f>'Item Database'!H184</f>
        <v>0</v>
      </c>
      <c r="I11" s="9">
        <f>'Item Database'!I184</f>
        <v>0</v>
      </c>
      <c r="J11" s="9">
        <f>'Item Database'!J184</f>
        <v>0</v>
      </c>
      <c r="K11" s="9">
        <f>'Item Database'!K184</f>
        <v>12</v>
      </c>
      <c r="L11" s="35">
        <f>'Item Database'!L184</f>
        <v>0</v>
      </c>
      <c r="M11" s="35">
        <f>'Item Database'!M184</f>
        <v>0</v>
      </c>
      <c r="N11" s="9">
        <f>'Item Database'!N184</f>
        <v>0</v>
      </c>
      <c r="O11" s="9">
        <f>'Item Database'!O184</f>
        <v>0</v>
      </c>
      <c r="P11" s="9">
        <f>'Item Database'!P184</f>
        <v>0</v>
      </c>
      <c r="Q11" s="9">
        <f>'Item Database'!Q184</f>
        <v>0</v>
      </c>
      <c r="R11" s="9">
        <f>'Item Database'!R184</f>
        <v>0</v>
      </c>
      <c r="S11" s="9">
        <f>'Item Database'!S184</f>
        <v>0</v>
      </c>
      <c r="T11" s="53" t="str">
        <f>HYPERLINK('Item Database'!T184)</f>
        <v>https://classic.wowhead.com/item=7685</v>
      </c>
      <c r="U11" s="9">
        <f>IF(C11&lt;&gt;0,C11-Gear!$C$8,0)</f>
        <v>4.3081564968259292</v>
      </c>
    </row>
    <row r="12" spans="1:21" x14ac:dyDescent="0.25">
      <c r="A12" s="24">
        <f>'Item Database'!A198</f>
        <v>10787</v>
      </c>
      <c r="B12" s="9" t="str">
        <f>'Item Database'!B198</f>
        <v>Atal'ai Gloves</v>
      </c>
      <c r="C12" s="12">
        <f>'Item Database'!C198</f>
        <v>3.2311173726194471</v>
      </c>
      <c r="D12" s="9" t="str">
        <f>'Item Database'!D198</f>
        <v>Hands</v>
      </c>
      <c r="E12" s="9">
        <f>'Item Database'!E198</f>
        <v>47</v>
      </c>
      <c r="F12" s="9">
        <f>'Item Database'!F198</f>
        <v>0</v>
      </c>
      <c r="G12" s="9">
        <f>'Item Database'!G198</f>
        <v>0</v>
      </c>
      <c r="H12" s="9">
        <f>'Item Database'!H198</f>
        <v>0</v>
      </c>
      <c r="I12" s="9">
        <f>'Item Database'!I198</f>
        <v>0</v>
      </c>
      <c r="J12" s="9">
        <f>'Item Database'!J198</f>
        <v>0</v>
      </c>
      <c r="K12" s="9">
        <f>'Item Database'!K198</f>
        <v>9</v>
      </c>
      <c r="L12" s="35">
        <f>'Item Database'!L198</f>
        <v>0</v>
      </c>
      <c r="M12" s="35">
        <f>'Item Database'!M198</f>
        <v>0</v>
      </c>
      <c r="N12" s="9">
        <f>'Item Database'!N198</f>
        <v>0</v>
      </c>
      <c r="O12" s="9">
        <f>'Item Database'!O198</f>
        <v>0</v>
      </c>
      <c r="P12" s="9">
        <f>'Item Database'!P198</f>
        <v>0</v>
      </c>
      <c r="Q12" s="9">
        <f>'Item Database'!Q198</f>
        <v>0</v>
      </c>
      <c r="R12" s="9">
        <f>'Item Database'!R198</f>
        <v>0</v>
      </c>
      <c r="S12" s="9">
        <f>'Item Database'!S198</f>
        <v>0</v>
      </c>
      <c r="T12" s="53" t="str">
        <f>HYPERLINK('Item Database'!T198)</f>
        <v>https://classic.wowhead.com/item=10787</v>
      </c>
      <c r="U12" s="9">
        <f>IF(C12&lt;&gt;0,C12-Gear!$C$8,0)</f>
        <v>3.2311173726194471</v>
      </c>
    </row>
    <row r="13" spans="1:21" x14ac:dyDescent="0.25">
      <c r="A13" s="24">
        <f>'Item Database'!A222</f>
        <v>21888</v>
      </c>
      <c r="B13" s="9" t="str">
        <f>'Item Database'!B222</f>
        <v>Gloves of the Immortal</v>
      </c>
      <c r="C13" s="12">
        <f>'Item Database'!C222</f>
        <v>0.65899653749243692</v>
      </c>
      <c r="D13" s="9" t="str">
        <f>'Item Database'!D222</f>
        <v>Hands</v>
      </c>
      <c r="E13" s="9">
        <f>'Item Database'!E222</f>
        <v>188</v>
      </c>
      <c r="F13" s="9">
        <f>'Item Database'!F222</f>
        <v>0</v>
      </c>
      <c r="G13" s="9">
        <f>'Item Database'!G222</f>
        <v>28</v>
      </c>
      <c r="H13" s="9">
        <f>'Item Database'!H222</f>
        <v>0</v>
      </c>
      <c r="I13" s="9">
        <f>'Item Database'!I222</f>
        <v>16</v>
      </c>
      <c r="J13" s="9">
        <f>'Item Database'!J222</f>
        <v>0</v>
      </c>
      <c r="K13" s="9">
        <f>'Item Database'!K222</f>
        <v>0</v>
      </c>
      <c r="L13" s="35">
        <f>'Item Database'!L222</f>
        <v>0</v>
      </c>
      <c r="M13" s="35">
        <f>'Item Database'!M222</f>
        <v>0</v>
      </c>
      <c r="N13" s="9">
        <f>'Item Database'!N222</f>
        <v>0</v>
      </c>
      <c r="O13" s="9">
        <f>'Item Database'!O222</f>
        <v>0</v>
      </c>
      <c r="P13" s="9">
        <f>'Item Database'!P222</f>
        <v>0</v>
      </c>
      <c r="Q13" s="9">
        <f>'Item Database'!Q222</f>
        <v>0</v>
      </c>
      <c r="R13" s="9">
        <f>'Item Database'!R222</f>
        <v>0</v>
      </c>
      <c r="S13" s="9">
        <f>'Item Database'!S222</f>
        <v>0</v>
      </c>
      <c r="T13" s="53" t="str">
        <f>HYPERLINK('Item Database'!T222)</f>
        <v>https://classic.wowhead.com/item=21888</v>
      </c>
      <c r="U13" s="9">
        <f>IF(C13&lt;&gt;0,C13-Gear!$C$8,0)</f>
        <v>0.65899653749243692</v>
      </c>
    </row>
    <row r="14" spans="1:21" x14ac:dyDescent="0.25">
      <c r="A14" s="9">
        <f>'Item Database'!A225</f>
        <v>18730</v>
      </c>
      <c r="B14" s="9" t="str">
        <f>'Item Database'!B225</f>
        <v>Shadowy Laced Handwraps</v>
      </c>
      <c r="C14" s="12">
        <f>'Item Database'!C225</f>
        <v>0.61780925389915964</v>
      </c>
      <c r="D14" s="9" t="str">
        <f>'Item Database'!D225</f>
        <v>Hands</v>
      </c>
      <c r="E14" s="9">
        <f>'Item Database'!E225</f>
        <v>53</v>
      </c>
      <c r="F14" s="9">
        <f>'Item Database'!F225</f>
        <v>0</v>
      </c>
      <c r="G14" s="9">
        <f>'Item Database'!G225</f>
        <v>0</v>
      </c>
      <c r="H14" s="9">
        <f>'Item Database'!H225</f>
        <v>0</v>
      </c>
      <c r="I14" s="9">
        <f>'Item Database'!I225</f>
        <v>15</v>
      </c>
      <c r="J14" s="9">
        <f>'Item Database'!J225</f>
        <v>0</v>
      </c>
      <c r="K14" s="9">
        <f>'Item Database'!K225</f>
        <v>0</v>
      </c>
      <c r="L14" s="35">
        <f>'Item Database'!L225</f>
        <v>0</v>
      </c>
      <c r="M14" s="35">
        <f>'Item Database'!M225</f>
        <v>0</v>
      </c>
      <c r="N14" s="9">
        <f>'Item Database'!N225</f>
        <v>5</v>
      </c>
      <c r="O14" s="9">
        <f>'Item Database'!O225</f>
        <v>0</v>
      </c>
      <c r="P14" s="9">
        <f>'Item Database'!P225</f>
        <v>0</v>
      </c>
      <c r="Q14" s="9">
        <f>'Item Database'!Q225</f>
        <v>0</v>
      </c>
      <c r="R14" s="9">
        <f>'Item Database'!R225</f>
        <v>12</v>
      </c>
      <c r="S14" s="9">
        <f>'Item Database'!S225</f>
        <v>0</v>
      </c>
      <c r="T14" s="53" t="str">
        <f>HYPERLINK('Item Database'!T225)</f>
        <v>https://classic.wowhead.com/item=18730</v>
      </c>
      <c r="U14" s="9">
        <f>IF(C14&lt;&gt;0,C14-Gear!$C$8,0)</f>
        <v>0.61780925389915964</v>
      </c>
    </row>
    <row r="15" spans="1:21" x14ac:dyDescent="0.25">
      <c r="A15" s="24">
        <f>'Item Database'!A233</f>
        <v>16684</v>
      </c>
      <c r="B15" s="9" t="str">
        <f>'Item Database'!B233</f>
        <v>Magister's Gloves</v>
      </c>
      <c r="C15" s="12">
        <f>'Item Database'!C233</f>
        <v>0.57662197030588236</v>
      </c>
      <c r="D15" s="9" t="str">
        <f>'Item Database'!D233</f>
        <v>Hands</v>
      </c>
      <c r="E15" s="9">
        <f>'Item Database'!E233</f>
        <v>52</v>
      </c>
      <c r="F15" s="9">
        <f>'Item Database'!F233</f>
        <v>0</v>
      </c>
      <c r="G15" s="9">
        <f>'Item Database'!G233</f>
        <v>9</v>
      </c>
      <c r="H15" s="9">
        <f>'Item Database'!H233</f>
        <v>0</v>
      </c>
      <c r="I15" s="9">
        <f>'Item Database'!I233</f>
        <v>14</v>
      </c>
      <c r="J15" s="9">
        <f>'Item Database'!J233</f>
        <v>14</v>
      </c>
      <c r="K15" s="9">
        <f>'Item Database'!K233</f>
        <v>0</v>
      </c>
      <c r="L15" s="35">
        <f>'Item Database'!L233</f>
        <v>0</v>
      </c>
      <c r="M15" s="35">
        <f>'Item Database'!M233</f>
        <v>0</v>
      </c>
      <c r="N15" s="9">
        <f>'Item Database'!N233</f>
        <v>0</v>
      </c>
      <c r="O15" s="9">
        <f>'Item Database'!O233</f>
        <v>0</v>
      </c>
      <c r="P15" s="9">
        <f>'Item Database'!P233</f>
        <v>0</v>
      </c>
      <c r="Q15" s="9">
        <f>'Item Database'!Q233</f>
        <v>0</v>
      </c>
      <c r="R15" s="9">
        <f>'Item Database'!R233</f>
        <v>0</v>
      </c>
      <c r="S15" s="9">
        <f>'Item Database'!S233</f>
        <v>0</v>
      </c>
      <c r="T15" s="53" t="str">
        <f>HYPERLINK('Item Database'!T233)</f>
        <v>https://classic.wowhead.com/item=16684</v>
      </c>
      <c r="U15" s="9">
        <f>IF(C15&lt;&gt;0,C15-Gear!$C$8,0)</f>
        <v>0.57662197030588236</v>
      </c>
    </row>
    <row r="16" spans="1:21" x14ac:dyDescent="0.25">
      <c r="A16" s="9">
        <f>'Item Database'!A249</f>
        <v>18083</v>
      </c>
      <c r="B16" s="9" t="str">
        <f>'Item Database'!B249</f>
        <v>Jumanza Grips</v>
      </c>
      <c r="C16" s="12">
        <f>'Item Database'!C249</f>
        <v>0.45306011952605041</v>
      </c>
      <c r="D16" s="9" t="str">
        <f>'Item Database'!D249</f>
        <v>Hands</v>
      </c>
      <c r="E16" s="9">
        <f>'Item Database'!E249</f>
        <v>42</v>
      </c>
      <c r="F16" s="9">
        <f>'Item Database'!F249</f>
        <v>0</v>
      </c>
      <c r="G16" s="9">
        <f>'Item Database'!G249</f>
        <v>10</v>
      </c>
      <c r="H16" s="9">
        <f>'Item Database'!H249</f>
        <v>0</v>
      </c>
      <c r="I16" s="9">
        <f>'Item Database'!I249</f>
        <v>11</v>
      </c>
      <c r="J16" s="9">
        <f>'Item Database'!J249</f>
        <v>10</v>
      </c>
      <c r="K16" s="9">
        <f>'Item Database'!K249</f>
        <v>0</v>
      </c>
      <c r="L16" s="35">
        <f>'Item Database'!L249</f>
        <v>0</v>
      </c>
      <c r="M16" s="35">
        <f>'Item Database'!M249</f>
        <v>0</v>
      </c>
      <c r="N16" s="9">
        <f>'Item Database'!N249</f>
        <v>0</v>
      </c>
      <c r="O16" s="9">
        <f>'Item Database'!O249</f>
        <v>0</v>
      </c>
      <c r="P16" s="9">
        <f>'Item Database'!P249</f>
        <v>0</v>
      </c>
      <c r="Q16" s="9">
        <f>'Item Database'!Q249</f>
        <v>0</v>
      </c>
      <c r="R16" s="9">
        <f>'Item Database'!R249</f>
        <v>0</v>
      </c>
      <c r="S16" s="9">
        <f>'Item Database'!S249</f>
        <v>0</v>
      </c>
      <c r="T16" s="53" t="str">
        <f>HYPERLINK('Item Database'!T249)</f>
        <v>https://classic.wowhead.com/item=18083</v>
      </c>
      <c r="U16" s="9">
        <f>IF(C16&lt;&gt;0,C16-Gear!$C$8,0)</f>
        <v>0.45306011952605041</v>
      </c>
    </row>
    <row r="17" spans="1:21" x14ac:dyDescent="0.25">
      <c r="A17" s="9">
        <f>'Item Database'!A260</f>
        <v>16705</v>
      </c>
      <c r="B17" s="9" t="str">
        <f>'Item Database'!B260</f>
        <v>Dreadmist Wraps</v>
      </c>
      <c r="C17" s="12">
        <f>'Item Database'!C260</f>
        <v>0.37068555233949574</v>
      </c>
      <c r="D17" s="9" t="str">
        <f>'Item Database'!D260</f>
        <v>Hands</v>
      </c>
      <c r="E17" s="9">
        <f>'Item Database'!E260</f>
        <v>52</v>
      </c>
      <c r="F17" s="9">
        <f>'Item Database'!F260</f>
        <v>0</v>
      </c>
      <c r="G17" s="9">
        <f>'Item Database'!G260</f>
        <v>13</v>
      </c>
      <c r="H17" s="9">
        <f>'Item Database'!H260</f>
        <v>0</v>
      </c>
      <c r="I17" s="9">
        <f>'Item Database'!I260</f>
        <v>9</v>
      </c>
      <c r="J17" s="9">
        <f>'Item Database'!J260</f>
        <v>14</v>
      </c>
      <c r="K17" s="9">
        <f>'Item Database'!K260</f>
        <v>0</v>
      </c>
      <c r="L17" s="35">
        <f>'Item Database'!L260</f>
        <v>0</v>
      </c>
      <c r="M17" s="35">
        <f>'Item Database'!M260</f>
        <v>0</v>
      </c>
      <c r="N17" s="9">
        <f>'Item Database'!N260</f>
        <v>0</v>
      </c>
      <c r="O17" s="9">
        <f>'Item Database'!O260</f>
        <v>0</v>
      </c>
      <c r="P17" s="9">
        <f>'Item Database'!P260</f>
        <v>0</v>
      </c>
      <c r="Q17" s="9">
        <f>'Item Database'!Q260</f>
        <v>0</v>
      </c>
      <c r="R17" s="9">
        <f>'Item Database'!R260</f>
        <v>0</v>
      </c>
      <c r="S17" s="9">
        <f>'Item Database'!S260</f>
        <v>0</v>
      </c>
      <c r="T17" s="53" t="str">
        <f>HYPERLINK('Item Database'!T260)</f>
        <v>https://classic.wowhead.com/item=16705</v>
      </c>
      <c r="U17" s="9">
        <f>IF(C17&lt;&gt;0,C17-Gear!$C$8,0)</f>
        <v>0.37068555233949574</v>
      </c>
    </row>
    <row r="18" spans="1:21" x14ac:dyDescent="0.25">
      <c r="A18" s="9">
        <f>'Item Database'!A262</f>
        <v>13181</v>
      </c>
      <c r="B18" s="9" t="str">
        <f>'Item Database'!B262</f>
        <v>Demonskin Gloves</v>
      </c>
      <c r="C18" s="12">
        <f>'Item Database'!C262</f>
        <v>0.37068555233949574</v>
      </c>
      <c r="D18" s="9" t="str">
        <f>'Item Database'!D262</f>
        <v>Hands</v>
      </c>
      <c r="E18" s="9">
        <f>'Item Database'!E262</f>
        <v>51</v>
      </c>
      <c r="F18" s="9">
        <f>'Item Database'!F262</f>
        <v>0</v>
      </c>
      <c r="G18" s="9">
        <f>'Item Database'!G262</f>
        <v>9</v>
      </c>
      <c r="H18" s="9">
        <f>'Item Database'!H262</f>
        <v>0</v>
      </c>
      <c r="I18" s="9">
        <f>'Item Database'!I262</f>
        <v>9</v>
      </c>
      <c r="J18" s="9">
        <f>'Item Database'!J262</f>
        <v>17</v>
      </c>
      <c r="K18" s="9">
        <f>'Item Database'!K262</f>
        <v>0</v>
      </c>
      <c r="L18" s="35">
        <f>'Item Database'!L262</f>
        <v>0</v>
      </c>
      <c r="M18" s="35">
        <f>'Item Database'!M262</f>
        <v>0</v>
      </c>
      <c r="N18" s="9">
        <f>'Item Database'!N262</f>
        <v>0</v>
      </c>
      <c r="O18" s="9">
        <f>'Item Database'!O262</f>
        <v>0</v>
      </c>
      <c r="P18" s="9">
        <f>'Item Database'!P262</f>
        <v>0</v>
      </c>
      <c r="Q18" s="9">
        <f>'Item Database'!Q262</f>
        <v>0</v>
      </c>
      <c r="R18" s="9">
        <f>'Item Database'!R262</f>
        <v>0</v>
      </c>
      <c r="S18" s="9">
        <f>'Item Database'!S262</f>
        <v>0</v>
      </c>
      <c r="T18" s="53" t="str">
        <f>HYPERLINK('Item Database'!T262)</f>
        <v>https://classic.wowhead.com/item=13181</v>
      </c>
      <c r="U18" s="9">
        <f>IF(C18&lt;&gt;0,C18-Gear!$C$8,0)</f>
        <v>0.37068555233949574</v>
      </c>
    </row>
    <row r="19" spans="1:21" x14ac:dyDescent="0.25">
      <c r="A19" s="9">
        <f>'Item Database'!A266</f>
        <v>14543</v>
      </c>
      <c r="B19" s="9" t="str">
        <f>'Item Database'!B266</f>
        <v>Darkshade Gloves</v>
      </c>
      <c r="C19" s="12">
        <f>'Item Database'!C266</f>
        <v>0.28831098515294118</v>
      </c>
      <c r="D19" s="9" t="str">
        <f>'Item Database'!D266</f>
        <v>Hands</v>
      </c>
      <c r="E19" s="9">
        <f>'Item Database'!E266</f>
        <v>55</v>
      </c>
      <c r="F19" s="9">
        <f>'Item Database'!F266</f>
        <v>0</v>
      </c>
      <c r="G19" s="9">
        <f>'Item Database'!G266</f>
        <v>6</v>
      </c>
      <c r="H19" s="9">
        <f>'Item Database'!H266</f>
        <v>0</v>
      </c>
      <c r="I19" s="9">
        <f>'Item Database'!I266</f>
        <v>7</v>
      </c>
      <c r="J19" s="9">
        <f>'Item Database'!J266</f>
        <v>6</v>
      </c>
      <c r="K19" s="9">
        <f>'Item Database'!K266</f>
        <v>0</v>
      </c>
      <c r="L19" s="35">
        <f>'Item Database'!L266</f>
        <v>0</v>
      </c>
      <c r="M19" s="35">
        <f>'Item Database'!M266</f>
        <v>0</v>
      </c>
      <c r="N19" s="9">
        <f>'Item Database'!N266</f>
        <v>0</v>
      </c>
      <c r="O19" s="9">
        <f>'Item Database'!O266</f>
        <v>0</v>
      </c>
      <c r="P19" s="9">
        <f>'Item Database'!P266</f>
        <v>0</v>
      </c>
      <c r="Q19" s="9">
        <f>'Item Database'!Q266</f>
        <v>0</v>
      </c>
      <c r="R19" s="9">
        <f>'Item Database'!R266</f>
        <v>10</v>
      </c>
      <c r="S19" s="9">
        <f>'Item Database'!S266</f>
        <v>15</v>
      </c>
      <c r="T19" s="53" t="str">
        <f>HYPERLINK('Item Database'!T266)</f>
        <v>https://classic.wowhead.com/item=14543</v>
      </c>
      <c r="U19" s="9">
        <f>IF(C19&lt;&gt;0,C19-Gear!$C$8,0)</f>
        <v>0.28831098515294118</v>
      </c>
    </row>
    <row r="20" spans="1:21" x14ac:dyDescent="0.25">
      <c r="A20" s="24">
        <f>'Item Database'!A285</f>
        <v>10808</v>
      </c>
      <c r="B20" s="9" t="str">
        <f>'Item Database'!B285</f>
        <v>Gloves of the Atal'ai Prophet</v>
      </c>
      <c r="C20" s="12">
        <f>'Item Database'!C285</f>
        <v>0</v>
      </c>
      <c r="D20" s="9" t="str">
        <f>'Item Database'!D285</f>
        <v>Hands</v>
      </c>
      <c r="E20" s="9">
        <f>'Item Database'!E285</f>
        <v>49</v>
      </c>
      <c r="F20" s="9">
        <f>'Item Database'!F285</f>
        <v>0</v>
      </c>
      <c r="G20" s="9">
        <f>'Item Database'!G285</f>
        <v>6</v>
      </c>
      <c r="H20" s="9">
        <f>'Item Database'!H285</f>
        <v>0</v>
      </c>
      <c r="I20" s="9">
        <f>'Item Database'!I285</f>
        <v>0</v>
      </c>
      <c r="J20" s="9">
        <f>'Item Database'!J285</f>
        <v>20</v>
      </c>
      <c r="K20" s="9">
        <f>'Item Database'!K285</f>
        <v>0</v>
      </c>
      <c r="L20" s="35">
        <f>'Item Database'!L285</f>
        <v>0</v>
      </c>
      <c r="M20" s="35">
        <f>'Item Database'!M285</f>
        <v>0</v>
      </c>
      <c r="N20" s="9">
        <f>'Item Database'!N285</f>
        <v>0</v>
      </c>
      <c r="O20" s="9">
        <f>'Item Database'!O285</f>
        <v>0</v>
      </c>
      <c r="P20" s="9">
        <f>'Item Database'!P285</f>
        <v>0</v>
      </c>
      <c r="Q20" s="9">
        <f>'Item Database'!Q285</f>
        <v>0</v>
      </c>
      <c r="R20" s="9">
        <f>'Item Database'!R285</f>
        <v>0</v>
      </c>
      <c r="S20" s="9">
        <f>'Item Database'!S285</f>
        <v>0</v>
      </c>
      <c r="T20" s="53" t="str">
        <f>HYPERLINK('Item Database'!T285)</f>
        <v>https://classic.wowhead.com/item=10808</v>
      </c>
      <c r="U20" s="9">
        <f>IF(C20&lt;&gt;0,C20-Gear!$C$8,0)</f>
        <v>0</v>
      </c>
    </row>
    <row r="21" spans="1:21" x14ac:dyDescent="0.25">
      <c r="U21" s="9">
        <f>IF(C21&lt;&gt;0,C21-Gear!$C$8,0)</f>
        <v>0</v>
      </c>
    </row>
    <row r="22" spans="1:21" x14ac:dyDescent="0.25">
      <c r="U22" s="9">
        <f>IF(C22&lt;&gt;0,C22-Gear!$C$8,0)</f>
        <v>0</v>
      </c>
    </row>
    <row r="23" spans="1:21" x14ac:dyDescent="0.25">
      <c r="U23" s="9">
        <f>IF(C23&lt;&gt;0,C23-Gear!$C$8,0)</f>
        <v>0</v>
      </c>
    </row>
    <row r="24" spans="1:21" x14ac:dyDescent="0.25">
      <c r="U24" s="9">
        <f>IF(C24&lt;&gt;0,C24-Gear!$C$8,0)</f>
        <v>0</v>
      </c>
    </row>
    <row r="25" spans="1:21" x14ac:dyDescent="0.25">
      <c r="T25" s="9">
        <f>IF(C25&lt;&gt;0,C25-Gear!$C$8,0)</f>
        <v>0</v>
      </c>
      <c r="U25" s="9">
        <f>IF(C25&lt;&gt;0,C25-Gear!$C$8,0)</f>
        <v>0</v>
      </c>
    </row>
    <row r="26" spans="1:21" x14ac:dyDescent="0.25">
      <c r="T26" s="9">
        <f>IF(C26&lt;&gt;0,C26-Gear!$C$8,0)</f>
        <v>0</v>
      </c>
      <c r="U26" s="9">
        <f>IF(C26&lt;&gt;0,C26-Gear!$C$8,0)</f>
        <v>0</v>
      </c>
    </row>
    <row r="27" spans="1:21" x14ac:dyDescent="0.25">
      <c r="T27" s="9">
        <f>IF(C27&lt;&gt;0,C27-Gear!$C$8,0)</f>
        <v>0</v>
      </c>
      <c r="U27" s="9">
        <f>IF(C27&lt;&gt;0,C27-Gear!$C$8,0)</f>
        <v>0</v>
      </c>
    </row>
    <row r="28" spans="1:21" x14ac:dyDescent="0.25">
      <c r="T28" s="9">
        <f>IF(C28&lt;&gt;0,C28-Gear!$C$8,0)</f>
        <v>0</v>
      </c>
      <c r="U28" s="9">
        <f>IF(C28&lt;&gt;0,C28-Gear!$C$8,0)</f>
        <v>0</v>
      </c>
    </row>
    <row r="29" spans="1:21" x14ac:dyDescent="0.25">
      <c r="T29" s="9">
        <f>IF(C29&lt;&gt;0,C29-Gear!$C$8,0)</f>
        <v>0</v>
      </c>
      <c r="U29" s="9">
        <f>IF(C29&lt;&gt;0,C29-Gear!$C$8,0)</f>
        <v>0</v>
      </c>
    </row>
    <row r="30" spans="1:21" x14ac:dyDescent="0.25">
      <c r="T30" s="9">
        <f>IF(C30&lt;&gt;0,C30-Gear!$C$8,0)</f>
        <v>0</v>
      </c>
      <c r="U30" s="9">
        <f>IF(C30&lt;&gt;0,C30-Gear!$C$8,0)</f>
        <v>0</v>
      </c>
    </row>
    <row r="31" spans="1:21" x14ac:dyDescent="0.25">
      <c r="T31" s="9">
        <f>IF(C31&lt;&gt;0,C31-Gear!$C$8,0)</f>
        <v>0</v>
      </c>
      <c r="U31" s="9">
        <f>IF(C31&lt;&gt;0,C31-Gear!$C$8,0)</f>
        <v>0</v>
      </c>
    </row>
    <row r="32" spans="1:21" x14ac:dyDescent="0.25">
      <c r="T32" s="9">
        <f>IF(C32&lt;&gt;0,C32-Gear!$C$8,0)</f>
        <v>0</v>
      </c>
      <c r="U32" s="9">
        <f>IF(C32&lt;&gt;0,C32-Gear!$C$8,0)</f>
        <v>0</v>
      </c>
    </row>
    <row r="33" spans="20:21" x14ac:dyDescent="0.25">
      <c r="T33" s="9">
        <f>IF(C33&lt;&gt;0,C33-Gear!$C$8,0)</f>
        <v>0</v>
      </c>
      <c r="U33" s="9">
        <f>IF(C33&lt;&gt;0,C33-Gear!$C$8,0)</f>
        <v>0</v>
      </c>
    </row>
    <row r="34" spans="20:21" x14ac:dyDescent="0.25">
      <c r="T34" s="9">
        <f>IF(C34&lt;&gt;0,C34-Gear!$C$8,0)</f>
        <v>0</v>
      </c>
      <c r="U34" s="9">
        <f>IF(C34&lt;&gt;0,C34-Gear!$C$8,0)</f>
        <v>0</v>
      </c>
    </row>
    <row r="35" spans="20:21" x14ac:dyDescent="0.25">
      <c r="T35" s="9">
        <f>IF(C35&lt;&gt;0,C35-Gear!$C$8,0)</f>
        <v>0</v>
      </c>
      <c r="U35" s="9">
        <f>IF(C35&lt;&gt;0,C35-Gear!$C$8,0)</f>
        <v>0</v>
      </c>
    </row>
    <row r="36" spans="20:21" x14ac:dyDescent="0.25">
      <c r="T36" s="9">
        <f>IF(C36&lt;&gt;0,C36-Gear!$C$8,0)</f>
        <v>0</v>
      </c>
      <c r="U36" s="9">
        <f>IF(C36&lt;&gt;0,C36-Gear!$C$8,0)</f>
        <v>0</v>
      </c>
    </row>
    <row r="37" spans="20:21" x14ac:dyDescent="0.25">
      <c r="T37" s="9">
        <f>IF(C37&lt;&gt;0,C37-Gear!$C$8,0)</f>
        <v>0</v>
      </c>
      <c r="U37" s="9">
        <f>IF(C37&lt;&gt;0,C37-Gear!$C$8,0)</f>
        <v>0</v>
      </c>
    </row>
    <row r="38" spans="20:21" x14ac:dyDescent="0.25">
      <c r="T38" s="9">
        <f>IF(C38&lt;&gt;0,C38-Gear!$C$8,0)</f>
        <v>0</v>
      </c>
      <c r="U38" s="9">
        <f>IF(C38&lt;&gt;0,C38-Gear!$C$8,0)</f>
        <v>0</v>
      </c>
    </row>
    <row r="39" spans="20:21" x14ac:dyDescent="0.25">
      <c r="T39" s="9">
        <f>IF(C39&lt;&gt;0,C39-Gear!$C$8,0)</f>
        <v>0</v>
      </c>
      <c r="U39" s="9">
        <f>IF(C39&lt;&gt;0,C39-Gear!$C$8,0)</f>
        <v>0</v>
      </c>
    </row>
    <row r="40" spans="20:21" x14ac:dyDescent="0.25">
      <c r="T40" s="9">
        <f>IF(C40&lt;&gt;0,C40-Gear!$C$8,0)</f>
        <v>0</v>
      </c>
      <c r="U40" s="9">
        <f>IF(C40&lt;&gt;0,C40-Gear!$C$8,0)</f>
        <v>0</v>
      </c>
    </row>
    <row r="41" spans="20:21" x14ac:dyDescent="0.25">
      <c r="T41" s="9">
        <f>IF(C41&lt;&gt;0,C41-Gear!$C$8,0)</f>
        <v>0</v>
      </c>
      <c r="U41" s="9">
        <f>IF(C41&lt;&gt;0,C41-Gear!$C$8,0)</f>
        <v>0</v>
      </c>
    </row>
    <row r="42" spans="20:21" x14ac:dyDescent="0.25">
      <c r="T42" s="9">
        <f>IF(C42&lt;&gt;0,C42-Gear!$C$8,0)</f>
        <v>0</v>
      </c>
      <c r="U42" s="9">
        <f>IF(C42&lt;&gt;0,C42-Gear!$C$8,0)</f>
        <v>0</v>
      </c>
    </row>
    <row r="43" spans="20:21" x14ac:dyDescent="0.25">
      <c r="T43" s="9">
        <f>IF(C43&lt;&gt;0,C43-Gear!$C$8,0)</f>
        <v>0</v>
      </c>
      <c r="U43" s="9">
        <f>IF(C43&lt;&gt;0,C43-Gear!$C$8,0)</f>
        <v>0</v>
      </c>
    </row>
    <row r="44" spans="20:21" x14ac:dyDescent="0.25">
      <c r="T44" s="9">
        <f>IF(C44&lt;&gt;0,C44-Gear!$C$8,0)</f>
        <v>0</v>
      </c>
      <c r="U44" s="9">
        <f>IF(C44&lt;&gt;0,C44-Gear!$C$8,0)</f>
        <v>0</v>
      </c>
    </row>
    <row r="45" spans="20:21" x14ac:dyDescent="0.25">
      <c r="T45" s="9">
        <f>IF(C45&lt;&gt;0,C45-Gear!$C$8,0)</f>
        <v>0</v>
      </c>
      <c r="U45" s="9">
        <f>IF(C45&lt;&gt;0,C45-Gear!$C$8,0)</f>
        <v>0</v>
      </c>
    </row>
    <row r="46" spans="20:21" x14ac:dyDescent="0.25">
      <c r="T46" s="9">
        <f>IF(C46&lt;&gt;0,C46-Gear!$C$8,0)</f>
        <v>0</v>
      </c>
      <c r="U46" s="9">
        <f>IF(C46&lt;&gt;0,C46-Gear!$C$8,0)</f>
        <v>0</v>
      </c>
    </row>
    <row r="47" spans="20:21" x14ac:dyDescent="0.25">
      <c r="T47" s="9">
        <f>IF(C47&lt;&gt;0,C47-Gear!$C$8,0)</f>
        <v>0</v>
      </c>
      <c r="U47" s="9">
        <f>IF(C47&lt;&gt;0,C47-Gear!$C$8,0)</f>
        <v>0</v>
      </c>
    </row>
    <row r="48" spans="20:21" x14ac:dyDescent="0.25">
      <c r="T48" s="9">
        <f>IF(C48&lt;&gt;0,C48-Gear!$C$8,0)</f>
        <v>0</v>
      </c>
      <c r="U48" s="9">
        <f>IF(C48&lt;&gt;0,C48-Gear!$C$8,0)</f>
        <v>0</v>
      </c>
    </row>
    <row r="49" spans="20:21" x14ac:dyDescent="0.25">
      <c r="T49" s="9">
        <f>IF(C49&lt;&gt;0,C49-Gear!$C$8,0)</f>
        <v>0</v>
      </c>
      <c r="U49" s="9">
        <f>IF(C49&lt;&gt;0,C49-Gear!$C$8,0)</f>
        <v>0</v>
      </c>
    </row>
    <row r="50" spans="20:21" x14ac:dyDescent="0.25">
      <c r="T50" s="9">
        <f>IF(C50&lt;&gt;0,C50-Gear!$C$8,0)</f>
        <v>0</v>
      </c>
      <c r="U50" s="9">
        <f>IF(C50&lt;&gt;0,C50-Gear!$C$8,0)</f>
        <v>0</v>
      </c>
    </row>
    <row r="51" spans="20:21" x14ac:dyDescent="0.25">
      <c r="T51" s="9">
        <f>IF(C51&lt;&gt;0,C51-Gear!$C$8,0)</f>
        <v>0</v>
      </c>
      <c r="U51" s="9">
        <f>IF(C51&lt;&gt;0,C51-Gear!$C$8,0)</f>
        <v>0</v>
      </c>
    </row>
    <row r="52" spans="20:21" x14ac:dyDescent="0.25">
      <c r="T52" s="9">
        <f>IF(C52&lt;&gt;0,C52-Gear!$C$8,0)</f>
        <v>0</v>
      </c>
      <c r="U52" s="9">
        <f>IF(C52&lt;&gt;0,C52-Gear!$C$8,0)</f>
        <v>0</v>
      </c>
    </row>
    <row r="53" spans="20:21" x14ac:dyDescent="0.25">
      <c r="T53" s="9">
        <f>IF(C53&lt;&gt;0,C53-Gear!$C$8,0)</f>
        <v>0</v>
      </c>
      <c r="U53" s="9">
        <f>IF(C53&lt;&gt;0,C53-Gear!$C$8,0)</f>
        <v>0</v>
      </c>
    </row>
    <row r="54" spans="20:21" x14ac:dyDescent="0.25">
      <c r="T54" s="9">
        <f>IF(C54&lt;&gt;0,C54-Gear!$C$8,0)</f>
        <v>0</v>
      </c>
      <c r="U54" s="9">
        <f>IF(C54&lt;&gt;0,C54-Gear!$C$8,0)</f>
        <v>0</v>
      </c>
    </row>
    <row r="55" spans="20:21" x14ac:dyDescent="0.25">
      <c r="T55" s="9">
        <f>IF(C55&lt;&gt;0,C55-Gear!$C$8,0)</f>
        <v>0</v>
      </c>
      <c r="U55" s="9">
        <f>IF(C55&lt;&gt;0,C55-Gear!$C$8,0)</f>
        <v>0</v>
      </c>
    </row>
    <row r="56" spans="20:21" x14ac:dyDescent="0.25">
      <c r="T56" s="9">
        <f>IF(C56&lt;&gt;0,C56-Gear!$C$8,0)</f>
        <v>0</v>
      </c>
      <c r="U56" s="9">
        <f>IF(C56&lt;&gt;0,C56-Gear!$C$8,0)</f>
        <v>0</v>
      </c>
    </row>
    <row r="57" spans="20:21" x14ac:dyDescent="0.25">
      <c r="T57" s="9">
        <f>IF(C57&lt;&gt;0,C57-Gear!$C$8,0)</f>
        <v>0</v>
      </c>
      <c r="U57" s="9">
        <f>IF(C57&lt;&gt;0,C57-Gear!$C$8,0)</f>
        <v>0</v>
      </c>
    </row>
    <row r="58" spans="20:21" x14ac:dyDescent="0.25">
      <c r="T58" s="9">
        <f>IF(C58&lt;&gt;0,C58-Gear!$C$8,0)</f>
        <v>0</v>
      </c>
      <c r="U58" s="9">
        <f>IF(C58&lt;&gt;0,C58-Gear!$C$8,0)</f>
        <v>0</v>
      </c>
    </row>
    <row r="59" spans="20:21" x14ac:dyDescent="0.25">
      <c r="T59" s="9">
        <f>IF(C59&lt;&gt;0,C59-Gear!$C$8,0)</f>
        <v>0</v>
      </c>
      <c r="U59" s="9">
        <f>IF(C59&lt;&gt;0,C59-Gear!$C$8,0)</f>
        <v>0</v>
      </c>
    </row>
    <row r="60" spans="20:21" x14ac:dyDescent="0.25">
      <c r="T60" s="9">
        <f>IF(C60&lt;&gt;0,C60-Gear!$C$8,0)</f>
        <v>0</v>
      </c>
      <c r="U60" s="9">
        <f>IF(C60&lt;&gt;0,C60-Gear!$C$8,0)</f>
        <v>0</v>
      </c>
    </row>
    <row r="61" spans="20:21" x14ac:dyDescent="0.25">
      <c r="T61" s="9">
        <f>IF(C61&lt;&gt;0,C61-Gear!$C$8,0)</f>
        <v>0</v>
      </c>
      <c r="U61" s="9">
        <f>IF(C61&lt;&gt;0,C61-Gear!$C$8,0)</f>
        <v>0</v>
      </c>
    </row>
    <row r="62" spans="20:21" x14ac:dyDescent="0.25">
      <c r="T62" s="9">
        <f>IF(C62&lt;&gt;0,C62-Gear!$C$8,0)</f>
        <v>0</v>
      </c>
      <c r="U62" s="9">
        <f>IF(C62&lt;&gt;0,C62-Gear!$C$8,0)</f>
        <v>0</v>
      </c>
    </row>
    <row r="63" spans="20:21" x14ac:dyDescent="0.25">
      <c r="T63" s="9">
        <f>IF(C63&lt;&gt;0,C63-Gear!$C$8,0)</f>
        <v>0</v>
      </c>
      <c r="U63" s="9">
        <f>IF(C63&lt;&gt;0,C63-Gear!$C$8,0)</f>
        <v>0</v>
      </c>
    </row>
    <row r="64" spans="20:21" x14ac:dyDescent="0.25">
      <c r="T64" s="9">
        <f>IF(C64&lt;&gt;0,C64-Gear!$C$8,0)</f>
        <v>0</v>
      </c>
      <c r="U64" s="9">
        <f>IF(C64&lt;&gt;0,C64-Gear!$C$8,0)</f>
        <v>0</v>
      </c>
    </row>
    <row r="65" spans="20:21" x14ac:dyDescent="0.25">
      <c r="T65" s="9">
        <f>IF(C65&lt;&gt;0,C65-Gear!$C$8,0)</f>
        <v>0</v>
      </c>
      <c r="U65" s="9">
        <f>IF(C65&lt;&gt;0,C65-Gear!$C$8,0)</f>
        <v>0</v>
      </c>
    </row>
    <row r="66" spans="20:21" x14ac:dyDescent="0.25">
      <c r="T66" s="9">
        <f>IF(C66&lt;&gt;0,C66-Gear!$C$8,0)</f>
        <v>0</v>
      </c>
      <c r="U66" s="9">
        <f>IF(C66&lt;&gt;0,C66-Gear!$C$8,0)</f>
        <v>0</v>
      </c>
    </row>
    <row r="67" spans="20:21" x14ac:dyDescent="0.25">
      <c r="T67" s="9">
        <f>IF(C67&lt;&gt;0,C67-Gear!$C$8,0)</f>
        <v>0</v>
      </c>
      <c r="U67" s="9">
        <f>IF(C67&lt;&gt;0,C67-Gear!$C$8,0)</f>
        <v>0</v>
      </c>
    </row>
    <row r="68" spans="20:21" x14ac:dyDescent="0.25">
      <c r="T68" s="9">
        <f>IF(C68&lt;&gt;0,C68-Gear!$C$8,0)</f>
        <v>0</v>
      </c>
      <c r="U68" s="9">
        <f>IF(C68&lt;&gt;0,C68-Gear!$C$8,0)</f>
        <v>0</v>
      </c>
    </row>
    <row r="69" spans="20:21" x14ac:dyDescent="0.25">
      <c r="T69" s="9">
        <f>IF(C69&lt;&gt;0,C69-Gear!$C$8,0)</f>
        <v>0</v>
      </c>
      <c r="U69" s="9">
        <f>IF(C69&lt;&gt;0,C69-Gear!$C$8,0)</f>
        <v>0</v>
      </c>
    </row>
    <row r="70" spans="20:21" x14ac:dyDescent="0.25">
      <c r="T70" s="9">
        <f>IF(C70&lt;&gt;0,C70-Gear!$C$8,0)</f>
        <v>0</v>
      </c>
      <c r="U70" s="9">
        <f>IF(C70&lt;&gt;0,C70-Gear!$C$8,0)</f>
        <v>0</v>
      </c>
    </row>
    <row r="71" spans="20:21" x14ac:dyDescent="0.25">
      <c r="T71" s="9">
        <f>IF(C71&lt;&gt;0,C71-Gear!$C$8,0)</f>
        <v>0</v>
      </c>
      <c r="U71" s="9">
        <f>IF(C71&lt;&gt;0,C71-Gear!$C$8,0)</f>
        <v>0</v>
      </c>
    </row>
    <row r="72" spans="20:21" x14ac:dyDescent="0.25">
      <c r="T72" s="9">
        <f>IF(C72&lt;&gt;0,C72-Gear!$C$8,0)</f>
        <v>0</v>
      </c>
      <c r="U72" s="9">
        <f>IF(C72&lt;&gt;0,C72-Gear!$C$8,0)</f>
        <v>0</v>
      </c>
    </row>
    <row r="73" spans="20:21" x14ac:dyDescent="0.25">
      <c r="T73" s="9">
        <f>IF(C73&lt;&gt;0,C73-Gear!$C$8,0)</f>
        <v>0</v>
      </c>
      <c r="U73" s="9">
        <f>IF(C73&lt;&gt;0,C73-Gear!$C$8,0)</f>
        <v>0</v>
      </c>
    </row>
    <row r="74" spans="20:21" x14ac:dyDescent="0.25">
      <c r="T74" s="9">
        <f>IF(C74&lt;&gt;0,C74-Gear!$C$8,0)</f>
        <v>0</v>
      </c>
      <c r="U74" s="9">
        <f>IF(C74&lt;&gt;0,C74-Gear!$C$8,0)</f>
        <v>0</v>
      </c>
    </row>
    <row r="75" spans="20:21" x14ac:dyDescent="0.25">
      <c r="T75" s="9">
        <f>IF(C75&lt;&gt;0,C75-Gear!$C$8,0)</f>
        <v>0</v>
      </c>
      <c r="U75" s="9">
        <f>IF(C75&lt;&gt;0,C75-Gear!$C$8,0)</f>
        <v>0</v>
      </c>
    </row>
    <row r="76" spans="20:21" x14ac:dyDescent="0.25">
      <c r="T76" s="9">
        <f>IF(C76&lt;&gt;0,C76-Gear!$C$8,0)</f>
        <v>0</v>
      </c>
      <c r="U76" s="9">
        <f>IF(C76&lt;&gt;0,C76-Gear!$C$8,0)</f>
        <v>0</v>
      </c>
    </row>
    <row r="77" spans="20:21" x14ac:dyDescent="0.25">
      <c r="T77" s="9">
        <f>IF(C77&lt;&gt;0,C77-Gear!$C$8,0)</f>
        <v>0</v>
      </c>
      <c r="U77" s="9">
        <f>IF(C77&lt;&gt;0,C77-Gear!$C$8,0)</f>
        <v>0</v>
      </c>
    </row>
    <row r="78" spans="20:21" x14ac:dyDescent="0.25">
      <c r="T78" s="9">
        <f>IF(C78&lt;&gt;0,C78-Gear!$C$8,0)</f>
        <v>0</v>
      </c>
      <c r="U78" s="9">
        <f>IF(C78&lt;&gt;0,C78-Gear!$C$8,0)</f>
        <v>0</v>
      </c>
    </row>
    <row r="79" spans="20:21" x14ac:dyDescent="0.25">
      <c r="T79" s="9">
        <f>IF(C79&lt;&gt;0,C79-Gear!$C$8,0)</f>
        <v>0</v>
      </c>
      <c r="U79" s="9">
        <f>IF(C79&lt;&gt;0,C79-Gear!$C$8,0)</f>
        <v>0</v>
      </c>
    </row>
    <row r="80" spans="20:21" x14ac:dyDescent="0.25">
      <c r="T80" s="9">
        <f>IF(C80&lt;&gt;0,C80-Gear!$C$8,0)</f>
        <v>0</v>
      </c>
      <c r="U80" s="9">
        <f>IF(C80&lt;&gt;0,C80-Gear!$C$8,0)</f>
        <v>0</v>
      </c>
    </row>
    <row r="81" spans="20:21" x14ac:dyDescent="0.25">
      <c r="T81" s="9">
        <f>IF(C81&lt;&gt;0,C81-Gear!$C$8,0)</f>
        <v>0</v>
      </c>
      <c r="U81" s="9">
        <f>IF(C81&lt;&gt;0,C81-Gear!$C$8,0)</f>
        <v>0</v>
      </c>
    </row>
    <row r="82" spans="20:21" x14ac:dyDescent="0.25">
      <c r="T82" s="9">
        <f>IF(C82&lt;&gt;0,C82-Gear!$C$8,0)</f>
        <v>0</v>
      </c>
      <c r="U82" s="9">
        <f>IF(C82&lt;&gt;0,C82-Gear!$C$8,0)</f>
        <v>0</v>
      </c>
    </row>
    <row r="83" spans="20:21" x14ac:dyDescent="0.25">
      <c r="T83" s="9">
        <f>IF(C83&lt;&gt;0,C83-Gear!$C$8,0)</f>
        <v>0</v>
      </c>
      <c r="U83" s="9">
        <f>IF(C83&lt;&gt;0,C83-Gear!$C$8,0)</f>
        <v>0</v>
      </c>
    </row>
    <row r="84" spans="20:21" x14ac:dyDescent="0.25">
      <c r="T84" s="9">
        <f>IF(C84&lt;&gt;0,C84-Gear!$C$8,0)</f>
        <v>0</v>
      </c>
      <c r="U84" s="9">
        <f>IF(C84&lt;&gt;0,C84-Gear!$C$8,0)</f>
        <v>0</v>
      </c>
    </row>
    <row r="85" spans="20:21" x14ac:dyDescent="0.25">
      <c r="T85" s="9">
        <f>IF(C85&lt;&gt;0,C85-Gear!$C$8,0)</f>
        <v>0</v>
      </c>
      <c r="U85" s="9">
        <f>IF(C85&lt;&gt;0,C85-Gear!$C$8,0)</f>
        <v>0</v>
      </c>
    </row>
    <row r="86" spans="20:21" x14ac:dyDescent="0.25">
      <c r="T86" s="9">
        <f>IF(C86&lt;&gt;0,C86-Gear!$C$8,0)</f>
        <v>0</v>
      </c>
      <c r="U86" s="9">
        <f>IF(C86&lt;&gt;0,C86-Gear!$C$8,0)</f>
        <v>0</v>
      </c>
    </row>
    <row r="87" spans="20:21" x14ac:dyDescent="0.25">
      <c r="T87" s="9">
        <f>IF(C87&lt;&gt;0,C87-Gear!$C$8,0)</f>
        <v>0</v>
      </c>
      <c r="U87" s="9">
        <f>IF(C87&lt;&gt;0,C87-Gear!$C$8,0)</f>
        <v>0</v>
      </c>
    </row>
    <row r="88" spans="20:21" x14ac:dyDescent="0.25">
      <c r="T88" s="9">
        <f>IF(C88&lt;&gt;0,C88-Gear!$C$8,0)</f>
        <v>0</v>
      </c>
      <c r="U88" s="9">
        <f>IF(C88&lt;&gt;0,C88-Gear!$C$8,0)</f>
        <v>0</v>
      </c>
    </row>
    <row r="89" spans="20:21" x14ac:dyDescent="0.25">
      <c r="T89" s="9">
        <f>IF(C89&lt;&gt;0,C89-Gear!$C$8,0)</f>
        <v>0</v>
      </c>
      <c r="U89" s="9">
        <f>IF(C89&lt;&gt;0,C89-Gear!$C$8,0)</f>
        <v>0</v>
      </c>
    </row>
    <row r="90" spans="20:21" x14ac:dyDescent="0.25">
      <c r="T90" s="9">
        <f>IF(C90&lt;&gt;0,C90-Gear!$C$8,0)</f>
        <v>0</v>
      </c>
      <c r="U90" s="9">
        <f>IF(C90&lt;&gt;0,C90-Gear!$C$8,0)</f>
        <v>0</v>
      </c>
    </row>
    <row r="91" spans="20:21" x14ac:dyDescent="0.25">
      <c r="T91" s="9">
        <f>IF(C91&lt;&gt;0,C91-Gear!$C$8,0)</f>
        <v>0</v>
      </c>
      <c r="U91" s="9">
        <f>IF(C91&lt;&gt;0,C91-Gear!$C$8,0)</f>
        <v>0</v>
      </c>
    </row>
    <row r="92" spans="20:21" x14ac:dyDescent="0.25">
      <c r="T92" s="9">
        <f>IF(C92&lt;&gt;0,C92-Gear!$C$8,0)</f>
        <v>0</v>
      </c>
      <c r="U92" s="9">
        <f>IF(C92&lt;&gt;0,C92-Gear!$C$8,0)</f>
        <v>0</v>
      </c>
    </row>
    <row r="93" spans="20:21" x14ac:dyDescent="0.25">
      <c r="T93" s="9">
        <f>IF(C93&lt;&gt;0,C93-Gear!$C$8,0)</f>
        <v>0</v>
      </c>
      <c r="U93" s="9">
        <f>IF(C93&lt;&gt;0,C93-Gear!$C$8,0)</f>
        <v>0</v>
      </c>
    </row>
    <row r="94" spans="20:21" x14ac:dyDescent="0.25">
      <c r="T94" s="9">
        <f>IF(C94&lt;&gt;0,C94-Gear!$C$8,0)</f>
        <v>0</v>
      </c>
      <c r="U94" s="9">
        <f>IF(C94&lt;&gt;0,C94-Gear!$C$8,0)</f>
        <v>0</v>
      </c>
    </row>
    <row r="95" spans="20:21" x14ac:dyDescent="0.25">
      <c r="T95" s="9">
        <f>IF(C95&lt;&gt;0,C95-Gear!$C$8,0)</f>
        <v>0</v>
      </c>
      <c r="U95" s="9">
        <f>IF(C95&lt;&gt;0,C95-Gear!$C$8,0)</f>
        <v>0</v>
      </c>
    </row>
    <row r="96" spans="20:21" x14ac:dyDescent="0.25">
      <c r="T96" s="9">
        <f>IF(C96&lt;&gt;0,C96-Gear!$C$8,0)</f>
        <v>0</v>
      </c>
      <c r="U96" s="9">
        <f>IF(C96&lt;&gt;0,C96-Gear!$C$8,0)</f>
        <v>0</v>
      </c>
    </row>
    <row r="97" spans="20:21" x14ac:dyDescent="0.25">
      <c r="T97" s="9">
        <f>IF(C97&lt;&gt;0,C97-Gear!$C$8,0)</f>
        <v>0</v>
      </c>
      <c r="U97" s="9">
        <f>IF(C97&lt;&gt;0,C97-Gear!$C$8,0)</f>
        <v>0</v>
      </c>
    </row>
    <row r="98" spans="20:21" x14ac:dyDescent="0.25">
      <c r="T98" s="9">
        <f>IF(C98&lt;&gt;0,C98-Gear!$C$8,0)</f>
        <v>0</v>
      </c>
      <c r="U98" s="9">
        <f>IF(C98&lt;&gt;0,C98-Gear!$C$8,0)</f>
        <v>0</v>
      </c>
    </row>
    <row r="99" spans="20:21" x14ac:dyDescent="0.25">
      <c r="T99" s="9">
        <f>IF(C99&lt;&gt;0,C99-Gear!$C$8,0)</f>
        <v>0</v>
      </c>
      <c r="U99" s="9">
        <f>IF(C99&lt;&gt;0,C99-Gear!$C$8,0)</f>
        <v>0</v>
      </c>
    </row>
    <row r="100" spans="20:21" x14ac:dyDescent="0.25">
      <c r="T100" s="9">
        <f>IF(C100&lt;&gt;0,C100-Gear!$C$8,0)</f>
        <v>0</v>
      </c>
      <c r="U100" s="9">
        <f>IF(C100&lt;&gt;0,C100-Gear!$C$8,0)</f>
        <v>0</v>
      </c>
    </row>
    <row r="101" spans="20:21" x14ac:dyDescent="0.25">
      <c r="T101" s="9">
        <f>IF(C101&lt;&gt;0,C101-Gear!$C$8,0)</f>
        <v>0</v>
      </c>
      <c r="U101" s="9">
        <f>IF(C101&lt;&gt;0,C101-Gear!$C$8,0)</f>
        <v>0</v>
      </c>
    </row>
    <row r="102" spans="20:21" x14ac:dyDescent="0.25">
      <c r="T102" s="9">
        <f>IF(C102&lt;&gt;0,C102-Gear!$C$8,0)</f>
        <v>0</v>
      </c>
      <c r="U102" s="9">
        <f>IF(C102&lt;&gt;0,C102-Gear!$C$8,0)</f>
        <v>0</v>
      </c>
    </row>
    <row r="103" spans="20:21" x14ac:dyDescent="0.25">
      <c r="T103" s="9">
        <f>IF(C103&lt;&gt;0,C103-Gear!$C$8,0)</f>
        <v>0</v>
      </c>
      <c r="U103" s="9">
        <f>IF(C103&lt;&gt;0,C103-Gear!$C$8,0)</f>
        <v>0</v>
      </c>
    </row>
    <row r="104" spans="20:21" x14ac:dyDescent="0.25">
      <c r="T104" s="9">
        <f>IF(C104&lt;&gt;0,C104-Gear!$C$8,0)</f>
        <v>0</v>
      </c>
      <c r="U104" s="9">
        <f>IF(C104&lt;&gt;0,C104-Gear!$C$8,0)</f>
        <v>0</v>
      </c>
    </row>
    <row r="105" spans="20:21" x14ac:dyDescent="0.25">
      <c r="T105" s="9">
        <f>IF(C105&lt;&gt;0,C105-Gear!$C$8,0)</f>
        <v>0</v>
      </c>
      <c r="U105" s="9">
        <f>IF(C105&lt;&gt;0,C105-Gear!$C$8,0)</f>
        <v>0</v>
      </c>
    </row>
    <row r="106" spans="20:21" x14ac:dyDescent="0.25">
      <c r="T106" s="9">
        <f>IF(C106&lt;&gt;0,C106-Gear!$C$8,0)</f>
        <v>0</v>
      </c>
      <c r="U106" s="9">
        <f>IF(C106&lt;&gt;0,C106-Gear!$C$8,0)</f>
        <v>0</v>
      </c>
    </row>
    <row r="107" spans="20:21" x14ac:dyDescent="0.25">
      <c r="T107" s="9">
        <f>IF(C107&lt;&gt;0,C107-Gear!$C$8,0)</f>
        <v>0</v>
      </c>
      <c r="U107" s="9">
        <f>IF(C107&lt;&gt;0,C107-Gear!$C$8,0)</f>
        <v>0</v>
      </c>
    </row>
    <row r="108" spans="20:21" x14ac:dyDescent="0.25">
      <c r="T108" s="9">
        <f>IF(C108&lt;&gt;0,C108-Gear!$C$8,0)</f>
        <v>0</v>
      </c>
      <c r="U108" s="9">
        <f>IF(C108&lt;&gt;0,C108-Gear!$C$8,0)</f>
        <v>0</v>
      </c>
    </row>
    <row r="109" spans="20:21" x14ac:dyDescent="0.25">
      <c r="T109" s="9">
        <f>IF(C109&lt;&gt;0,C109-Gear!$C$8,0)</f>
        <v>0</v>
      </c>
      <c r="U109" s="9">
        <f>IF(C109&lt;&gt;0,C109-Gear!$C$8,0)</f>
        <v>0</v>
      </c>
    </row>
    <row r="110" spans="20:21" x14ac:dyDescent="0.25">
      <c r="T110" s="9">
        <f>IF(C110&lt;&gt;0,C110-Gear!$C$8,0)</f>
        <v>0</v>
      </c>
      <c r="U110" s="9">
        <f>IF(C110&lt;&gt;0,C110-Gear!$C$8,0)</f>
        <v>0</v>
      </c>
    </row>
    <row r="111" spans="20:21" x14ac:dyDescent="0.25">
      <c r="T111" s="9">
        <f>IF(C111&lt;&gt;0,C111-Gear!$C$8,0)</f>
        <v>0</v>
      </c>
      <c r="U111" s="9">
        <f>IF(C111&lt;&gt;0,C111-Gear!$C$8,0)</f>
        <v>0</v>
      </c>
    </row>
    <row r="112" spans="20:21" x14ac:dyDescent="0.25">
      <c r="T112" s="9">
        <f>IF(C112&lt;&gt;0,C112-Gear!$C$8,0)</f>
        <v>0</v>
      </c>
      <c r="U112" s="9">
        <f>IF(C112&lt;&gt;0,C112-Gear!$C$8,0)</f>
        <v>0</v>
      </c>
    </row>
    <row r="113" spans="20:21" x14ac:dyDescent="0.25">
      <c r="T113" s="9">
        <f>IF(C113&lt;&gt;0,C113-Gear!$C$8,0)</f>
        <v>0</v>
      </c>
      <c r="U113" s="9">
        <f>IF(C113&lt;&gt;0,C113-Gear!$C$8,0)</f>
        <v>0</v>
      </c>
    </row>
    <row r="114" spans="20:21" x14ac:dyDescent="0.25">
      <c r="T114" s="9">
        <f>IF(C114&lt;&gt;0,C114-Gear!$C$8,0)</f>
        <v>0</v>
      </c>
      <c r="U114" s="9">
        <f>IF(C114&lt;&gt;0,C114-Gear!$C$8,0)</f>
        <v>0</v>
      </c>
    </row>
    <row r="115" spans="20:21" x14ac:dyDescent="0.25">
      <c r="T115" s="9">
        <f>IF(C115&lt;&gt;0,C115-Gear!$C$8,0)</f>
        <v>0</v>
      </c>
      <c r="U115" s="9">
        <f>IF(C115&lt;&gt;0,C115-Gear!$C$8,0)</f>
        <v>0</v>
      </c>
    </row>
    <row r="116" spans="20:21" x14ac:dyDescent="0.25">
      <c r="T116" s="9">
        <f>IF(C116&lt;&gt;0,C116-Gear!$C$8,0)</f>
        <v>0</v>
      </c>
      <c r="U116" s="9">
        <f>IF(C116&lt;&gt;0,C116-Gear!$C$8,0)</f>
        <v>0</v>
      </c>
    </row>
    <row r="117" spans="20:21" x14ac:dyDescent="0.25">
      <c r="T117" s="9">
        <f>IF(C117&lt;&gt;0,C117-Gear!$C$8,0)</f>
        <v>0</v>
      </c>
      <c r="U117" s="9">
        <f>IF(C117&lt;&gt;0,C117-Gear!$C$8,0)</f>
        <v>0</v>
      </c>
    </row>
    <row r="118" spans="20:21" x14ac:dyDescent="0.25">
      <c r="T118" s="9">
        <f>IF(C118&lt;&gt;0,C118-Gear!$C$8,0)</f>
        <v>0</v>
      </c>
      <c r="U118" s="9">
        <f>IF(C118&lt;&gt;0,C118-Gear!$C$8,0)</f>
        <v>0</v>
      </c>
    </row>
    <row r="119" spans="20:21" x14ac:dyDescent="0.25">
      <c r="T119" s="9">
        <f>IF(C119&lt;&gt;0,C119-Gear!$C$8,0)</f>
        <v>0</v>
      </c>
      <c r="U119" s="9">
        <f>IF(C119&lt;&gt;0,C119-Gear!$C$8,0)</f>
        <v>0</v>
      </c>
    </row>
    <row r="120" spans="20:21" x14ac:dyDescent="0.25">
      <c r="T120" s="9">
        <f>IF(C120&lt;&gt;0,C120-Gear!$C$8,0)</f>
        <v>0</v>
      </c>
      <c r="U120" s="9">
        <f>IF(C120&lt;&gt;0,C120-Gear!$C$8,0)</f>
        <v>0</v>
      </c>
    </row>
    <row r="121" spans="20:21" x14ac:dyDescent="0.25">
      <c r="T121" s="9">
        <f>IF(C121&lt;&gt;0,C121-Gear!$C$8,0)</f>
        <v>0</v>
      </c>
      <c r="U121" s="9">
        <f>IF(C121&lt;&gt;0,C121-Gear!$C$8,0)</f>
        <v>0</v>
      </c>
    </row>
    <row r="122" spans="20:21" x14ac:dyDescent="0.25">
      <c r="T122" s="9">
        <f>IF(C122&lt;&gt;0,C122-Gear!$C$8,0)</f>
        <v>0</v>
      </c>
      <c r="U122" s="9">
        <f>IF(C122&lt;&gt;0,C122-Gear!$C$8,0)</f>
        <v>0</v>
      </c>
    </row>
    <row r="123" spans="20:21" x14ac:dyDescent="0.25">
      <c r="T123" s="9">
        <f>IF(C123&lt;&gt;0,C123-Gear!$C$8,0)</f>
        <v>0</v>
      </c>
      <c r="U123" s="9">
        <f>IF(C123&lt;&gt;0,C123-Gear!$C$8,0)</f>
        <v>0</v>
      </c>
    </row>
    <row r="124" spans="20:21" x14ac:dyDescent="0.25">
      <c r="T124" s="9">
        <f>IF(C124&lt;&gt;0,C124-Gear!$C$8,0)</f>
        <v>0</v>
      </c>
      <c r="U124" s="9">
        <f>IF(C124&lt;&gt;0,C124-Gear!$C$8,0)</f>
        <v>0</v>
      </c>
    </row>
    <row r="125" spans="20:21" x14ac:dyDescent="0.25">
      <c r="T125" s="9">
        <f>IF(C125&lt;&gt;0,C125-Gear!$C$8,0)</f>
        <v>0</v>
      </c>
      <c r="U125" s="9">
        <f>IF(C125&lt;&gt;0,C125-Gear!$C$8,0)</f>
        <v>0</v>
      </c>
    </row>
    <row r="126" spans="20:21" x14ac:dyDescent="0.25">
      <c r="T126" s="9">
        <f>IF(C126&lt;&gt;0,C126-Gear!$C$8,0)</f>
        <v>0</v>
      </c>
      <c r="U126" s="9">
        <f>IF(C126&lt;&gt;0,C126-Gear!$C$8,0)</f>
        <v>0</v>
      </c>
    </row>
    <row r="127" spans="20:21" x14ac:dyDescent="0.25">
      <c r="T127" s="9">
        <f>IF(C127&lt;&gt;0,C127-Gear!$C$8,0)</f>
        <v>0</v>
      </c>
      <c r="U127" s="9">
        <f>IF(C127&lt;&gt;0,C127-Gear!$C$8,0)</f>
        <v>0</v>
      </c>
    </row>
    <row r="128" spans="20:21" x14ac:dyDescent="0.25">
      <c r="T128" s="9">
        <f>IF(C128&lt;&gt;0,C128-Gear!$C$8,0)</f>
        <v>0</v>
      </c>
      <c r="U128" s="9">
        <f>IF(C128&lt;&gt;0,C128-Gear!$C$8,0)</f>
        <v>0</v>
      </c>
    </row>
    <row r="129" spans="20:21" x14ac:dyDescent="0.25">
      <c r="T129" s="9">
        <f>IF(C129&lt;&gt;0,C129-Gear!$C$8,0)</f>
        <v>0</v>
      </c>
      <c r="U129" s="9">
        <f>IF(C129&lt;&gt;0,C129-Gear!$C$8,0)</f>
        <v>0</v>
      </c>
    </row>
    <row r="130" spans="20:21" x14ac:dyDescent="0.25">
      <c r="T130" s="9">
        <f>IF(C130&lt;&gt;0,C130-Gear!$C$8,0)</f>
        <v>0</v>
      </c>
      <c r="U130" s="9">
        <f>IF(C130&lt;&gt;0,C130-Gear!$C$8,0)</f>
        <v>0</v>
      </c>
    </row>
    <row r="131" spans="20:21" x14ac:dyDescent="0.25">
      <c r="T131" s="9">
        <f>IF(C131&lt;&gt;0,C131-Gear!$C$8,0)</f>
        <v>0</v>
      </c>
      <c r="U131" s="9">
        <f>IF(C131&lt;&gt;0,C131-Gear!$C$8,0)</f>
        <v>0</v>
      </c>
    </row>
    <row r="132" spans="20:21" x14ac:dyDescent="0.25">
      <c r="T132" s="9">
        <f>IF(C132&lt;&gt;0,C132-Gear!$C$8,0)</f>
        <v>0</v>
      </c>
      <c r="U132" s="9">
        <f>IF(C132&lt;&gt;0,C132-Gear!$C$8,0)</f>
        <v>0</v>
      </c>
    </row>
    <row r="133" spans="20:21" x14ac:dyDescent="0.25">
      <c r="T133" s="9">
        <f>IF(C133&lt;&gt;0,C133-Gear!$C$8,0)</f>
        <v>0</v>
      </c>
      <c r="U133" s="9">
        <f>IF(C133&lt;&gt;0,C133-Gear!$C$8,0)</f>
        <v>0</v>
      </c>
    </row>
    <row r="134" spans="20:21" x14ac:dyDescent="0.25">
      <c r="T134" s="9">
        <f>IF(C134&lt;&gt;0,C134-Gear!$C$8,0)</f>
        <v>0</v>
      </c>
      <c r="U134" s="9">
        <f>IF(C134&lt;&gt;0,C134-Gear!$C$8,0)</f>
        <v>0</v>
      </c>
    </row>
    <row r="135" spans="20:21" x14ac:dyDescent="0.25">
      <c r="T135" s="9">
        <f>IF(C135&lt;&gt;0,C135-Gear!$C$8,0)</f>
        <v>0</v>
      </c>
      <c r="U135" s="9">
        <f>IF(C135&lt;&gt;0,C135-Gear!$C$8,0)</f>
        <v>0</v>
      </c>
    </row>
    <row r="136" spans="20:21" x14ac:dyDescent="0.25">
      <c r="T136" s="9">
        <f>IF(C136&lt;&gt;0,C136-Gear!$C$8,0)</f>
        <v>0</v>
      </c>
      <c r="U136" s="9">
        <f>IF(C136&lt;&gt;0,C136-Gear!$C$8,0)</f>
        <v>0</v>
      </c>
    </row>
    <row r="137" spans="20:21" x14ac:dyDescent="0.25">
      <c r="T137" s="9">
        <f>IF(C137&lt;&gt;0,C137-Gear!$C$8,0)</f>
        <v>0</v>
      </c>
      <c r="U137" s="9">
        <f>IF(C137&lt;&gt;0,C137-Gear!$C$8,0)</f>
        <v>0</v>
      </c>
    </row>
    <row r="138" spans="20:21" x14ac:dyDescent="0.25">
      <c r="T138" s="9">
        <f>IF(C138&lt;&gt;0,C138-Gear!$C$8,0)</f>
        <v>0</v>
      </c>
    </row>
    <row r="139" spans="20:21" x14ac:dyDescent="0.25">
      <c r="T139" s="9">
        <f>IF(C139&lt;&gt;0,C139-Gear!$C$8,0)</f>
        <v>0</v>
      </c>
    </row>
    <row r="140" spans="20:21" x14ac:dyDescent="0.25">
      <c r="T140" s="9">
        <f>IF(C140&lt;&gt;0,C140-Gear!$C$8,0)</f>
        <v>0</v>
      </c>
    </row>
    <row r="141" spans="20:21" x14ac:dyDescent="0.25">
      <c r="T141" s="9">
        <f>IF(C141&lt;&gt;0,C141-Gear!$C$8,0)</f>
        <v>0</v>
      </c>
    </row>
    <row r="142" spans="20:21" x14ac:dyDescent="0.25">
      <c r="T142" s="9">
        <f>IF(C142&lt;&gt;0,C142-Gear!$C$8,0)</f>
        <v>0</v>
      </c>
    </row>
    <row r="143" spans="20:21" x14ac:dyDescent="0.25">
      <c r="T143" s="9">
        <f>IF(C143&lt;&gt;0,C143-Gear!$C$8,0)</f>
        <v>0</v>
      </c>
    </row>
    <row r="144" spans="20:21" x14ac:dyDescent="0.25">
      <c r="T144" s="9">
        <f>IF(C144&lt;&gt;0,C144-Gear!$C$8,0)</f>
        <v>0</v>
      </c>
    </row>
    <row r="145" spans="20:20" x14ac:dyDescent="0.25">
      <c r="T145" s="9">
        <f>IF(C145&lt;&gt;0,C145-Gear!$C$8,0)</f>
        <v>0</v>
      </c>
    </row>
    <row r="146" spans="20:20" x14ac:dyDescent="0.25">
      <c r="T146" s="9">
        <f>IF(C146&lt;&gt;0,C146-Gear!$C$8,0)</f>
        <v>0</v>
      </c>
    </row>
    <row r="147" spans="20:20" x14ac:dyDescent="0.25">
      <c r="T147" s="9">
        <f>IF(C147&lt;&gt;0,C147-Gear!$C$8,0)</f>
        <v>0</v>
      </c>
    </row>
    <row r="148" spans="20:20" x14ac:dyDescent="0.25">
      <c r="T148" s="9">
        <f>IF(C148&lt;&gt;0,C148-Gear!$C$8,0)</f>
        <v>0</v>
      </c>
    </row>
    <row r="149" spans="20:20" x14ac:dyDescent="0.25">
      <c r="T149" s="9">
        <f>IF(C149&lt;&gt;0,C149-Gear!$C$8,0)</f>
        <v>0</v>
      </c>
    </row>
    <row r="150" spans="20:20" x14ac:dyDescent="0.25">
      <c r="T150" s="9">
        <f>IF(C150&lt;&gt;0,C150-Gear!$C$8,0)</f>
        <v>0</v>
      </c>
    </row>
    <row r="151" spans="20:20" x14ac:dyDescent="0.25">
      <c r="T151" s="9">
        <f>IF(C151&lt;&gt;0,C151-Gear!$C$8,0)</f>
        <v>0</v>
      </c>
    </row>
    <row r="152" spans="20:20" x14ac:dyDescent="0.25">
      <c r="T152" s="9">
        <f>IF(C152&lt;&gt;0,C152-Gear!$C$8,0)</f>
        <v>0</v>
      </c>
    </row>
    <row r="153" spans="20:20" x14ac:dyDescent="0.25">
      <c r="T153" s="9">
        <f>IF(C153&lt;&gt;0,C153-Gear!$C$8,0)</f>
        <v>0</v>
      </c>
    </row>
    <row r="154" spans="20:20" x14ac:dyDescent="0.25">
      <c r="T154" s="9">
        <f>IF(C154&lt;&gt;0,C154-Gear!$C$8,0)</f>
        <v>0</v>
      </c>
    </row>
    <row r="155" spans="20:20" x14ac:dyDescent="0.25">
      <c r="T155" s="9">
        <f>IF(C155&lt;&gt;0,C155-Gear!$C$8,0)</f>
        <v>0</v>
      </c>
    </row>
    <row r="156" spans="20:20" x14ac:dyDescent="0.25">
      <c r="T156" s="9">
        <f>IF(C156&lt;&gt;0,C156-Gear!$C$8,0)</f>
        <v>0</v>
      </c>
    </row>
    <row r="157" spans="20:20" x14ac:dyDescent="0.25">
      <c r="T157" s="9">
        <f>IF(C157&lt;&gt;0,C157-Gear!$C$8,0)</f>
        <v>0</v>
      </c>
    </row>
    <row r="158" spans="20:20" x14ac:dyDescent="0.25">
      <c r="T158" s="9">
        <f>IF(C158&lt;&gt;0,C158-Gear!$C$8,0)</f>
        <v>0</v>
      </c>
    </row>
    <row r="159" spans="20:20" x14ac:dyDescent="0.25">
      <c r="T159" s="9">
        <f>IF(C159&lt;&gt;0,C159-Gear!$C$8,0)</f>
        <v>0</v>
      </c>
    </row>
    <row r="160" spans="20:20" x14ac:dyDescent="0.25">
      <c r="T160" s="9">
        <f>IF(C160&lt;&gt;0,C160-Gear!$C$8,0)</f>
        <v>0</v>
      </c>
    </row>
    <row r="161" spans="20:20" x14ac:dyDescent="0.25">
      <c r="T161" s="9">
        <f>IF(C161&lt;&gt;0,C161-Gear!$C$8,0)</f>
        <v>0</v>
      </c>
    </row>
    <row r="162" spans="20:20" x14ac:dyDescent="0.25">
      <c r="T162" s="9">
        <f>IF(C162&lt;&gt;0,C162-Gear!$C$8,0)</f>
        <v>0</v>
      </c>
    </row>
    <row r="163" spans="20:20" x14ac:dyDescent="0.25">
      <c r="T163" s="9">
        <f>IF(C163&lt;&gt;0,C163-Gear!$C$8,0)</f>
        <v>0</v>
      </c>
    </row>
    <row r="164" spans="20:20" x14ac:dyDescent="0.25">
      <c r="T164" s="9">
        <f>IF(C164&lt;&gt;0,C164-Gear!$C$8,0)</f>
        <v>0</v>
      </c>
    </row>
    <row r="165" spans="20:20" x14ac:dyDescent="0.25">
      <c r="T165" s="9">
        <f>IF(C165&lt;&gt;0,C165-Gear!$C$8,0)</f>
        <v>0</v>
      </c>
    </row>
    <row r="166" spans="20:20" x14ac:dyDescent="0.25">
      <c r="T166" s="9">
        <f>IF(C166&lt;&gt;0,C166-Gear!$C$8,0)</f>
        <v>0</v>
      </c>
    </row>
    <row r="167" spans="20:20" x14ac:dyDescent="0.25">
      <c r="T167" s="9">
        <f>IF(C167&lt;&gt;0,C167-Gear!$C$8,0)</f>
        <v>0</v>
      </c>
    </row>
    <row r="168" spans="20:20" x14ac:dyDescent="0.25">
      <c r="T168" s="9">
        <f>IF(C168&lt;&gt;0,C168-Gear!$C$8,0)</f>
        <v>0</v>
      </c>
    </row>
    <row r="169" spans="20:20" x14ac:dyDescent="0.25">
      <c r="T169" s="9">
        <f>IF(C169&lt;&gt;0,C169-Gear!$C$8,0)</f>
        <v>0</v>
      </c>
    </row>
    <row r="170" spans="20:20" x14ac:dyDescent="0.25">
      <c r="T170" s="9">
        <f>IF(C170&lt;&gt;0,C170-Gear!$C$8,0)</f>
        <v>0</v>
      </c>
    </row>
    <row r="171" spans="20:20" x14ac:dyDescent="0.25">
      <c r="T171" s="9">
        <f>IF(C171&lt;&gt;0,C171-Gear!$C$8,0)</f>
        <v>0</v>
      </c>
    </row>
    <row r="172" spans="20:20" x14ac:dyDescent="0.25">
      <c r="T172" s="9">
        <f>IF(C172&lt;&gt;0,C172-Gear!$C$8,0)</f>
        <v>0</v>
      </c>
    </row>
    <row r="173" spans="20:20" x14ac:dyDescent="0.25">
      <c r="T173" s="9">
        <f>IF(C173&lt;&gt;0,C173-Gear!$C$8,0)</f>
        <v>0</v>
      </c>
    </row>
    <row r="174" spans="20:20" x14ac:dyDescent="0.25">
      <c r="T174" s="9">
        <f>IF(C174&lt;&gt;0,C174-Gear!$C$8,0)</f>
        <v>0</v>
      </c>
    </row>
    <row r="175" spans="20:20" x14ac:dyDescent="0.25">
      <c r="T175" s="9">
        <f>IF(C175&lt;&gt;0,C175-Gear!$C$8,0)</f>
        <v>0</v>
      </c>
    </row>
    <row r="176" spans="20:20" x14ac:dyDescent="0.25">
      <c r="T176" s="9">
        <f>IF(C176&lt;&gt;0,C176-Gear!$C$8,0)</f>
        <v>0</v>
      </c>
    </row>
    <row r="177" spans="20:20" x14ac:dyDescent="0.25">
      <c r="T177" s="9">
        <f>IF(C177&lt;&gt;0,C177-Gear!$C$8,0)</f>
        <v>0</v>
      </c>
    </row>
    <row r="178" spans="20:20" x14ac:dyDescent="0.25">
      <c r="T178" s="9">
        <f>IF(C178&lt;&gt;0,C178-Gear!$C$8,0)</f>
        <v>0</v>
      </c>
    </row>
    <row r="179" spans="20:20" x14ac:dyDescent="0.25">
      <c r="T179" s="9">
        <f>IF(C179&lt;&gt;0,C179-Gear!$C$8,0)</f>
        <v>0</v>
      </c>
    </row>
    <row r="180" spans="20:20" x14ac:dyDescent="0.25">
      <c r="T180" s="9">
        <f>IF(C180&lt;&gt;0,C180-Gear!$C$8,0)</f>
        <v>0</v>
      </c>
    </row>
    <row r="181" spans="20:20" x14ac:dyDescent="0.25">
      <c r="T181" s="9">
        <f>IF(C181&lt;&gt;0,C181-Gear!$C$8,0)</f>
        <v>0</v>
      </c>
    </row>
    <row r="182" spans="20:20" x14ac:dyDescent="0.25">
      <c r="T182" s="9">
        <f>IF(C182&lt;&gt;0,C182-Gear!$C$8,0)</f>
        <v>0</v>
      </c>
    </row>
    <row r="183" spans="20:20" x14ac:dyDescent="0.25">
      <c r="T183" s="9">
        <f>IF(C183&lt;&gt;0,C183-Gear!$C$8,0)</f>
        <v>0</v>
      </c>
    </row>
    <row r="184" spans="20:20" x14ac:dyDescent="0.25">
      <c r="T184" s="9">
        <f>IF(C184&lt;&gt;0,C184-Gear!$C$8,0)</f>
        <v>0</v>
      </c>
    </row>
    <row r="185" spans="20:20" x14ac:dyDescent="0.25">
      <c r="T185" s="9">
        <f>IF(C185&lt;&gt;0,C185-Gear!$C$8,0)</f>
        <v>0</v>
      </c>
    </row>
    <row r="186" spans="20:20" x14ac:dyDescent="0.25">
      <c r="T186" s="9">
        <f>IF(C186&lt;&gt;0,C186-Gear!$C$8,0)</f>
        <v>0</v>
      </c>
    </row>
    <row r="187" spans="20:20" x14ac:dyDescent="0.25">
      <c r="T187" s="9">
        <f>IF(C187&lt;&gt;0,C187-Gear!$C$8,0)</f>
        <v>0</v>
      </c>
    </row>
    <row r="188" spans="20:20" x14ac:dyDescent="0.25">
      <c r="T188" s="9">
        <f>IF(C188&lt;&gt;0,C188-Gear!$C$8,0)</f>
        <v>0</v>
      </c>
    </row>
    <row r="189" spans="20:20" x14ac:dyDescent="0.25">
      <c r="T189" s="9">
        <f>IF(C189&lt;&gt;0,C189-Gear!$C$8,0)</f>
        <v>0</v>
      </c>
    </row>
    <row r="190" spans="20:20" x14ac:dyDescent="0.25">
      <c r="T190" s="9">
        <f>IF(C190&lt;&gt;0,C190-Gear!$C$8,0)</f>
        <v>0</v>
      </c>
    </row>
    <row r="191" spans="20:20" x14ac:dyDescent="0.25">
      <c r="T191" s="9">
        <f>IF(C191&lt;&gt;0,C191-Gear!$C$8,0)</f>
        <v>0</v>
      </c>
    </row>
    <row r="192" spans="20:20" x14ac:dyDescent="0.25">
      <c r="T192" s="9">
        <f>IF(C192&lt;&gt;0,C192-Gear!$C$8,0)</f>
        <v>0</v>
      </c>
    </row>
    <row r="193" spans="20:20" x14ac:dyDescent="0.25">
      <c r="T193" s="9">
        <f>IF(C193&lt;&gt;0,C193-Gear!$C$8,0)</f>
        <v>0</v>
      </c>
    </row>
    <row r="194" spans="20:20" x14ac:dyDescent="0.25">
      <c r="T194" s="9">
        <f>IF(C194&lt;&gt;0,C194-Gear!$C$8,0)</f>
        <v>0</v>
      </c>
    </row>
    <row r="195" spans="20:20" x14ac:dyDescent="0.25">
      <c r="T195" s="9">
        <f>IF(C195&lt;&gt;0,C195-Gear!$C$8,0)</f>
        <v>0</v>
      </c>
    </row>
    <row r="196" spans="20:20" x14ac:dyDescent="0.25">
      <c r="T196" s="9">
        <f>IF(C196&lt;&gt;0,C196-Gear!$C$8,0)</f>
        <v>0</v>
      </c>
    </row>
    <row r="197" spans="20:20" x14ac:dyDescent="0.25">
      <c r="T197" s="9">
        <f>IF(C197&lt;&gt;0,C197-Gear!$C$8,0)</f>
        <v>0</v>
      </c>
    </row>
    <row r="198" spans="20:20" x14ac:dyDescent="0.25">
      <c r="T198" s="9">
        <f>IF(C198&lt;&gt;0,C198-Gear!$C$8,0)</f>
        <v>0</v>
      </c>
    </row>
    <row r="199" spans="20:20" x14ac:dyDescent="0.25">
      <c r="T199" s="9">
        <f>IF(C199&lt;&gt;0,C199-Gear!$C$8,0)</f>
        <v>0</v>
      </c>
    </row>
    <row r="200" spans="20:20" x14ac:dyDescent="0.25">
      <c r="T200" s="9">
        <f>IF(C200&lt;&gt;0,C200-Gear!$C$8,0)</f>
        <v>0</v>
      </c>
    </row>
    <row r="201" spans="20:20" x14ac:dyDescent="0.25">
      <c r="T201" s="9">
        <f>IF(C201&lt;&gt;0,C201-Gear!$C$8,0)</f>
        <v>0</v>
      </c>
    </row>
    <row r="202" spans="20:20" x14ac:dyDescent="0.25">
      <c r="T202" s="9">
        <f>IF(C202&lt;&gt;0,C202-Gear!$C$8,0)</f>
        <v>0</v>
      </c>
    </row>
    <row r="203" spans="20:20" x14ac:dyDescent="0.25">
      <c r="T203" s="9">
        <f>IF(C203&lt;&gt;0,C203-Gear!$C$8,0)</f>
        <v>0</v>
      </c>
    </row>
    <row r="204" spans="20:20" x14ac:dyDescent="0.25">
      <c r="T204" s="9">
        <f>IF(C204&lt;&gt;0,C204-Gear!$C$8,0)</f>
        <v>0</v>
      </c>
    </row>
    <row r="205" spans="20:20" x14ac:dyDescent="0.25">
      <c r="T205" s="9">
        <f>IF(C205&lt;&gt;0,C205-Gear!$C$8,0)</f>
        <v>0</v>
      </c>
    </row>
    <row r="206" spans="20:20" x14ac:dyDescent="0.25">
      <c r="T206" s="9">
        <f>IF(C206&lt;&gt;0,C206-Gear!$C$8,0)</f>
        <v>0</v>
      </c>
    </row>
    <row r="207" spans="20:20" x14ac:dyDescent="0.25">
      <c r="T207" s="9">
        <f>IF(C207&lt;&gt;0,C207-Gear!$C$8,0)</f>
        <v>0</v>
      </c>
    </row>
    <row r="208" spans="20:20" x14ac:dyDescent="0.25">
      <c r="T208" s="9">
        <f>IF(C208&lt;&gt;0,C208-Gear!$C$8,0)</f>
        <v>0</v>
      </c>
    </row>
    <row r="209" spans="20:20" x14ac:dyDescent="0.25">
      <c r="T209" s="9">
        <f>IF(C209&lt;&gt;0,C209-Gear!$C$8,0)</f>
        <v>0</v>
      </c>
    </row>
    <row r="210" spans="20:20" x14ac:dyDescent="0.25">
      <c r="T210" s="9">
        <f>IF(C210&lt;&gt;0,C210-Gear!$C$8,0)</f>
        <v>0</v>
      </c>
    </row>
    <row r="211" spans="20:20" x14ac:dyDescent="0.25">
      <c r="T211" s="9">
        <f>IF(C211&lt;&gt;0,C211-Gear!$C$8,0)</f>
        <v>0</v>
      </c>
    </row>
    <row r="212" spans="20:20" x14ac:dyDescent="0.25">
      <c r="T212" s="9">
        <f>IF(C212&lt;&gt;0,C212-Gear!$C$8,0)</f>
        <v>0</v>
      </c>
    </row>
    <row r="213" spans="20:20" x14ac:dyDescent="0.25">
      <c r="T213" s="9">
        <f>IF(C213&lt;&gt;0,C213-Gear!$C$8,0)</f>
        <v>0</v>
      </c>
    </row>
    <row r="214" spans="20:20" x14ac:dyDescent="0.25">
      <c r="T214" s="9">
        <f>IF(C214&lt;&gt;0,C214-Gear!$C$8,0)</f>
        <v>0</v>
      </c>
    </row>
    <row r="215" spans="20:20" x14ac:dyDescent="0.25">
      <c r="T215" s="9">
        <f>IF(C215&lt;&gt;0,C215-Gear!$C$8,0)</f>
        <v>0</v>
      </c>
    </row>
    <row r="216" spans="20:20" x14ac:dyDescent="0.25">
      <c r="T216" s="9">
        <f>IF(C216&lt;&gt;0,C216-Gear!$C$8,0)</f>
        <v>0</v>
      </c>
    </row>
    <row r="217" spans="20:20" x14ac:dyDescent="0.25">
      <c r="T217" s="9">
        <f>IF(C217&lt;&gt;0,C217-Gear!$C$8,0)</f>
        <v>0</v>
      </c>
    </row>
    <row r="218" spans="20:20" x14ac:dyDescent="0.25">
      <c r="T218" s="9">
        <f>IF(C218&lt;&gt;0,C218-Gear!$C$8,0)</f>
        <v>0</v>
      </c>
    </row>
    <row r="219" spans="20:20" x14ac:dyDescent="0.25">
      <c r="T219" s="9">
        <f>IF(C219&lt;&gt;0,C219-Gear!$C$8,0)</f>
        <v>0</v>
      </c>
    </row>
    <row r="220" spans="20:20" x14ac:dyDescent="0.25">
      <c r="T220" s="9">
        <f>IF(C220&lt;&gt;0,C220-Gear!$C$8,0)</f>
        <v>0</v>
      </c>
    </row>
    <row r="221" spans="20:20" x14ac:dyDescent="0.25">
      <c r="T221" s="9">
        <f>IF(C221&lt;&gt;0,C221-Gear!$C$8,0)</f>
        <v>0</v>
      </c>
    </row>
    <row r="222" spans="20:20" x14ac:dyDescent="0.25">
      <c r="T222" s="9">
        <f>IF(C222&lt;&gt;0,C222-Gear!$C$8,0)</f>
        <v>0</v>
      </c>
    </row>
    <row r="223" spans="20:20" x14ac:dyDescent="0.25">
      <c r="T223" s="9">
        <f>IF(C223&lt;&gt;0,C223-Gear!$C$8,0)</f>
        <v>0</v>
      </c>
    </row>
    <row r="224" spans="20:20" x14ac:dyDescent="0.25">
      <c r="T224" s="9">
        <f>IF(C224&lt;&gt;0,C224-Gear!$C$8,0)</f>
        <v>0</v>
      </c>
    </row>
    <row r="225" spans="20:20" x14ac:dyDescent="0.25">
      <c r="T225" s="9">
        <f>IF(C225&lt;&gt;0,C225-Gear!$C$8,0)</f>
        <v>0</v>
      </c>
    </row>
    <row r="226" spans="20:20" x14ac:dyDescent="0.25">
      <c r="T226" s="9">
        <f>IF(C226&lt;&gt;0,C226-Gear!$C$8,0)</f>
        <v>0</v>
      </c>
    </row>
    <row r="227" spans="20:20" x14ac:dyDescent="0.25">
      <c r="T227" s="9">
        <f>IF(C227&lt;&gt;0,C227-Gear!$C$8,0)</f>
        <v>0</v>
      </c>
    </row>
    <row r="228" spans="20:20" x14ac:dyDescent="0.25">
      <c r="T228" s="9">
        <f>IF(C228&lt;&gt;0,C228-Gear!$C$8,0)</f>
        <v>0</v>
      </c>
    </row>
    <row r="229" spans="20:20" x14ac:dyDescent="0.25">
      <c r="T229" s="9">
        <f>IF(C229&lt;&gt;0,C229-Gear!$C$8,0)</f>
        <v>0</v>
      </c>
    </row>
    <row r="230" spans="20:20" x14ac:dyDescent="0.25">
      <c r="T230" s="9">
        <f>IF(C230&lt;&gt;0,C230-Gear!$C$8,0)</f>
        <v>0</v>
      </c>
    </row>
    <row r="231" spans="20:20" x14ac:dyDescent="0.25">
      <c r="T231" s="9">
        <f>IF(C231&lt;&gt;0,C231-Gear!$C$8,0)</f>
        <v>0</v>
      </c>
    </row>
    <row r="232" spans="20:20" x14ac:dyDescent="0.25">
      <c r="T232" s="9">
        <f>IF(C232&lt;&gt;0,C232-Gear!$C$8,0)</f>
        <v>0</v>
      </c>
    </row>
    <row r="233" spans="20:20" x14ac:dyDescent="0.25">
      <c r="T233" s="9">
        <f>IF(C233&lt;&gt;0,C233-Gear!$C$8,0)</f>
        <v>0</v>
      </c>
    </row>
    <row r="234" spans="20:20" x14ac:dyDescent="0.25">
      <c r="T234" s="9">
        <f>IF(C234&lt;&gt;0,C234-Gear!$C$8,0)</f>
        <v>0</v>
      </c>
    </row>
    <row r="235" spans="20:20" x14ac:dyDescent="0.25">
      <c r="T235" s="9">
        <f>IF(C235&lt;&gt;0,C235-Gear!$C$8,0)</f>
        <v>0</v>
      </c>
    </row>
    <row r="236" spans="20:20" x14ac:dyDescent="0.25">
      <c r="T236" s="9">
        <f>IF(C236&lt;&gt;0,C236-Gear!$C$8,0)</f>
        <v>0</v>
      </c>
    </row>
    <row r="237" spans="20:20" x14ac:dyDescent="0.25">
      <c r="T237" s="9">
        <f>IF(C237&lt;&gt;0,C237-Gear!$C$8,0)</f>
        <v>0</v>
      </c>
    </row>
    <row r="238" spans="20:20" x14ac:dyDescent="0.25">
      <c r="T238" s="9">
        <f>IF(C238&lt;&gt;0,C238-Gear!$C$8,0)</f>
        <v>0</v>
      </c>
    </row>
    <row r="239" spans="20:20" x14ac:dyDescent="0.25">
      <c r="T239" s="9">
        <f>IF(C239&lt;&gt;0,C239-Gear!$C$8,0)</f>
        <v>0</v>
      </c>
    </row>
    <row r="240" spans="20:20" x14ac:dyDescent="0.25">
      <c r="T240" s="9">
        <f>IF(C240&lt;&gt;0,C240-Gear!$C$8,0)</f>
        <v>0</v>
      </c>
    </row>
    <row r="241" spans="20:20" x14ac:dyDescent="0.25">
      <c r="T241" s="9">
        <f>IF(C241&lt;&gt;0,C241-Gear!$C$8,0)</f>
        <v>0</v>
      </c>
    </row>
    <row r="242" spans="20:20" x14ac:dyDescent="0.25">
      <c r="T242" s="9">
        <f>IF(C242&lt;&gt;0,C242-Gear!$C$8,0)</f>
        <v>0</v>
      </c>
    </row>
    <row r="243" spans="20:20" x14ac:dyDescent="0.25">
      <c r="T243" s="9">
        <f>IF(C243&lt;&gt;0,C243-Gear!$C$8,0)</f>
        <v>0</v>
      </c>
    </row>
    <row r="244" spans="20:20" x14ac:dyDescent="0.25">
      <c r="T244" s="9">
        <f>IF(C244&lt;&gt;0,C244-Gear!$C$8,0)</f>
        <v>0</v>
      </c>
    </row>
    <row r="245" spans="20:20" x14ac:dyDescent="0.25">
      <c r="T245" s="9">
        <f>IF(C245&lt;&gt;0,C245-Gear!$C$8,0)</f>
        <v>0</v>
      </c>
    </row>
    <row r="246" spans="20:20" x14ac:dyDescent="0.25">
      <c r="T246" s="9">
        <f>IF(C246&lt;&gt;0,C246-Gear!$C$8,0)</f>
        <v>0</v>
      </c>
    </row>
    <row r="247" spans="20:20" x14ac:dyDescent="0.25">
      <c r="T247" s="9">
        <f>IF(C247&lt;&gt;0,C247-Gear!$C$8,0)</f>
        <v>0</v>
      </c>
    </row>
    <row r="248" spans="20:20" x14ac:dyDescent="0.25">
      <c r="T248" s="9">
        <f>IF(C248&lt;&gt;0,C248-Gear!$C$8,0)</f>
        <v>0</v>
      </c>
    </row>
    <row r="249" spans="20:20" x14ac:dyDescent="0.25">
      <c r="T249" s="9">
        <f>IF(C249&lt;&gt;0,C249-Gear!$C$8,0)</f>
        <v>0</v>
      </c>
    </row>
    <row r="250" spans="20:20" x14ac:dyDescent="0.25">
      <c r="T250" s="9">
        <f>IF(C250&lt;&gt;0,C250-Gear!$C$8,0)</f>
        <v>0</v>
      </c>
    </row>
    <row r="251" spans="20:20" x14ac:dyDescent="0.25">
      <c r="T251" s="9">
        <f>IF(C251&lt;&gt;0,C251-Gear!$C$8,0)</f>
        <v>0</v>
      </c>
    </row>
    <row r="252" spans="20:20" x14ac:dyDescent="0.25">
      <c r="T252" s="9">
        <f>IF(C252&lt;&gt;0,C252-Gear!$C$8,0)</f>
        <v>0</v>
      </c>
    </row>
    <row r="253" spans="20:20" x14ac:dyDescent="0.25">
      <c r="T253" s="9">
        <f>IF(C253&lt;&gt;0,C253-Gear!$C$8,0)</f>
        <v>0</v>
      </c>
    </row>
    <row r="254" spans="20:20" x14ac:dyDescent="0.25">
      <c r="T254" s="9">
        <f>IF(C254&lt;&gt;0,C254-Gear!$C$8,0)</f>
        <v>0</v>
      </c>
    </row>
    <row r="255" spans="20:20" x14ac:dyDescent="0.25">
      <c r="T255" s="9">
        <f>IF(C255&lt;&gt;0,C255-Gear!$C$8,0)</f>
        <v>0</v>
      </c>
    </row>
    <row r="256" spans="20:20" x14ac:dyDescent="0.25">
      <c r="T256" s="9">
        <f>IF(C256&lt;&gt;0,C256-Gear!$C$8,0)</f>
        <v>0</v>
      </c>
    </row>
    <row r="257" spans="20:20" x14ac:dyDescent="0.25">
      <c r="T257" s="9">
        <f>IF(C257&lt;&gt;0,C257-Gear!$C$8,0)</f>
        <v>0</v>
      </c>
    </row>
    <row r="258" spans="20:20" x14ac:dyDescent="0.25">
      <c r="T258" s="9">
        <f>IF(C258&lt;&gt;0,C258-Gear!$C$8,0)</f>
        <v>0</v>
      </c>
    </row>
    <row r="259" spans="20:20" x14ac:dyDescent="0.25">
      <c r="T259" s="9">
        <f>IF(C259&lt;&gt;0,C259-Gear!$C$8,0)</f>
        <v>0</v>
      </c>
    </row>
    <row r="260" spans="20:20" x14ac:dyDescent="0.25">
      <c r="T260" s="9">
        <f>IF(C260&lt;&gt;0,C260-Gear!$C$8,0)</f>
        <v>0</v>
      </c>
    </row>
    <row r="261" spans="20:20" x14ac:dyDescent="0.25">
      <c r="T261" s="9">
        <f>IF(C261&lt;&gt;0,C261-Gear!$C$8,0)</f>
        <v>0</v>
      </c>
    </row>
    <row r="262" spans="20:20" x14ac:dyDescent="0.25">
      <c r="T262" s="9">
        <f>IF(C262&lt;&gt;0,C262-Gear!$C$8,0)</f>
        <v>0</v>
      </c>
    </row>
    <row r="263" spans="20:20" x14ac:dyDescent="0.25">
      <c r="T263" s="9">
        <f>IF(C263&lt;&gt;0,C263-Gear!$C$8,0)</f>
        <v>0</v>
      </c>
    </row>
    <row r="264" spans="20:20" x14ac:dyDescent="0.25">
      <c r="T264" s="9">
        <f>IF(C264&lt;&gt;0,C264-Gear!$C$8,0)</f>
        <v>0</v>
      </c>
    </row>
    <row r="265" spans="20:20" x14ac:dyDescent="0.25">
      <c r="T265" s="9">
        <f>IF(C265&lt;&gt;0,C265-Gear!$C$8,0)</f>
        <v>0</v>
      </c>
    </row>
    <row r="266" spans="20:20" x14ac:dyDescent="0.25">
      <c r="T266" s="9">
        <f>IF(C266&lt;&gt;0,C266-Gear!$C$8,0)</f>
        <v>0</v>
      </c>
    </row>
    <row r="267" spans="20:20" x14ac:dyDescent="0.25">
      <c r="T267" s="9">
        <f>IF(C267&lt;&gt;0,C267-Gear!$C$8,0)</f>
        <v>0</v>
      </c>
    </row>
    <row r="268" spans="20:20" x14ac:dyDescent="0.25">
      <c r="T268" s="9">
        <f>IF(C268&lt;&gt;0,C268-Gear!$C$8,0)</f>
        <v>0</v>
      </c>
    </row>
    <row r="269" spans="20:20" x14ac:dyDescent="0.25">
      <c r="T269" s="9">
        <f>IF(C269&lt;&gt;0,C269-Gear!$C$8,0)</f>
        <v>0</v>
      </c>
    </row>
    <row r="270" spans="20:20" x14ac:dyDescent="0.25">
      <c r="T270" s="9">
        <f>IF(C270&lt;&gt;0,C270-Gear!$C$8,0)</f>
        <v>0</v>
      </c>
    </row>
    <row r="271" spans="20:20" x14ac:dyDescent="0.25">
      <c r="T271" s="9">
        <f>IF(C271&lt;&gt;0,C271-Gear!$C$8,0)</f>
        <v>0</v>
      </c>
    </row>
    <row r="272" spans="20:20" x14ac:dyDescent="0.25">
      <c r="T272" s="9">
        <f>IF(C272&lt;&gt;0,C272-Gear!$C$8,0)</f>
        <v>0</v>
      </c>
    </row>
    <row r="273" spans="20:20" x14ac:dyDescent="0.25">
      <c r="T273" s="9">
        <f>IF(C273&lt;&gt;0,C273-Gear!$C$8,0)</f>
        <v>0</v>
      </c>
    </row>
    <row r="274" spans="20:20" x14ac:dyDescent="0.25">
      <c r="T274" s="9">
        <f>IF(C274&lt;&gt;0,C274-Gear!$C$8,0)</f>
        <v>0</v>
      </c>
    </row>
    <row r="275" spans="20:20" x14ac:dyDescent="0.25">
      <c r="T275" s="9">
        <f>IF(C275&lt;&gt;0,C275-Gear!$C$8,0)</f>
        <v>0</v>
      </c>
    </row>
    <row r="276" spans="20:20" x14ac:dyDescent="0.25">
      <c r="T276" s="9">
        <f>IF(C276&lt;&gt;0,C276-Gear!$C$8,0)</f>
        <v>0</v>
      </c>
    </row>
    <row r="277" spans="20:20" x14ac:dyDescent="0.25">
      <c r="T277" s="9">
        <f>IF(C277&lt;&gt;0,C277-Gear!$C$8,0)</f>
        <v>0</v>
      </c>
    </row>
    <row r="278" spans="20:20" x14ac:dyDescent="0.25">
      <c r="T278" s="9">
        <f>IF(C278&lt;&gt;0,C278-Gear!$C$8,0)</f>
        <v>0</v>
      </c>
    </row>
    <row r="279" spans="20:20" x14ac:dyDescent="0.25">
      <c r="T279" s="9">
        <f>IF(C279&lt;&gt;0,C279-Gear!$C$8,0)</f>
        <v>0</v>
      </c>
    </row>
    <row r="280" spans="20:20" x14ac:dyDescent="0.25">
      <c r="T280" s="9">
        <f>IF(C280&lt;&gt;0,C280-Gear!$C$8,0)</f>
        <v>0</v>
      </c>
    </row>
    <row r="281" spans="20:20" x14ac:dyDescent="0.25">
      <c r="T281" s="9">
        <f>IF(C281&lt;&gt;0,C281-Gear!$C$8,0)</f>
        <v>0</v>
      </c>
    </row>
    <row r="282" spans="20:20" x14ac:dyDescent="0.25">
      <c r="T282" s="9">
        <f>IF(C282&lt;&gt;0,C282-Gear!$C$8,0)</f>
        <v>0</v>
      </c>
    </row>
    <row r="283" spans="20:20" x14ac:dyDescent="0.25">
      <c r="T283" s="9">
        <f>IF(C283&lt;&gt;0,C283-Gear!$C$8,0)</f>
        <v>0</v>
      </c>
    </row>
    <row r="284" spans="20:20" x14ac:dyDescent="0.25">
      <c r="T284" s="9">
        <f>IF(C284&lt;&gt;0,C284-Gear!$C$8,0)</f>
        <v>0</v>
      </c>
    </row>
    <row r="285" spans="20:20" x14ac:dyDescent="0.25">
      <c r="T285" s="9">
        <f>IF(C285&lt;&gt;0,C285-Gear!$C$8,0)</f>
        <v>0</v>
      </c>
    </row>
    <row r="286" spans="20:20" x14ac:dyDescent="0.25">
      <c r="T286" s="9">
        <f>IF(C286&lt;&gt;0,C286-Gear!$C$8,0)</f>
        <v>0</v>
      </c>
    </row>
    <row r="287" spans="20:20" x14ac:dyDescent="0.25">
      <c r="T287" s="9">
        <f>IF(C287&lt;&gt;0,C287-Gear!$C$8,0)</f>
        <v>0</v>
      </c>
    </row>
    <row r="288" spans="20:20" x14ac:dyDescent="0.25">
      <c r="T288" s="9">
        <f>IF(C288&lt;&gt;0,C288-Gear!$C$8,0)</f>
        <v>0</v>
      </c>
    </row>
    <row r="289" spans="20:20" x14ac:dyDescent="0.25">
      <c r="T289" s="9">
        <f>IF(C289&lt;&gt;0,C289-Gear!$C$8,0)</f>
        <v>0</v>
      </c>
    </row>
    <row r="290" spans="20:20" x14ac:dyDescent="0.25">
      <c r="T290" s="9">
        <f>IF(C290&lt;&gt;0,C290-Gear!$C$8,0)</f>
        <v>0</v>
      </c>
    </row>
    <row r="291" spans="20:20" x14ac:dyDescent="0.25">
      <c r="T291" s="9">
        <f>IF(C291&lt;&gt;0,C291-Gear!$C$8,0)</f>
        <v>0</v>
      </c>
    </row>
    <row r="292" spans="20:20" x14ac:dyDescent="0.25">
      <c r="T292" s="9">
        <f>IF(C292&lt;&gt;0,C292-Gear!$C$8,0)</f>
        <v>0</v>
      </c>
    </row>
    <row r="293" spans="20:20" x14ac:dyDescent="0.25">
      <c r="T293" s="9">
        <f>IF(C293&lt;&gt;0,C293-Gear!$C$8,0)</f>
        <v>0</v>
      </c>
    </row>
    <row r="294" spans="20:20" x14ac:dyDescent="0.25">
      <c r="T294" s="9">
        <f>IF(C294&lt;&gt;0,C294-Gear!$C$8,0)</f>
        <v>0</v>
      </c>
    </row>
    <row r="295" spans="20:20" x14ac:dyDescent="0.25">
      <c r="T295" s="9">
        <f>IF(C295&lt;&gt;0,C295-Gear!$C$8,0)</f>
        <v>0</v>
      </c>
    </row>
    <row r="296" spans="20:20" x14ac:dyDescent="0.25">
      <c r="T296" s="9">
        <f>IF(C296&lt;&gt;0,C296-Gear!$C$8,0)</f>
        <v>0</v>
      </c>
    </row>
    <row r="297" spans="20:20" x14ac:dyDescent="0.25">
      <c r="T297" s="9">
        <f>IF(C297&lt;&gt;0,C297-Gear!$C$8,0)</f>
        <v>0</v>
      </c>
    </row>
    <row r="298" spans="20:20" x14ac:dyDescent="0.25">
      <c r="T298" s="9">
        <f>IF(C298&lt;&gt;0,C298-Gear!$C$8,0)</f>
        <v>0</v>
      </c>
    </row>
    <row r="299" spans="20:20" x14ac:dyDescent="0.25">
      <c r="T299" s="9">
        <f>IF(C299&lt;&gt;0,C299-Gear!$C$8,0)</f>
        <v>0</v>
      </c>
    </row>
    <row r="300" spans="20:20" x14ac:dyDescent="0.25">
      <c r="T300" s="9">
        <f>IF(C300&lt;&gt;0,C300-Gear!$C$8,0)</f>
        <v>0</v>
      </c>
    </row>
    <row r="301" spans="20:20" x14ac:dyDescent="0.25">
      <c r="T301" s="9">
        <f>IF(C301&lt;&gt;0,C301-Gear!$C$8,0)</f>
        <v>0</v>
      </c>
    </row>
    <row r="302" spans="20:20" x14ac:dyDescent="0.25">
      <c r="T302" s="9">
        <f>IF(C302&lt;&gt;0,C302-Gear!$C$8,0)</f>
        <v>0</v>
      </c>
    </row>
    <row r="303" spans="20:20" x14ac:dyDescent="0.25">
      <c r="T303" s="9">
        <f>IF(C303&lt;&gt;0,C303-Gear!$C$8,0)</f>
        <v>0</v>
      </c>
    </row>
    <row r="304" spans="20:20" x14ac:dyDescent="0.25">
      <c r="T304" s="9">
        <f>IF(C304&lt;&gt;0,C304-Gear!$C$8,0)</f>
        <v>0</v>
      </c>
    </row>
    <row r="305" spans="20:20" x14ac:dyDescent="0.25">
      <c r="T305" s="9">
        <f>IF(C305&lt;&gt;0,C305-Gear!$C$8,0)</f>
        <v>0</v>
      </c>
    </row>
    <row r="306" spans="20:20" x14ac:dyDescent="0.25">
      <c r="T306" s="9">
        <f>IF(C306&lt;&gt;0,C306-Gear!$C$8,0)</f>
        <v>0</v>
      </c>
    </row>
    <row r="307" spans="20:20" x14ac:dyDescent="0.25">
      <c r="T307" s="9">
        <f>IF(C307&lt;&gt;0,C307-Gear!$C$8,0)</f>
        <v>0</v>
      </c>
    </row>
    <row r="308" spans="20:20" x14ac:dyDescent="0.25">
      <c r="T308" s="9">
        <f>IF(C308&lt;&gt;0,C308-Gear!$C$8,0)</f>
        <v>0</v>
      </c>
    </row>
    <row r="309" spans="20:20" x14ac:dyDescent="0.25">
      <c r="T309" s="9">
        <f>IF(C309&lt;&gt;0,C309-Gear!$C$8,0)</f>
        <v>0</v>
      </c>
    </row>
    <row r="310" spans="20:20" x14ac:dyDescent="0.25">
      <c r="T310" s="9">
        <f>IF(C310&lt;&gt;0,C310-Gear!$C$8,0)</f>
        <v>0</v>
      </c>
    </row>
    <row r="311" spans="20:20" x14ac:dyDescent="0.25">
      <c r="T311" s="9">
        <f>IF(C311&lt;&gt;0,C311-Gear!$C$8,0)</f>
        <v>0</v>
      </c>
    </row>
    <row r="312" spans="20:20" x14ac:dyDescent="0.25">
      <c r="T312" s="9">
        <f>IF(C312&lt;&gt;0,C312-Gear!$C$8,0)</f>
        <v>0</v>
      </c>
    </row>
    <row r="313" spans="20:20" x14ac:dyDescent="0.25">
      <c r="T313" s="9">
        <f>IF(C313&lt;&gt;0,C313-Gear!$C$8,0)</f>
        <v>0</v>
      </c>
    </row>
    <row r="314" spans="20:20" x14ac:dyDescent="0.25">
      <c r="T314" s="9">
        <f>IF(C314&lt;&gt;0,C314-Gear!$C$8,0)</f>
        <v>0</v>
      </c>
    </row>
    <row r="315" spans="20:20" x14ac:dyDescent="0.25">
      <c r="T315" s="9">
        <f>IF(C315&lt;&gt;0,C315-Gear!$C$8,0)</f>
        <v>0</v>
      </c>
    </row>
    <row r="316" spans="20:20" x14ac:dyDescent="0.25">
      <c r="T316" s="9">
        <f>IF(C316&lt;&gt;0,C316-Gear!$C$8,0)</f>
        <v>0</v>
      </c>
    </row>
    <row r="317" spans="20:20" x14ac:dyDescent="0.25">
      <c r="T317" s="9">
        <f>IF(C317&lt;&gt;0,C317-Gear!$C$8,0)</f>
        <v>0</v>
      </c>
    </row>
    <row r="318" spans="20:20" x14ac:dyDescent="0.25">
      <c r="T318" s="9">
        <f>IF(C318&lt;&gt;0,C318-Gear!$C$8,0)</f>
        <v>0</v>
      </c>
    </row>
    <row r="319" spans="20:20" x14ac:dyDescent="0.25">
      <c r="T319" s="9">
        <f>IF(C319&lt;&gt;0,C319-Gear!$C$8,0)</f>
        <v>0</v>
      </c>
    </row>
    <row r="320" spans="20:20" x14ac:dyDescent="0.25">
      <c r="T320" s="9">
        <f>IF(C320&lt;&gt;0,C320-Gear!$C$8,0)</f>
        <v>0</v>
      </c>
    </row>
    <row r="321" spans="20:20" x14ac:dyDescent="0.25">
      <c r="T321" s="9">
        <f>IF(C321&lt;&gt;0,C321-Gear!$C$8,0)</f>
        <v>0</v>
      </c>
    </row>
    <row r="322" spans="20:20" x14ac:dyDescent="0.25">
      <c r="T322" s="9">
        <f>IF(C322&lt;&gt;0,C322-Gear!$C$8,0)</f>
        <v>0</v>
      </c>
    </row>
    <row r="323" spans="20:20" x14ac:dyDescent="0.25">
      <c r="T323" s="9">
        <f>IF(C323&lt;&gt;0,C323-Gear!$C$8,0)</f>
        <v>0</v>
      </c>
    </row>
    <row r="324" spans="20:20" x14ac:dyDescent="0.25">
      <c r="T324" s="9">
        <f>IF(C324&lt;&gt;0,C324-Gear!$C$8,0)</f>
        <v>0</v>
      </c>
    </row>
    <row r="325" spans="20:20" x14ac:dyDescent="0.25">
      <c r="T325" s="9">
        <f>IF(C325&lt;&gt;0,C325-Gear!$C$8,0)</f>
        <v>0</v>
      </c>
    </row>
    <row r="326" spans="20:20" x14ac:dyDescent="0.25">
      <c r="T326" s="9">
        <f>IF(C326&lt;&gt;0,C326-Gear!$C$8,0)</f>
        <v>0</v>
      </c>
    </row>
    <row r="327" spans="20:20" x14ac:dyDescent="0.25">
      <c r="T327" s="9">
        <f>IF(C327&lt;&gt;0,C327-Gear!$C$8,0)</f>
        <v>0</v>
      </c>
    </row>
    <row r="328" spans="20:20" x14ac:dyDescent="0.25">
      <c r="T328" s="9">
        <f>IF(C328&lt;&gt;0,C328-Gear!$C$8,0)</f>
        <v>0</v>
      </c>
    </row>
    <row r="329" spans="20:20" x14ac:dyDescent="0.25">
      <c r="T329" s="9">
        <f>IF(C329&lt;&gt;0,C329-Gear!$C$8,0)</f>
        <v>0</v>
      </c>
    </row>
    <row r="330" spans="20:20" x14ac:dyDescent="0.25">
      <c r="T330" s="9">
        <f>IF(C330&lt;&gt;0,C330-Gear!$C$8,0)</f>
        <v>0</v>
      </c>
    </row>
    <row r="331" spans="20:20" x14ac:dyDescent="0.25">
      <c r="T331" s="9">
        <f>IF(C331&lt;&gt;0,C331-Gear!$C$8,0)</f>
        <v>0</v>
      </c>
    </row>
    <row r="332" spans="20:20" x14ac:dyDescent="0.25">
      <c r="T332" s="9">
        <f>IF(C332&lt;&gt;0,C332-Gear!$C$8,0)</f>
        <v>0</v>
      </c>
    </row>
    <row r="333" spans="20:20" x14ac:dyDescent="0.25">
      <c r="T333" s="9">
        <f>IF(C333&lt;&gt;0,C333-Gear!$C$8,0)</f>
        <v>0</v>
      </c>
    </row>
    <row r="334" spans="20:20" x14ac:dyDescent="0.25">
      <c r="T334" s="9">
        <f>IF(C334&lt;&gt;0,C334-Gear!$C$8,0)</f>
        <v>0</v>
      </c>
    </row>
    <row r="335" spans="20:20" x14ac:dyDescent="0.25">
      <c r="T335" s="9">
        <f>IF(C335&lt;&gt;0,C335-Gear!$C$8,0)</f>
        <v>0</v>
      </c>
    </row>
    <row r="336" spans="20:20" x14ac:dyDescent="0.25">
      <c r="T336" s="9">
        <f>IF(C336&lt;&gt;0,C336-Gear!$C$8,0)</f>
        <v>0</v>
      </c>
    </row>
    <row r="337" spans="20:20" x14ac:dyDescent="0.25">
      <c r="T337" s="9">
        <f>IF(C337&lt;&gt;0,C337-Gear!$C$8,0)</f>
        <v>0</v>
      </c>
    </row>
    <row r="338" spans="20:20" x14ac:dyDescent="0.25">
      <c r="T338" s="9">
        <f>IF(C338&lt;&gt;0,C338-Gear!$C$8,0)</f>
        <v>0</v>
      </c>
    </row>
    <row r="339" spans="20:20" x14ac:dyDescent="0.25">
      <c r="T339" s="9">
        <f>IF(C339&lt;&gt;0,C339-Gear!$C$8,0)</f>
        <v>0</v>
      </c>
    </row>
    <row r="340" spans="20:20" x14ac:dyDescent="0.25">
      <c r="T340" s="9">
        <f>IF(C340&lt;&gt;0,C340-Gear!$C$8,0)</f>
        <v>0</v>
      </c>
    </row>
    <row r="341" spans="20:20" x14ac:dyDescent="0.25">
      <c r="T341" s="9">
        <f>IF(C341&lt;&gt;0,C341-Gear!$C$8,0)</f>
        <v>0</v>
      </c>
    </row>
    <row r="342" spans="20:20" x14ac:dyDescent="0.25">
      <c r="T342" s="9">
        <f>IF(C342&lt;&gt;0,C342-Gear!$C$8,0)</f>
        <v>0</v>
      </c>
    </row>
    <row r="343" spans="20:20" x14ac:dyDescent="0.25">
      <c r="T343" s="9">
        <f>IF(C343&lt;&gt;0,C343-Gear!$C$8,0)</f>
        <v>0</v>
      </c>
    </row>
    <row r="344" spans="20:20" x14ac:dyDescent="0.25">
      <c r="T344" s="9">
        <f>IF(C344&lt;&gt;0,C344-Gear!$C$8,0)</f>
        <v>0</v>
      </c>
    </row>
    <row r="345" spans="20:20" x14ac:dyDescent="0.25">
      <c r="T345" s="9">
        <f>IF(C345&lt;&gt;0,C345-Gear!$C$8,0)</f>
        <v>0</v>
      </c>
    </row>
    <row r="346" spans="20:20" x14ac:dyDescent="0.25">
      <c r="T346" s="9">
        <f>IF(C346&lt;&gt;0,C346-Gear!$C$8,0)</f>
        <v>0</v>
      </c>
    </row>
    <row r="347" spans="20:20" x14ac:dyDescent="0.25">
      <c r="T347" s="9">
        <f>IF(C347&lt;&gt;0,C347-Gear!$C$8,0)</f>
        <v>0</v>
      </c>
    </row>
    <row r="348" spans="20:20" x14ac:dyDescent="0.25">
      <c r="T348" s="9">
        <f>IF(C348&lt;&gt;0,C348-Gear!$C$8,0)</f>
        <v>0</v>
      </c>
    </row>
    <row r="349" spans="20:20" x14ac:dyDescent="0.25">
      <c r="T349" s="9">
        <f>IF(C349&lt;&gt;0,C349-Gear!$C$8,0)</f>
        <v>0</v>
      </c>
    </row>
    <row r="350" spans="20:20" x14ac:dyDescent="0.25">
      <c r="T350" s="9">
        <f>IF(C350&lt;&gt;0,C350-Gear!$C$8,0)</f>
        <v>0</v>
      </c>
    </row>
    <row r="351" spans="20:20" x14ac:dyDescent="0.25">
      <c r="T351" s="9">
        <f>IF(C351&lt;&gt;0,C351-Gear!$C$8,0)</f>
        <v>0</v>
      </c>
    </row>
    <row r="352" spans="20:20" x14ac:dyDescent="0.25">
      <c r="T352" s="9">
        <f>IF(C352&lt;&gt;0,C352-Gear!$C$8,0)</f>
        <v>0</v>
      </c>
    </row>
    <row r="353" spans="20:20" x14ac:dyDescent="0.25">
      <c r="T353" s="9">
        <f>IF(C353&lt;&gt;0,C353-Gear!$C$8,0)</f>
        <v>0</v>
      </c>
    </row>
    <row r="354" spans="20:20" x14ac:dyDescent="0.25">
      <c r="T354" s="9">
        <f>IF(C354&lt;&gt;0,C354-Gear!$C$8,0)</f>
        <v>0</v>
      </c>
    </row>
    <row r="355" spans="20:20" x14ac:dyDescent="0.25">
      <c r="T355" s="9">
        <f>IF(C355&lt;&gt;0,C355-Gear!$C$8,0)</f>
        <v>0</v>
      </c>
    </row>
    <row r="356" spans="20:20" x14ac:dyDescent="0.25">
      <c r="T356" s="9">
        <f>IF(C356&lt;&gt;0,C356-Gear!$C$8,0)</f>
        <v>0</v>
      </c>
    </row>
    <row r="357" spans="20:20" x14ac:dyDescent="0.25">
      <c r="T357" s="9">
        <f>IF(C357&lt;&gt;0,C357-Gear!$C$8,0)</f>
        <v>0</v>
      </c>
    </row>
    <row r="358" spans="20:20" x14ac:dyDescent="0.25">
      <c r="T358" s="9">
        <f>IF(C358&lt;&gt;0,C358-Gear!$C$8,0)</f>
        <v>0</v>
      </c>
    </row>
    <row r="359" spans="20:20" x14ac:dyDescent="0.25">
      <c r="T359" s="9">
        <f>IF(C359&lt;&gt;0,C359-Gear!$C$8,0)</f>
        <v>0</v>
      </c>
    </row>
    <row r="360" spans="20:20" x14ac:dyDescent="0.25">
      <c r="T360" s="9">
        <f>IF(C360&lt;&gt;0,C360-Gear!$C$8,0)</f>
        <v>0</v>
      </c>
    </row>
    <row r="361" spans="20:20" x14ac:dyDescent="0.25">
      <c r="T361" s="9">
        <f>IF(C361&lt;&gt;0,C361-Gear!$C$8,0)</f>
        <v>0</v>
      </c>
    </row>
    <row r="362" spans="20:20" x14ac:dyDescent="0.25">
      <c r="T362" s="9">
        <f>IF(C362&lt;&gt;0,C362-Gear!$C$8,0)</f>
        <v>0</v>
      </c>
    </row>
    <row r="363" spans="20:20" x14ac:dyDescent="0.25">
      <c r="T363" s="9">
        <f>IF(C363&lt;&gt;0,C363-Gear!$C$8,0)</f>
        <v>0</v>
      </c>
    </row>
    <row r="364" spans="20:20" x14ac:dyDescent="0.25">
      <c r="T364" s="9">
        <f>IF(C364&lt;&gt;0,C364-Gear!$C$8,0)</f>
        <v>0</v>
      </c>
    </row>
    <row r="365" spans="20:20" x14ac:dyDescent="0.25">
      <c r="T365" s="9">
        <f>IF(C365&lt;&gt;0,C365-Gear!$C$8,0)</f>
        <v>0</v>
      </c>
    </row>
    <row r="366" spans="20:20" x14ac:dyDescent="0.25">
      <c r="T366" s="9">
        <f>IF(C366&lt;&gt;0,C366-Gear!$C$8,0)</f>
        <v>0</v>
      </c>
    </row>
    <row r="367" spans="20:20" x14ac:dyDescent="0.25">
      <c r="T367" s="9">
        <f>IF(C367&lt;&gt;0,C367-Gear!$C$8,0)</f>
        <v>0</v>
      </c>
    </row>
    <row r="368" spans="20:20" x14ac:dyDescent="0.25">
      <c r="T368" s="9">
        <f>IF(C368&lt;&gt;0,C368-Gear!$C$8,0)</f>
        <v>0</v>
      </c>
    </row>
    <row r="369" spans="20:20" x14ac:dyDescent="0.25">
      <c r="T369" s="9">
        <f>IF(C369&lt;&gt;0,C369-Gear!$C$8,0)</f>
        <v>0</v>
      </c>
    </row>
    <row r="370" spans="20:20" x14ac:dyDescent="0.25">
      <c r="T370" s="9">
        <f>IF(C370&lt;&gt;0,C370-Gear!$C$8,0)</f>
        <v>0</v>
      </c>
    </row>
    <row r="371" spans="20:20" x14ac:dyDescent="0.25">
      <c r="T371" s="9">
        <f>IF(C371&lt;&gt;0,C371-Gear!$C$8,0)</f>
        <v>0</v>
      </c>
    </row>
    <row r="372" spans="20:20" x14ac:dyDescent="0.25">
      <c r="T372" s="9">
        <f>IF(C372&lt;&gt;0,C372-Gear!$C$8,0)</f>
        <v>0</v>
      </c>
    </row>
    <row r="373" spans="20:20" x14ac:dyDescent="0.25">
      <c r="T373" s="9">
        <f>IF(C373&lt;&gt;0,C373-Gear!$C$8,0)</f>
        <v>0</v>
      </c>
    </row>
    <row r="374" spans="20:20" x14ac:dyDescent="0.25">
      <c r="T374" s="9">
        <f>IF(C374&lt;&gt;0,C374-Gear!$C$8,0)</f>
        <v>0</v>
      </c>
    </row>
    <row r="375" spans="20:20" x14ac:dyDescent="0.25">
      <c r="T375" s="9">
        <f>IF(C375&lt;&gt;0,C375-Gear!$C$8,0)</f>
        <v>0</v>
      </c>
    </row>
    <row r="376" spans="20:20" x14ac:dyDescent="0.25">
      <c r="T376" s="9">
        <f>IF(C376&lt;&gt;0,C376-Gear!$C$8,0)</f>
        <v>0</v>
      </c>
    </row>
    <row r="377" spans="20:20" x14ac:dyDescent="0.25">
      <c r="T377" s="9">
        <f>IF(C377&lt;&gt;0,C377-Gear!$C$8,0)</f>
        <v>0</v>
      </c>
    </row>
    <row r="378" spans="20:20" x14ac:dyDescent="0.25">
      <c r="T378" s="9">
        <f>IF(C378&lt;&gt;0,C378-Gear!$C$8,0)</f>
        <v>0</v>
      </c>
    </row>
    <row r="379" spans="20:20" x14ac:dyDescent="0.25">
      <c r="T379" s="9">
        <f>IF(C379&lt;&gt;0,C379-Gear!$C$8,0)</f>
        <v>0</v>
      </c>
    </row>
    <row r="380" spans="20:20" x14ac:dyDescent="0.25">
      <c r="T380" s="9">
        <f>IF(C380&lt;&gt;0,C380-Gear!$C$8,0)</f>
        <v>0</v>
      </c>
    </row>
    <row r="381" spans="20:20" x14ac:dyDescent="0.25">
      <c r="T381" s="9">
        <f>IF(C381&lt;&gt;0,C381-Gear!$C$8,0)</f>
        <v>0</v>
      </c>
    </row>
    <row r="382" spans="20:20" x14ac:dyDescent="0.25">
      <c r="T382" s="9">
        <f>IF(C382&lt;&gt;0,C382-Gear!$C$8,0)</f>
        <v>0</v>
      </c>
    </row>
    <row r="383" spans="20:20" x14ac:dyDescent="0.25">
      <c r="T383" s="9">
        <f>IF(C383&lt;&gt;0,C383-Gear!$C$8,0)</f>
        <v>0</v>
      </c>
    </row>
    <row r="384" spans="20:20" x14ac:dyDescent="0.25">
      <c r="T384" s="9">
        <f>IF(C384&lt;&gt;0,C384-Gear!$C$8,0)</f>
        <v>0</v>
      </c>
    </row>
    <row r="385" spans="20:20" x14ac:dyDescent="0.25">
      <c r="T385" s="9">
        <f>IF(C385&lt;&gt;0,C385-Gear!$C$8,0)</f>
        <v>0</v>
      </c>
    </row>
    <row r="386" spans="20:20" x14ac:dyDescent="0.25">
      <c r="T386" s="9">
        <f>IF(C386&lt;&gt;0,C386-Gear!$C$8,0)</f>
        <v>0</v>
      </c>
    </row>
    <row r="387" spans="20:20" x14ac:dyDescent="0.25">
      <c r="T387" s="9">
        <f>IF(C387&lt;&gt;0,C387-Gear!$C$8,0)</f>
        <v>0</v>
      </c>
    </row>
    <row r="388" spans="20:20" x14ac:dyDescent="0.25">
      <c r="T388" s="9">
        <f>IF(C388&lt;&gt;0,C388-Gear!$C$8,0)</f>
        <v>0</v>
      </c>
    </row>
    <row r="389" spans="20:20" x14ac:dyDescent="0.25">
      <c r="T389" s="9">
        <f>IF(C389&lt;&gt;0,C389-Gear!$C$8,0)</f>
        <v>0</v>
      </c>
    </row>
    <row r="390" spans="20:20" x14ac:dyDescent="0.25">
      <c r="T390" s="9">
        <f>IF(C390&lt;&gt;0,C390-Gear!$C$8,0)</f>
        <v>0</v>
      </c>
    </row>
    <row r="391" spans="20:20" x14ac:dyDescent="0.25">
      <c r="T391" s="9">
        <f>IF(C391&lt;&gt;0,C391-Gear!$C$8,0)</f>
        <v>0</v>
      </c>
    </row>
    <row r="392" spans="20:20" x14ac:dyDescent="0.25">
      <c r="T392" s="9">
        <f>IF(C392&lt;&gt;0,C392-Gear!$C$8,0)</f>
        <v>0</v>
      </c>
    </row>
    <row r="393" spans="20:20" x14ac:dyDescent="0.25">
      <c r="T393" s="9">
        <f>IF(C393&lt;&gt;0,C393-Gear!$C$8,0)</f>
        <v>0</v>
      </c>
    </row>
    <row r="394" spans="20:20" x14ac:dyDescent="0.25">
      <c r="T394" s="9">
        <f>IF(C394&lt;&gt;0,C394-Gear!$C$8,0)</f>
        <v>0</v>
      </c>
    </row>
    <row r="395" spans="20:20" x14ac:dyDescent="0.25">
      <c r="T395" s="9">
        <f>IF(C395&lt;&gt;0,C395-Gear!$C$8,0)</f>
        <v>0</v>
      </c>
    </row>
  </sheetData>
  <conditionalFormatting sqref="U2:U137">
    <cfRule type="cellIs" dxfId="8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78B9-3F4F-4896-9ACD-8EBEFA063A5E}">
  <sheetPr codeName="Tabelle12"/>
  <dimension ref="A1:U300"/>
  <sheetViews>
    <sheetView showGridLines="0" workbookViewId="0">
      <selection activeCell="C5" sqref="C5"/>
    </sheetView>
  </sheetViews>
  <sheetFormatPr baseColWidth="10" defaultRowHeight="15" x14ac:dyDescent="0.25"/>
  <cols>
    <col min="1" max="1" width="6" style="9" bestFit="1" customWidth="1"/>
    <col min="2" max="2" width="18.5703125" style="9" bestFit="1" customWidth="1"/>
    <col min="3" max="3" width="12" style="9" bestFit="1" customWidth="1"/>
    <col min="4" max="4" width="9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Database'!A28</f>
        <v>22730</v>
      </c>
      <c r="B2" s="9" t="str">
        <f>'Item Database'!B28</f>
        <v>Eyestalk Waist Cord</v>
      </c>
      <c r="C2" s="12">
        <f>'Item Database'!C28</f>
        <v>17.540863623628088</v>
      </c>
      <c r="D2" s="9" t="str">
        <f>'Item Database'!D28</f>
        <v>Waist</v>
      </c>
      <c r="E2" s="9">
        <f>'Item Database'!E28</f>
        <v>75</v>
      </c>
      <c r="F2" s="9">
        <f>'Item Database'!F28</f>
        <v>0</v>
      </c>
      <c r="G2" s="9">
        <f>'Item Database'!G28</f>
        <v>10</v>
      </c>
      <c r="H2" s="9">
        <f>'Item Database'!H28</f>
        <v>0</v>
      </c>
      <c r="I2" s="9">
        <f>'Item Database'!I28</f>
        <v>9</v>
      </c>
      <c r="J2" s="9">
        <f>'Item Database'!J28</f>
        <v>0</v>
      </c>
      <c r="K2" s="9">
        <f>'Item Database'!K28</f>
        <v>41</v>
      </c>
      <c r="L2" s="35">
        <f>'Item Database'!L28</f>
        <v>0.01</v>
      </c>
      <c r="M2" s="35">
        <f>'Item Database'!M28</f>
        <v>0</v>
      </c>
      <c r="N2" s="9">
        <f>'Item Database'!N28</f>
        <v>0</v>
      </c>
      <c r="O2" s="9">
        <f>'Item Database'!O28</f>
        <v>0</v>
      </c>
      <c r="P2" s="9">
        <f>'Item Database'!P28</f>
        <v>0</v>
      </c>
      <c r="Q2" s="9">
        <f>'Item Database'!Q28</f>
        <v>0</v>
      </c>
      <c r="R2" s="9">
        <f>'Item Database'!R28</f>
        <v>0</v>
      </c>
      <c r="S2" s="9">
        <f>'Item Database'!S28</f>
        <v>0</v>
      </c>
      <c r="T2" s="53" t="str">
        <f>HYPERLINK('Item Database'!T28)</f>
        <v>https://classic.wowhead.com/item=22730</v>
      </c>
      <c r="U2" s="9">
        <f>IF(C2&lt;&gt;0,C2-Gear!$C$9,0)</f>
        <v>17.540863623628088</v>
      </c>
    </row>
    <row r="3" spans="1:21" x14ac:dyDescent="0.25">
      <c r="A3" s="24">
        <f>'Item Database'!A40</f>
        <v>21597</v>
      </c>
      <c r="B3" s="9" t="str">
        <f>'Item Database'!B40</f>
        <v>Royal Scepter of Vek'lor</v>
      </c>
      <c r="C3" s="12">
        <f>'Item Database'!C40</f>
        <v>13.214985009211457</v>
      </c>
      <c r="D3" s="9" t="str">
        <f>'Item Database'!D40</f>
        <v>Offhand</v>
      </c>
      <c r="E3" s="9">
        <f>'Item Database'!E40</f>
        <v>0</v>
      </c>
      <c r="F3" s="9">
        <f>'Item Database'!F40</f>
        <v>0</v>
      </c>
      <c r="G3" s="9">
        <f>'Item Database'!G40</f>
        <v>10</v>
      </c>
      <c r="H3" s="9">
        <f>'Item Database'!H40</f>
        <v>0</v>
      </c>
      <c r="I3" s="9">
        <f>'Item Database'!I40</f>
        <v>9</v>
      </c>
      <c r="J3" s="9">
        <f>'Item Database'!J40</f>
        <v>0</v>
      </c>
      <c r="K3" s="9">
        <f>'Item Database'!K40</f>
        <v>20</v>
      </c>
      <c r="L3" s="35">
        <f>'Item Database'!L40</f>
        <v>0.01</v>
      </c>
      <c r="M3" s="35">
        <f>'Item Database'!M40</f>
        <v>0.01</v>
      </c>
      <c r="N3" s="9">
        <f>'Item Database'!N40</f>
        <v>0</v>
      </c>
      <c r="O3" s="9">
        <f>'Item Database'!O40</f>
        <v>0</v>
      </c>
      <c r="P3" s="9">
        <f>'Item Database'!P40</f>
        <v>0</v>
      </c>
      <c r="Q3" s="9">
        <f>'Item Database'!Q40</f>
        <v>0</v>
      </c>
      <c r="R3" s="9">
        <f>'Item Database'!R40</f>
        <v>0</v>
      </c>
      <c r="S3" s="9">
        <f>'Item Database'!S40</f>
        <v>0</v>
      </c>
      <c r="T3" s="53" t="str">
        <f>HYPERLINK('Item Database'!T40)</f>
        <v>https://classic.wowhead.com/item=21597</v>
      </c>
      <c r="U3" s="9">
        <f>IF(C3&lt;&gt;0,C3-Gear!$C$9,0)</f>
        <v>13.214985009211457</v>
      </c>
    </row>
    <row r="4" spans="1:21" x14ac:dyDescent="0.25">
      <c r="A4" s="24">
        <f>'Item Database'!A64</f>
        <v>21600</v>
      </c>
      <c r="B4" s="9" t="str">
        <f>'Item Database'!B64</f>
        <v>Boots of Epiphany</v>
      </c>
      <c r="C4" s="12">
        <f>'Item Database'!C64</f>
        <v>12.989001795945736</v>
      </c>
      <c r="D4" s="9" t="str">
        <f>'Item Database'!D64</f>
        <v>Feet</v>
      </c>
      <c r="E4" s="9">
        <f>'Item Database'!E64</f>
        <v>84</v>
      </c>
      <c r="F4" s="9">
        <f>'Item Database'!F64</f>
        <v>0</v>
      </c>
      <c r="G4" s="9">
        <f>'Item Database'!G64</f>
        <v>18</v>
      </c>
      <c r="H4" s="9">
        <f>'Item Database'!H64</f>
        <v>0</v>
      </c>
      <c r="I4" s="9">
        <f>'Item Database'!I64</f>
        <v>19</v>
      </c>
      <c r="J4" s="9">
        <f>'Item Database'!J64</f>
        <v>0</v>
      </c>
      <c r="K4" s="9">
        <f>'Item Database'!K64</f>
        <v>34</v>
      </c>
      <c r="L4" s="35">
        <f>'Item Database'!L64</f>
        <v>0</v>
      </c>
      <c r="M4" s="35">
        <f>'Item Database'!M64</f>
        <v>0</v>
      </c>
      <c r="N4" s="9">
        <f>'Item Database'!N64</f>
        <v>0</v>
      </c>
      <c r="O4" s="9">
        <f>'Item Database'!O64</f>
        <v>0</v>
      </c>
      <c r="P4" s="9">
        <f>'Item Database'!P64</f>
        <v>0</v>
      </c>
      <c r="Q4" s="9">
        <f>'Item Database'!Q64</f>
        <v>0</v>
      </c>
      <c r="R4" s="9">
        <f>'Item Database'!R64</f>
        <v>0</v>
      </c>
      <c r="S4" s="9">
        <f>'Item Database'!S64</f>
        <v>0</v>
      </c>
      <c r="T4" s="53" t="str">
        <f>HYPERLINK('Item Database'!T64)</f>
        <v>https://classic.wowhead.com/item=21600</v>
      </c>
      <c r="U4" s="9">
        <f>IF(C4&lt;&gt;0,C4-Gear!$C$9,0)</f>
        <v>12.989001795945736</v>
      </c>
    </row>
    <row r="5" spans="1:21" x14ac:dyDescent="0.25">
      <c r="A5" s="24">
        <f>'Item Database'!A65</f>
        <v>19374</v>
      </c>
      <c r="B5" s="9" t="str">
        <f>'Item Database'!B65</f>
        <v>Bracers of Arcane Accuracy</v>
      </c>
      <c r="C5" s="12">
        <f>'Item Database'!C65</f>
        <v>11.246916527593449</v>
      </c>
      <c r="D5" s="9" t="str">
        <f>'Item Database'!D65</f>
        <v>Wrist</v>
      </c>
      <c r="E5" s="9">
        <f>'Item Database'!E65</f>
        <v>50</v>
      </c>
      <c r="F5" s="9">
        <f>'Item Database'!F65</f>
        <v>0</v>
      </c>
      <c r="G5" s="9">
        <f>'Item Database'!G65</f>
        <v>9</v>
      </c>
      <c r="H5" s="9">
        <f>'Item Database'!H65</f>
        <v>0</v>
      </c>
      <c r="I5" s="9">
        <f>'Item Database'!I65</f>
        <v>12</v>
      </c>
      <c r="J5" s="9">
        <f>'Item Database'!J65</f>
        <v>0</v>
      </c>
      <c r="K5" s="9">
        <f>'Item Database'!K65</f>
        <v>21</v>
      </c>
      <c r="L5" s="35">
        <f>'Item Database'!L65</f>
        <v>0</v>
      </c>
      <c r="M5" s="35">
        <f>'Item Database'!M65</f>
        <v>0.01</v>
      </c>
      <c r="N5" s="9">
        <f>'Item Database'!N65</f>
        <v>0</v>
      </c>
      <c r="O5" s="9">
        <f>'Item Database'!O65</f>
        <v>0</v>
      </c>
      <c r="P5" s="9">
        <f>'Item Database'!P65</f>
        <v>0</v>
      </c>
      <c r="Q5" s="9">
        <f>'Item Database'!Q65</f>
        <v>0</v>
      </c>
      <c r="R5" s="9">
        <f>'Item Database'!R65</f>
        <v>0</v>
      </c>
      <c r="S5" s="9">
        <f>'Item Database'!S65</f>
        <v>0</v>
      </c>
      <c r="T5" s="53" t="str">
        <f>HYPERLINK('Item Database'!T65)</f>
        <v>https://classic.wowhead.com/item=19374</v>
      </c>
      <c r="U5" s="9">
        <f>IF(C5&lt;&gt;0,C5-Gear!$C$9,0)</f>
        <v>11.246916527593449</v>
      </c>
    </row>
    <row r="6" spans="1:21" x14ac:dyDescent="0.25">
      <c r="A6" s="24">
        <f>'Item Database'!A98</f>
        <v>23017</v>
      </c>
      <c r="B6" s="9" t="str">
        <f>'Item Database'!B98</f>
        <v>Veil of Eclipse</v>
      </c>
      <c r="C6" s="12">
        <f>'Item Database'!C98</f>
        <v>10.464237995193274</v>
      </c>
      <c r="D6" s="9" t="str">
        <f>'Item Database'!D98</f>
        <v>Back</v>
      </c>
      <c r="E6" s="9">
        <f>'Item Database'!E98</f>
        <v>63</v>
      </c>
      <c r="F6" s="9">
        <f>'Item Database'!F98</f>
        <v>0</v>
      </c>
      <c r="G6" s="9">
        <f>'Item Database'!G98</f>
        <v>10</v>
      </c>
      <c r="H6" s="9">
        <f>'Item Database'!H98</f>
        <v>0</v>
      </c>
      <c r="I6" s="9">
        <f>'Item Database'!I98</f>
        <v>10</v>
      </c>
      <c r="J6" s="9">
        <f>'Item Database'!J98</f>
        <v>0</v>
      </c>
      <c r="K6" s="9">
        <f>'Item Database'!K98</f>
        <v>28</v>
      </c>
      <c r="L6" s="35">
        <f>'Item Database'!L98</f>
        <v>0</v>
      </c>
      <c r="M6" s="35">
        <f>'Item Database'!M98</f>
        <v>0</v>
      </c>
      <c r="N6" s="9">
        <f>'Item Database'!N98</f>
        <v>0</v>
      </c>
      <c r="O6" s="9">
        <f>'Item Database'!O98</f>
        <v>0</v>
      </c>
      <c r="P6" s="9">
        <f>'Item Database'!P98</f>
        <v>0</v>
      </c>
      <c r="Q6" s="9">
        <f>'Item Database'!Q98</f>
        <v>0</v>
      </c>
      <c r="R6" s="9">
        <f>'Item Database'!R98</f>
        <v>0</v>
      </c>
      <c r="S6" s="9">
        <f>'Item Database'!S98</f>
        <v>0</v>
      </c>
      <c r="T6" s="53" t="str">
        <f>HYPERLINK('Item Database'!T98)</f>
        <v>https://classic.wowhead.com/item=23017</v>
      </c>
      <c r="U6" s="9">
        <f>IF(C6&lt;&gt;0,C6-Gear!$C$9,0)</f>
        <v>10.464237995193274</v>
      </c>
    </row>
    <row r="7" spans="1:21" x14ac:dyDescent="0.25">
      <c r="A7" s="9">
        <f>'Item Database'!A108</f>
        <v>21504</v>
      </c>
      <c r="B7" s="9" t="str">
        <f>'Item Database'!B108</f>
        <v>Charm of the Shifting Sands</v>
      </c>
      <c r="C7" s="12">
        <f>'Item Database'!C108</f>
        <v>9.469573438173347</v>
      </c>
      <c r="D7" s="9" t="str">
        <f>'Item Database'!D108</f>
        <v>Neck</v>
      </c>
      <c r="E7" s="9">
        <f>'Item Database'!E108</f>
        <v>0</v>
      </c>
      <c r="F7" s="9">
        <f>'Item Database'!F108</f>
        <v>0</v>
      </c>
      <c r="G7" s="9">
        <f>'Item Database'!G108</f>
        <v>9</v>
      </c>
      <c r="H7" s="9">
        <f>'Item Database'!H108</f>
        <v>0</v>
      </c>
      <c r="I7" s="9">
        <f>'Item Database'!I108</f>
        <v>12</v>
      </c>
      <c r="J7" s="9">
        <f>'Item Database'!J108</f>
        <v>0</v>
      </c>
      <c r="K7" s="9">
        <f>'Item Database'!K108</f>
        <v>25</v>
      </c>
      <c r="L7" s="35">
        <f>'Item Database'!L108</f>
        <v>0</v>
      </c>
      <c r="M7" s="35">
        <f>'Item Database'!M108</f>
        <v>0</v>
      </c>
      <c r="N7" s="9">
        <f>'Item Database'!N108</f>
        <v>0</v>
      </c>
      <c r="O7" s="9">
        <f>'Item Database'!O108</f>
        <v>0</v>
      </c>
      <c r="P7" s="9">
        <f>'Item Database'!P108</f>
        <v>0</v>
      </c>
      <c r="Q7" s="9">
        <f>'Item Database'!Q108</f>
        <v>0</v>
      </c>
      <c r="R7" s="9">
        <f>'Item Database'!R108</f>
        <v>0</v>
      </c>
      <c r="S7" s="9">
        <f>'Item Database'!S108</f>
        <v>0</v>
      </c>
      <c r="T7" s="53" t="str">
        <f>HYPERLINK('Item Database'!T108)</f>
        <v>https://classic.wowhead.com/item=21504</v>
      </c>
      <c r="U7" s="9">
        <f>IF(C7&lt;&gt;0,C7-Gear!$C$9,0)</f>
        <v>9.469573438173347</v>
      </c>
    </row>
    <row r="8" spans="1:21" x14ac:dyDescent="0.25">
      <c r="A8" s="24">
        <f>'Item Database'!A111</f>
        <v>22937</v>
      </c>
      <c r="B8" s="9" t="str">
        <f>'Item Database'!B111</f>
        <v>Gem of Nerubis</v>
      </c>
      <c r="C8" s="12">
        <f>'Item Database'!C111</f>
        <v>9.3871988709867917</v>
      </c>
      <c r="D8" s="9" t="str">
        <f>'Item Database'!D111</f>
        <v>Offhand</v>
      </c>
      <c r="E8" s="9">
        <f>'Item Database'!E111</f>
        <v>0</v>
      </c>
      <c r="F8" s="9">
        <f>'Item Database'!F111</f>
        <v>0</v>
      </c>
      <c r="G8" s="9">
        <f>'Item Database'!G111</f>
        <v>14</v>
      </c>
      <c r="H8" s="9">
        <f>'Item Database'!H111</f>
        <v>0</v>
      </c>
      <c r="I8" s="9">
        <f>'Item Database'!I111</f>
        <v>10</v>
      </c>
      <c r="J8" s="9">
        <f>'Item Database'!J111</f>
        <v>0</v>
      </c>
      <c r="K8" s="9">
        <f>'Item Database'!K111</f>
        <v>25</v>
      </c>
      <c r="L8" s="35">
        <f>'Item Database'!L111</f>
        <v>0</v>
      </c>
      <c r="M8" s="35">
        <f>'Item Database'!M111</f>
        <v>0</v>
      </c>
      <c r="N8" s="9">
        <f>'Item Database'!N111</f>
        <v>0</v>
      </c>
      <c r="O8" s="9">
        <f>'Item Database'!O111</f>
        <v>0</v>
      </c>
      <c r="P8" s="9">
        <f>'Item Database'!P111</f>
        <v>0</v>
      </c>
      <c r="Q8" s="9">
        <f>'Item Database'!Q111</f>
        <v>0</v>
      </c>
      <c r="R8" s="9">
        <f>'Item Database'!R111</f>
        <v>0</v>
      </c>
      <c r="S8" s="9">
        <f>'Item Database'!S111</f>
        <v>0</v>
      </c>
      <c r="T8" s="53" t="str">
        <f>HYPERLINK('Item Database'!T111)</f>
        <v>https://classic.wowhead.com/item=22937</v>
      </c>
      <c r="U8" s="9">
        <f>IF(C8&lt;&gt;0,C8-Gear!$C$9,0)</f>
        <v>9.3871988709867917</v>
      </c>
    </row>
    <row r="9" spans="1:21" x14ac:dyDescent="0.25">
      <c r="A9" s="24">
        <f>'Item Database'!A140</f>
        <v>11924</v>
      </c>
      <c r="B9" s="9" t="str">
        <f>'Item Database'!B140</f>
        <v>Robes of the Royal Crown</v>
      </c>
      <c r="C9" s="12">
        <f>'Item Database'!C140</f>
        <v>6.956482148358222</v>
      </c>
      <c r="D9" s="9" t="str">
        <f>'Item Database'!D140</f>
        <v>Chest</v>
      </c>
      <c r="E9" s="9">
        <f>'Item Database'!E140</f>
        <v>85</v>
      </c>
      <c r="F9" s="9">
        <f>'Item Database'!F140</f>
        <v>0</v>
      </c>
      <c r="G9" s="9">
        <f>'Item Database'!G140</f>
        <v>19</v>
      </c>
      <c r="H9" s="9">
        <f>'Item Database'!H140</f>
        <v>0</v>
      </c>
      <c r="I9" s="9">
        <f>'Item Database'!I140</f>
        <v>12</v>
      </c>
      <c r="J9" s="9">
        <f>'Item Database'!J140</f>
        <v>10</v>
      </c>
      <c r="K9" s="9">
        <f>'Item Database'!K140</f>
        <v>18</v>
      </c>
      <c r="L9" s="35">
        <f>'Item Database'!L140</f>
        <v>0</v>
      </c>
      <c r="M9" s="35">
        <f>'Item Database'!M140</f>
        <v>0</v>
      </c>
      <c r="N9" s="9">
        <f>'Item Database'!N140</f>
        <v>0</v>
      </c>
      <c r="O9" s="9">
        <f>'Item Database'!O140</f>
        <v>0</v>
      </c>
      <c r="P9" s="9">
        <f>'Item Database'!P140</f>
        <v>0</v>
      </c>
      <c r="Q9" s="9">
        <f>'Item Database'!Q140</f>
        <v>0</v>
      </c>
      <c r="R9" s="9">
        <f>'Item Database'!R140</f>
        <v>0</v>
      </c>
      <c r="S9" s="9">
        <f>'Item Database'!S140</f>
        <v>0</v>
      </c>
      <c r="T9" s="53" t="str">
        <f>HYPERLINK('Item Database'!T140)</f>
        <v>https://classic.wowhead.com/item=11924</v>
      </c>
      <c r="U9" s="9">
        <f>IF(C9&lt;&gt;0,C9-Gear!$C$9,0)</f>
        <v>6.956482148358222</v>
      </c>
    </row>
    <row r="10" spans="1:21" x14ac:dyDescent="0.25">
      <c r="A10" s="24">
        <f>'Item Database'!A153</f>
        <v>16802</v>
      </c>
      <c r="B10" s="9" t="str">
        <f>'Item Database'!B153</f>
        <v>Arcanist Belt</v>
      </c>
      <c r="C10" s="12">
        <f>'Item Database'!C153</f>
        <v>5.8499282514957969</v>
      </c>
      <c r="D10" s="9" t="str">
        <f>'Item Database'!D153</f>
        <v>Waist</v>
      </c>
      <c r="E10" s="9">
        <f>'Item Database'!E153</f>
        <v>57</v>
      </c>
      <c r="F10" s="9">
        <f>'Item Database'!F153</f>
        <v>0</v>
      </c>
      <c r="G10" s="9">
        <f>'Item Database'!G153</f>
        <v>11</v>
      </c>
      <c r="H10" s="9">
        <f>'Item Database'!H153</f>
        <v>0</v>
      </c>
      <c r="I10" s="9">
        <f>'Item Database'!I153</f>
        <v>20</v>
      </c>
      <c r="J10" s="9">
        <f>'Item Database'!J153</f>
        <v>10</v>
      </c>
      <c r="K10" s="9">
        <f>'Item Database'!K153</f>
        <v>14</v>
      </c>
      <c r="L10" s="35">
        <f>'Item Database'!L153</f>
        <v>0</v>
      </c>
      <c r="M10" s="35">
        <f>'Item Database'!M153</f>
        <v>0</v>
      </c>
      <c r="N10" s="9">
        <f>'Item Database'!N153</f>
        <v>0</v>
      </c>
      <c r="O10" s="9">
        <f>'Item Database'!O153</f>
        <v>10</v>
      </c>
      <c r="P10" s="9">
        <f>'Item Database'!P153</f>
        <v>0</v>
      </c>
      <c r="Q10" s="9">
        <f>'Item Database'!Q153</f>
        <v>0</v>
      </c>
      <c r="R10" s="9">
        <f>'Item Database'!R153</f>
        <v>0</v>
      </c>
      <c r="S10" s="9">
        <f>'Item Database'!S153</f>
        <v>0</v>
      </c>
      <c r="T10" s="53" t="str">
        <f>HYPERLINK('Item Database'!T153)</f>
        <v>https://classic.wowhead.com/item=16802</v>
      </c>
      <c r="U10" s="9">
        <f>IF(C10&lt;&gt;0,C10-Gear!$C$9,0)</f>
        <v>5.8499282514957969</v>
      </c>
    </row>
    <row r="11" spans="1:21" x14ac:dyDescent="0.25">
      <c r="A11" s="9">
        <f>'Item Database'!A157</f>
        <v>17078</v>
      </c>
      <c r="B11" s="9" t="str">
        <f>'Item Database'!B157</f>
        <v>Sapphiron Drape</v>
      </c>
      <c r="C11" s="12">
        <f>'Item Database'!C157</f>
        <v>5.7263664007159649</v>
      </c>
      <c r="D11" s="9" t="str">
        <f>'Item Database'!D157</f>
        <v>Back</v>
      </c>
      <c r="E11" s="9">
        <f>'Item Database'!E157</f>
        <v>55</v>
      </c>
      <c r="F11" s="9">
        <f>'Item Database'!F157</f>
        <v>0</v>
      </c>
      <c r="G11" s="9">
        <f>'Item Database'!G157</f>
        <v>10</v>
      </c>
      <c r="H11" s="9">
        <f>'Item Database'!H157</f>
        <v>0</v>
      </c>
      <c r="I11" s="9">
        <f>'Item Database'!I157</f>
        <v>17</v>
      </c>
      <c r="J11" s="9">
        <f>'Item Database'!J157</f>
        <v>0</v>
      </c>
      <c r="K11" s="9">
        <f>'Item Database'!K157</f>
        <v>14</v>
      </c>
      <c r="L11" s="35">
        <f>'Item Database'!L157</f>
        <v>0</v>
      </c>
      <c r="M11" s="35">
        <f>'Item Database'!M157</f>
        <v>0</v>
      </c>
      <c r="N11" s="9">
        <f>'Item Database'!N157</f>
        <v>0</v>
      </c>
      <c r="O11" s="9">
        <f>'Item Database'!O157</f>
        <v>0</v>
      </c>
      <c r="P11" s="9">
        <f>'Item Database'!P157</f>
        <v>6</v>
      </c>
      <c r="Q11" s="9">
        <f>'Item Database'!Q157</f>
        <v>0</v>
      </c>
      <c r="R11" s="9">
        <f>'Item Database'!R157</f>
        <v>0</v>
      </c>
      <c r="S11" s="9">
        <f>'Item Database'!S157</f>
        <v>6</v>
      </c>
      <c r="T11" s="53" t="str">
        <f>HYPERLINK('Item Database'!T157)</f>
        <v>https://classic.wowhead.com/item=17078</v>
      </c>
      <c r="U11" s="9">
        <f>IF(C11&lt;&gt;0,C11-Gear!$C$9,0)</f>
        <v>5.7263664007159649</v>
      </c>
    </row>
    <row r="12" spans="1:21" x14ac:dyDescent="0.25">
      <c r="A12" s="24">
        <f>'Item Database'!A159</f>
        <v>16801</v>
      </c>
      <c r="B12" s="9" t="str">
        <f>'Item Database'!B159</f>
        <v>Arcanist Gloves</v>
      </c>
      <c r="C12" s="12">
        <f>'Item Database'!C159</f>
        <v>5.6439918335294106</v>
      </c>
      <c r="D12" s="9" t="str">
        <f>'Item Database'!D159</f>
        <v>Hands</v>
      </c>
      <c r="E12" s="9">
        <f>'Item Database'!E159</f>
        <v>63</v>
      </c>
      <c r="F12" s="9">
        <f>'Item Database'!F159</f>
        <v>0</v>
      </c>
      <c r="G12" s="9">
        <f>'Item Database'!G159</f>
        <v>14</v>
      </c>
      <c r="H12" s="9">
        <f>'Item Database'!H159</f>
        <v>0</v>
      </c>
      <c r="I12" s="9">
        <f>'Item Database'!I159</f>
        <v>15</v>
      </c>
      <c r="J12" s="9">
        <f>'Item Database'!J159</f>
        <v>10</v>
      </c>
      <c r="K12" s="9">
        <f>'Item Database'!K159</f>
        <v>14</v>
      </c>
      <c r="L12" s="35">
        <f>'Item Database'!L159</f>
        <v>0</v>
      </c>
      <c r="M12" s="35">
        <f>'Item Database'!M159</f>
        <v>0</v>
      </c>
      <c r="N12" s="9">
        <f>'Item Database'!N159</f>
        <v>4</v>
      </c>
      <c r="O12" s="9">
        <f>'Item Database'!O159</f>
        <v>7</v>
      </c>
      <c r="P12" s="9">
        <f>'Item Database'!P159</f>
        <v>0</v>
      </c>
      <c r="Q12" s="9">
        <f>'Item Database'!Q159</f>
        <v>0</v>
      </c>
      <c r="R12" s="9">
        <f>'Item Database'!R159</f>
        <v>0</v>
      </c>
      <c r="S12" s="9">
        <f>'Item Database'!S159</f>
        <v>0</v>
      </c>
      <c r="T12" s="53" t="str">
        <f>HYPERLINK('Item Database'!T159)</f>
        <v>https://classic.wowhead.com/item=16801</v>
      </c>
      <c r="U12" s="9">
        <f>IF(C12&lt;&gt;0,C12-Gear!$C$9,0)</f>
        <v>5.6439918335294106</v>
      </c>
    </row>
    <row r="13" spans="1:21" x14ac:dyDescent="0.25">
      <c r="A13" s="24">
        <f>'Item Database'!A174</f>
        <v>18396</v>
      </c>
      <c r="B13" s="9" t="str">
        <f>'Item Database'!B174</f>
        <v>Mind Carver</v>
      </c>
      <c r="C13" s="12">
        <f>'Item Database'!C174</f>
        <v>4.6376547655721474</v>
      </c>
      <c r="D13" s="9" t="str">
        <f>'Item Database'!D174</f>
        <v>Weapon</v>
      </c>
      <c r="E13" s="9">
        <f>'Item Database'!E174</f>
        <v>0</v>
      </c>
      <c r="F13" s="9">
        <f>'Item Database'!F174</f>
        <v>0</v>
      </c>
      <c r="G13" s="9">
        <f>'Item Database'!G174</f>
        <v>0</v>
      </c>
      <c r="H13" s="9">
        <f>'Item Database'!H174</f>
        <v>0</v>
      </c>
      <c r="I13" s="9">
        <f>'Item Database'!I174</f>
        <v>8</v>
      </c>
      <c r="J13" s="9">
        <f>'Item Database'!J174</f>
        <v>0</v>
      </c>
      <c r="K13" s="9">
        <f>'Item Database'!K174</f>
        <v>12</v>
      </c>
      <c r="L13" s="35">
        <f>'Item Database'!L174</f>
        <v>0</v>
      </c>
      <c r="M13" s="35">
        <f>'Item Database'!M174</f>
        <v>0</v>
      </c>
      <c r="N13" s="9">
        <f>'Item Database'!N174</f>
        <v>0</v>
      </c>
      <c r="O13" s="9">
        <f>'Item Database'!O174</f>
        <v>0</v>
      </c>
      <c r="P13" s="9">
        <f>'Item Database'!P174</f>
        <v>0</v>
      </c>
      <c r="Q13" s="9">
        <f>'Item Database'!Q174</f>
        <v>0</v>
      </c>
      <c r="R13" s="9">
        <f>'Item Database'!R174</f>
        <v>0</v>
      </c>
      <c r="S13" s="9">
        <f>'Item Database'!S174</f>
        <v>0</v>
      </c>
      <c r="T13" s="53" t="str">
        <f>HYPERLINK('Item Database'!T174)</f>
        <v>https://classic.wowhead.com/item=18396</v>
      </c>
      <c r="U13" s="9">
        <f>IF(C13&lt;&gt;0,C13-Gear!$C$9,0)</f>
        <v>4.6376547655721474</v>
      </c>
    </row>
    <row r="14" spans="1:21" x14ac:dyDescent="0.25">
      <c r="A14" s="9">
        <f>'Item Database'!A176</f>
        <v>18740</v>
      </c>
      <c r="B14" s="9" t="str">
        <f>'Item Database'!B176</f>
        <v>Thuzadin Sash</v>
      </c>
      <c r="C14" s="12">
        <f>'Item Database'!C176</f>
        <v>4.4433908585430961</v>
      </c>
      <c r="D14" s="9" t="str">
        <f>'Item Database'!D176</f>
        <v>Waist</v>
      </c>
      <c r="E14" s="9">
        <f>'Item Database'!E176</f>
        <v>49</v>
      </c>
      <c r="F14" s="9">
        <f>'Item Database'!F176</f>
        <v>0</v>
      </c>
      <c r="G14" s="9">
        <f>'Item Database'!G176</f>
        <v>11</v>
      </c>
      <c r="H14" s="9">
        <f>'Item Database'!H176</f>
        <v>0</v>
      </c>
      <c r="I14" s="9">
        <f>'Item Database'!I176</f>
        <v>12</v>
      </c>
      <c r="J14" s="9">
        <f>'Item Database'!J176</f>
        <v>11</v>
      </c>
      <c r="K14" s="9">
        <f>'Item Database'!K176</f>
        <v>11</v>
      </c>
      <c r="L14" s="35">
        <f>'Item Database'!L176</f>
        <v>0</v>
      </c>
      <c r="M14" s="35">
        <f>'Item Database'!M176</f>
        <v>0</v>
      </c>
      <c r="N14" s="9">
        <f>'Item Database'!N176</f>
        <v>0</v>
      </c>
      <c r="O14" s="9">
        <f>'Item Database'!O176</f>
        <v>0</v>
      </c>
      <c r="P14" s="9">
        <f>'Item Database'!P176</f>
        <v>0</v>
      </c>
      <c r="Q14" s="9">
        <f>'Item Database'!Q176</f>
        <v>0</v>
      </c>
      <c r="R14" s="9">
        <f>'Item Database'!R176</f>
        <v>0</v>
      </c>
      <c r="S14" s="9">
        <f>'Item Database'!S176</f>
        <v>0</v>
      </c>
      <c r="T14" s="53" t="str">
        <f>HYPERLINK('Item Database'!T176)</f>
        <v>https://classic.wowhead.com/item=18740</v>
      </c>
      <c r="U14" s="9">
        <f>IF(C14&lt;&gt;0,C14-Gear!$C$9,0)</f>
        <v>4.4433908585430961</v>
      </c>
    </row>
    <row r="15" spans="1:21" x14ac:dyDescent="0.25">
      <c r="A15" s="24">
        <f>'Item Database'!A182</f>
        <v>12589</v>
      </c>
      <c r="B15" s="9" t="str">
        <f>'Item Database'!B182</f>
        <v>Dustfeather Sash</v>
      </c>
      <c r="C15" s="12">
        <f>'Item Database'!C182</f>
        <v>3.9724884772984383</v>
      </c>
      <c r="D15" s="9" t="str">
        <f>'Item Database'!D182</f>
        <v>Waist</v>
      </c>
      <c r="E15" s="9">
        <f>'Item Database'!E182</f>
        <v>49</v>
      </c>
      <c r="F15" s="9">
        <f>'Item Database'!F182</f>
        <v>0</v>
      </c>
      <c r="G15" s="9">
        <f>'Item Database'!G182</f>
        <v>10</v>
      </c>
      <c r="H15" s="9">
        <f>'Item Database'!H182</f>
        <v>0</v>
      </c>
      <c r="I15" s="9">
        <f>'Item Database'!I182</f>
        <v>18</v>
      </c>
      <c r="J15" s="9">
        <f>'Item Database'!J182</f>
        <v>0</v>
      </c>
      <c r="K15" s="9">
        <f>'Item Database'!K182</f>
        <v>9</v>
      </c>
      <c r="L15" s="35">
        <f>'Item Database'!L182</f>
        <v>0</v>
      </c>
      <c r="M15" s="35">
        <f>'Item Database'!M182</f>
        <v>0</v>
      </c>
      <c r="N15" s="9">
        <f>'Item Database'!N182</f>
        <v>0</v>
      </c>
      <c r="O15" s="9">
        <f>'Item Database'!O182</f>
        <v>0</v>
      </c>
      <c r="P15" s="9">
        <f>'Item Database'!P182</f>
        <v>0</v>
      </c>
      <c r="Q15" s="9">
        <f>'Item Database'!Q182</f>
        <v>0</v>
      </c>
      <c r="R15" s="9">
        <f>'Item Database'!R182</f>
        <v>0</v>
      </c>
      <c r="S15" s="9">
        <f>'Item Database'!S182</f>
        <v>0</v>
      </c>
      <c r="T15" s="53" t="str">
        <f>HYPERLINK('Item Database'!T182)</f>
        <v>https://classic.wowhead.com/item=12589</v>
      </c>
      <c r="U15" s="9">
        <f>IF(C15&lt;&gt;0,C15-Gear!$C$9,0)</f>
        <v>3.9724884772984383</v>
      </c>
    </row>
    <row r="16" spans="1:21" x14ac:dyDescent="0.25">
      <c r="A16" s="9">
        <f>'Item Database'!A208</f>
        <v>16685</v>
      </c>
      <c r="B16" s="9" t="str">
        <f>'Item Database'!B208</f>
        <v>Magister's Belt</v>
      </c>
      <c r="C16" s="12">
        <f>'Item Database'!C208</f>
        <v>0.86493295545882343</v>
      </c>
      <c r="D16" s="9" t="str">
        <f>'Item Database'!D208</f>
        <v>Waist</v>
      </c>
      <c r="E16" s="9">
        <f>'Item Database'!E208</f>
        <v>46</v>
      </c>
      <c r="F16" s="9">
        <f>'Item Database'!F208</f>
        <v>0</v>
      </c>
      <c r="G16" s="9">
        <f>'Item Database'!G208</f>
        <v>6</v>
      </c>
      <c r="H16" s="9">
        <f>'Item Database'!H208</f>
        <v>0</v>
      </c>
      <c r="I16" s="9">
        <f>'Item Database'!I208</f>
        <v>21</v>
      </c>
      <c r="J16" s="9">
        <f>'Item Database'!J208</f>
        <v>6</v>
      </c>
      <c r="K16" s="9">
        <f>'Item Database'!K208</f>
        <v>0</v>
      </c>
      <c r="L16" s="35">
        <f>'Item Database'!L208</f>
        <v>0</v>
      </c>
      <c r="M16" s="35">
        <f>'Item Database'!M208</f>
        <v>0</v>
      </c>
      <c r="N16" s="9">
        <f>'Item Database'!N208</f>
        <v>0</v>
      </c>
      <c r="O16" s="9">
        <f>'Item Database'!O208</f>
        <v>0</v>
      </c>
      <c r="P16" s="9">
        <f>'Item Database'!P208</f>
        <v>0</v>
      </c>
      <c r="Q16" s="9">
        <f>'Item Database'!Q208</f>
        <v>0</v>
      </c>
      <c r="R16" s="9">
        <f>'Item Database'!R208</f>
        <v>0</v>
      </c>
      <c r="S16" s="9">
        <f>'Item Database'!S208</f>
        <v>0</v>
      </c>
      <c r="T16" s="53" t="str">
        <f>HYPERLINK('Item Database'!T208)</f>
        <v>https://classic.wowhead.com/item=16685</v>
      </c>
      <c r="U16" s="9">
        <f>IF(C16&lt;&gt;0,C16-Gear!$C$9,0)</f>
        <v>0.86493295545882343</v>
      </c>
    </row>
    <row r="17" spans="1:21" x14ac:dyDescent="0.25">
      <c r="A17" s="9">
        <f>'Item Database'!A210</f>
        <v>16696</v>
      </c>
      <c r="B17" s="9" t="str">
        <f>'Item Database'!B210</f>
        <v>Devout Belt</v>
      </c>
      <c r="C17" s="12">
        <f>'Item Database'!C210</f>
        <v>0.82374567186554615</v>
      </c>
      <c r="D17" s="9" t="str">
        <f>'Item Database'!D210</f>
        <v>Waist</v>
      </c>
      <c r="E17" s="9">
        <f>'Item Database'!E210</f>
        <v>46</v>
      </c>
      <c r="F17" s="9">
        <f>'Item Database'!F210</f>
        <v>0</v>
      </c>
      <c r="G17" s="9">
        <f>'Item Database'!G210</f>
        <v>4</v>
      </c>
      <c r="H17" s="9">
        <f>'Item Database'!H210</f>
        <v>0</v>
      </c>
      <c r="I17" s="9">
        <f>'Item Database'!I210</f>
        <v>20</v>
      </c>
      <c r="J17" s="9">
        <f>'Item Database'!J210</f>
        <v>9</v>
      </c>
      <c r="K17" s="9">
        <f>'Item Database'!K210</f>
        <v>0</v>
      </c>
      <c r="L17" s="35">
        <f>'Item Database'!L210</f>
        <v>0</v>
      </c>
      <c r="M17" s="35">
        <f>'Item Database'!M210</f>
        <v>0</v>
      </c>
      <c r="N17" s="9">
        <f>'Item Database'!N210</f>
        <v>0</v>
      </c>
      <c r="O17" s="9">
        <f>'Item Database'!O210</f>
        <v>0</v>
      </c>
      <c r="P17" s="9">
        <f>'Item Database'!P210</f>
        <v>0</v>
      </c>
      <c r="Q17" s="9">
        <f>'Item Database'!Q210</f>
        <v>0</v>
      </c>
      <c r="R17" s="9">
        <f>'Item Database'!R210</f>
        <v>0</v>
      </c>
      <c r="S17" s="9">
        <f>'Item Database'!S210</f>
        <v>0</v>
      </c>
      <c r="T17" s="53" t="str">
        <f>HYPERLINK('Item Database'!T210)</f>
        <v>https://classic.wowhead.com/item=16696</v>
      </c>
      <c r="U17" s="9">
        <f>IF(C17&lt;&gt;0,C17-Gear!$C$9,0)</f>
        <v>0.82374567186554615</v>
      </c>
    </row>
    <row r="18" spans="1:21" x14ac:dyDescent="0.25">
      <c r="A18" s="9">
        <f>'Item Database'!A212</f>
        <v>12466</v>
      </c>
      <c r="B18" s="9" t="str">
        <f>'Item Database'!B212</f>
        <v>Dawnspire Cord</v>
      </c>
      <c r="C18" s="12">
        <f>'Item Database'!C212</f>
        <v>0.78255838827226887</v>
      </c>
      <c r="D18" s="9" t="str">
        <f>'Item Database'!D212</f>
        <v>Waist</v>
      </c>
      <c r="E18" s="9">
        <f>'Item Database'!E212</f>
        <v>43</v>
      </c>
      <c r="F18" s="9">
        <f>'Item Database'!F212</f>
        <v>0</v>
      </c>
      <c r="G18" s="9">
        <f>'Item Database'!G212</f>
        <v>0</v>
      </c>
      <c r="H18" s="9">
        <f>'Item Database'!H212</f>
        <v>0</v>
      </c>
      <c r="I18" s="9">
        <f>'Item Database'!I212</f>
        <v>19</v>
      </c>
      <c r="J18" s="9">
        <f>'Item Database'!J212</f>
        <v>8</v>
      </c>
      <c r="K18" s="9">
        <f>'Item Database'!K212</f>
        <v>0</v>
      </c>
      <c r="L18" s="35">
        <f>'Item Database'!L212</f>
        <v>0</v>
      </c>
      <c r="M18" s="35">
        <f>'Item Database'!M212</f>
        <v>0</v>
      </c>
      <c r="N18" s="9">
        <f>'Item Database'!N212</f>
        <v>0</v>
      </c>
      <c r="O18" s="9">
        <f>'Item Database'!O212</f>
        <v>0</v>
      </c>
      <c r="P18" s="9">
        <f>'Item Database'!P212</f>
        <v>0</v>
      </c>
      <c r="Q18" s="9">
        <f>'Item Database'!Q212</f>
        <v>0</v>
      </c>
      <c r="R18" s="9">
        <f>'Item Database'!R212</f>
        <v>0</v>
      </c>
      <c r="S18" s="9">
        <f>'Item Database'!S212</f>
        <v>0</v>
      </c>
      <c r="T18" s="53" t="str">
        <f>HYPERLINK('Item Database'!T212)</f>
        <v>https://classic.wowhead.com/item=12466</v>
      </c>
      <c r="U18" s="9">
        <f>IF(C18&lt;&gt;0,C18-Gear!$C$9,0)</f>
        <v>0.78255838827226887</v>
      </c>
    </row>
    <row r="19" spans="1:21" x14ac:dyDescent="0.25">
      <c r="A19" s="24">
        <f>'Item Database'!A217</f>
        <v>13403</v>
      </c>
      <c r="B19" s="9" t="str">
        <f>'Item Database'!B217</f>
        <v>Grimgore Noose</v>
      </c>
      <c r="C19" s="12">
        <f>'Item Database'!C217</f>
        <v>0.7001838210857142</v>
      </c>
      <c r="D19" s="9" t="str">
        <f>'Item Database'!D217</f>
        <v>Waist</v>
      </c>
      <c r="E19" s="9">
        <f>'Item Database'!E217</f>
        <v>47</v>
      </c>
      <c r="F19" s="9">
        <f>'Item Database'!F217</f>
        <v>0</v>
      </c>
      <c r="G19" s="9">
        <f>'Item Database'!G217</f>
        <v>9</v>
      </c>
      <c r="H19" s="9">
        <f>'Item Database'!H217</f>
        <v>0</v>
      </c>
      <c r="I19" s="9">
        <f>'Item Database'!I217</f>
        <v>17</v>
      </c>
      <c r="J19" s="9">
        <f>'Item Database'!J217</f>
        <v>10</v>
      </c>
      <c r="K19" s="9">
        <f>'Item Database'!K217</f>
        <v>0</v>
      </c>
      <c r="L19" s="35">
        <f>'Item Database'!L217</f>
        <v>0</v>
      </c>
      <c r="M19" s="35">
        <f>'Item Database'!M217</f>
        <v>0</v>
      </c>
      <c r="N19" s="9">
        <f>'Item Database'!N217</f>
        <v>0</v>
      </c>
      <c r="O19" s="9">
        <f>'Item Database'!O217</f>
        <v>0</v>
      </c>
      <c r="P19" s="9">
        <f>'Item Database'!P217</f>
        <v>0</v>
      </c>
      <c r="Q19" s="9">
        <f>'Item Database'!Q217</f>
        <v>0</v>
      </c>
      <c r="R19" s="9">
        <f>'Item Database'!R217</f>
        <v>0</v>
      </c>
      <c r="S19" s="9">
        <f>'Item Database'!S217</f>
        <v>0</v>
      </c>
      <c r="T19" s="53" t="str">
        <f>HYPERLINK('Item Database'!T217)</f>
        <v>https://classic.wowhead.com/item=13403</v>
      </c>
      <c r="U19" s="9">
        <f>IF(C19&lt;&gt;0,C19-Gear!$C$9,0)</f>
        <v>0.7001838210857142</v>
      </c>
    </row>
    <row r="20" spans="1:21" x14ac:dyDescent="0.25">
      <c r="A20" s="24">
        <f>'Item Database'!A218</f>
        <v>16702</v>
      </c>
      <c r="B20" s="9" t="str">
        <f>'Item Database'!B218</f>
        <v>Dreadmist Belt</v>
      </c>
      <c r="C20" s="12">
        <f>'Item Database'!C218</f>
        <v>0.7001838210857142</v>
      </c>
      <c r="D20" s="9" t="str">
        <f>'Item Database'!D218</f>
        <v>Waist</v>
      </c>
      <c r="E20" s="9">
        <f>'Item Database'!E218</f>
        <v>46</v>
      </c>
      <c r="F20" s="9">
        <f>'Item Database'!F218</f>
        <v>0</v>
      </c>
      <c r="G20" s="9">
        <f>'Item Database'!G218</f>
        <v>10</v>
      </c>
      <c r="H20" s="9">
        <f>'Item Database'!H218</f>
        <v>0</v>
      </c>
      <c r="I20" s="9">
        <f>'Item Database'!I218</f>
        <v>17</v>
      </c>
      <c r="J20" s="9">
        <f>'Item Database'!J218</f>
        <v>9</v>
      </c>
      <c r="K20" s="9">
        <f>'Item Database'!K218</f>
        <v>0</v>
      </c>
      <c r="L20" s="35">
        <f>'Item Database'!L218</f>
        <v>0</v>
      </c>
      <c r="M20" s="35">
        <f>'Item Database'!M218</f>
        <v>0</v>
      </c>
      <c r="N20" s="9">
        <f>'Item Database'!N218</f>
        <v>0</v>
      </c>
      <c r="O20" s="9">
        <f>'Item Database'!O218</f>
        <v>0</v>
      </c>
      <c r="P20" s="9">
        <f>'Item Database'!P218</f>
        <v>0</v>
      </c>
      <c r="Q20" s="9">
        <f>'Item Database'!Q218</f>
        <v>0</v>
      </c>
      <c r="R20" s="9">
        <f>'Item Database'!R218</f>
        <v>0</v>
      </c>
      <c r="S20" s="9">
        <f>'Item Database'!S218</f>
        <v>0</v>
      </c>
      <c r="T20" s="53" t="str">
        <f>HYPERLINK('Item Database'!T218)</f>
        <v>https://classic.wowhead.com/item=16702</v>
      </c>
      <c r="U20" s="9">
        <f>IF(C20&lt;&gt;0,C20-Gear!$C$9,0)</f>
        <v>0.7001838210857142</v>
      </c>
    </row>
    <row r="21" spans="1:21" x14ac:dyDescent="0.25">
      <c r="A21" s="9">
        <f>'Item Database'!A228</f>
        <v>17755</v>
      </c>
      <c r="B21" s="9" t="str">
        <f>'Item Database'!B228</f>
        <v>Satyrmane Sash</v>
      </c>
      <c r="C21" s="12">
        <f>'Item Database'!C228</f>
        <v>0.61780925389915964</v>
      </c>
      <c r="D21" s="9" t="str">
        <f>'Item Database'!D228</f>
        <v>Waist</v>
      </c>
      <c r="E21" s="9">
        <f>'Item Database'!E228</f>
        <v>40</v>
      </c>
      <c r="F21" s="9">
        <f>'Item Database'!F228</f>
        <v>0</v>
      </c>
      <c r="G21" s="9">
        <f>'Item Database'!G228</f>
        <v>10</v>
      </c>
      <c r="H21" s="9">
        <f>'Item Database'!H228</f>
        <v>0</v>
      </c>
      <c r="I21" s="9">
        <f>'Item Database'!I228</f>
        <v>15</v>
      </c>
      <c r="J21" s="9">
        <f>'Item Database'!J228</f>
        <v>0</v>
      </c>
      <c r="K21" s="9">
        <f>'Item Database'!K228</f>
        <v>0</v>
      </c>
      <c r="L21" s="35">
        <f>'Item Database'!L228</f>
        <v>0</v>
      </c>
      <c r="M21" s="35">
        <f>'Item Database'!M228</f>
        <v>0</v>
      </c>
      <c r="N21" s="9">
        <f>'Item Database'!N228</f>
        <v>0</v>
      </c>
      <c r="O21" s="9">
        <f>'Item Database'!O228</f>
        <v>0</v>
      </c>
      <c r="P21" s="9">
        <f>'Item Database'!P228</f>
        <v>0</v>
      </c>
      <c r="Q21" s="9">
        <f>'Item Database'!Q228</f>
        <v>0</v>
      </c>
      <c r="R21" s="9">
        <f>'Item Database'!R228</f>
        <v>10</v>
      </c>
      <c r="S21" s="9">
        <f>'Item Database'!S228</f>
        <v>0</v>
      </c>
      <c r="T21" s="53" t="str">
        <f>HYPERLINK('Item Database'!T228)</f>
        <v>https://classic.wowhead.com/item=17755</v>
      </c>
      <c r="U21" s="9">
        <f>IF(C21&lt;&gt;0,C21-Gear!$C$9,0)</f>
        <v>0.61780925389915964</v>
      </c>
    </row>
    <row r="22" spans="1:21" x14ac:dyDescent="0.25">
      <c r="A22" s="9">
        <f>'Item Database'!A229</f>
        <v>10771</v>
      </c>
      <c r="B22" s="9" t="str">
        <f>'Item Database'!B229</f>
        <v>Deathmage Sash</v>
      </c>
      <c r="C22" s="12">
        <f>'Item Database'!C229</f>
        <v>0.61780925389915964</v>
      </c>
      <c r="D22" s="9" t="str">
        <f>'Item Database'!D229</f>
        <v>Waist</v>
      </c>
      <c r="E22" s="9">
        <f>'Item Database'!E229</f>
        <v>33</v>
      </c>
      <c r="F22" s="9">
        <f>'Item Database'!F229</f>
        <v>0</v>
      </c>
      <c r="G22" s="9">
        <f>'Item Database'!G229</f>
        <v>6</v>
      </c>
      <c r="H22" s="9">
        <f>'Item Database'!H229</f>
        <v>0</v>
      </c>
      <c r="I22" s="9">
        <f>'Item Database'!I229</f>
        <v>15</v>
      </c>
      <c r="J22" s="9">
        <f>'Item Database'!J229</f>
        <v>0</v>
      </c>
      <c r="K22" s="9">
        <f>'Item Database'!K229</f>
        <v>0</v>
      </c>
      <c r="L22" s="35">
        <f>'Item Database'!L229</f>
        <v>0</v>
      </c>
      <c r="M22" s="35">
        <f>'Item Database'!M229</f>
        <v>0</v>
      </c>
      <c r="N22" s="9">
        <f>'Item Database'!N229</f>
        <v>0</v>
      </c>
      <c r="O22" s="9">
        <f>'Item Database'!O229</f>
        <v>0</v>
      </c>
      <c r="P22" s="9">
        <f>'Item Database'!P229</f>
        <v>0</v>
      </c>
      <c r="Q22" s="9">
        <f>'Item Database'!Q229</f>
        <v>0</v>
      </c>
      <c r="R22" s="9">
        <f>'Item Database'!R229</f>
        <v>0</v>
      </c>
      <c r="S22" s="9">
        <f>'Item Database'!S229</f>
        <v>0</v>
      </c>
      <c r="T22" s="53" t="str">
        <f>HYPERLINK('Item Database'!T229)</f>
        <v>https://classic.wowhead.com/item=10771</v>
      </c>
      <c r="U22" s="9">
        <f>IF(C22&lt;&gt;0,C22-Gear!$C$9,0)</f>
        <v>0.61780925389915964</v>
      </c>
    </row>
    <row r="23" spans="1:21" x14ac:dyDescent="0.25">
      <c r="A23" s="24">
        <f>'Item Database'!A261</f>
        <v>16975</v>
      </c>
      <c r="B23" s="9" t="str">
        <f>'Item Database'!B261</f>
        <v>Warsong Sash</v>
      </c>
      <c r="C23" s="12">
        <f>'Item Database'!C261</f>
        <v>0.37068555233949574</v>
      </c>
      <c r="D23" s="9" t="str">
        <f>'Item Database'!D261</f>
        <v>Waist</v>
      </c>
      <c r="E23" s="9">
        <f>'Item Database'!E261</f>
        <v>25</v>
      </c>
      <c r="F23" s="9">
        <f>'Item Database'!F261</f>
        <v>0</v>
      </c>
      <c r="G23" s="9">
        <f>'Item Database'!G261</f>
        <v>4</v>
      </c>
      <c r="H23" s="9">
        <f>'Item Database'!H261</f>
        <v>0</v>
      </c>
      <c r="I23" s="9">
        <f>'Item Database'!I261</f>
        <v>9</v>
      </c>
      <c r="J23" s="9">
        <f>'Item Database'!J261</f>
        <v>0</v>
      </c>
      <c r="K23" s="9">
        <f>'Item Database'!K261</f>
        <v>0</v>
      </c>
      <c r="L23" s="35">
        <f>'Item Database'!L261</f>
        <v>0</v>
      </c>
      <c r="M23" s="35">
        <f>'Item Database'!M261</f>
        <v>0</v>
      </c>
      <c r="N23" s="9">
        <f>'Item Database'!N261</f>
        <v>0</v>
      </c>
      <c r="O23" s="9">
        <f>'Item Database'!O261</f>
        <v>0</v>
      </c>
      <c r="P23" s="9">
        <f>'Item Database'!P261</f>
        <v>0</v>
      </c>
      <c r="Q23" s="9">
        <f>'Item Database'!Q261</f>
        <v>0</v>
      </c>
      <c r="R23" s="9">
        <f>'Item Database'!R261</f>
        <v>0</v>
      </c>
      <c r="S23" s="9">
        <f>'Item Database'!S261</f>
        <v>0</v>
      </c>
      <c r="T23" s="53" t="str">
        <f>HYPERLINK('Item Database'!T261)</f>
        <v>https://classic.wowhead.com/item=16975</v>
      </c>
      <c r="U23" s="9">
        <f>IF(C23&lt;&gt;0,C23-Gear!$C$9,0)</f>
        <v>0.37068555233949574</v>
      </c>
    </row>
    <row r="24" spans="1:21" x14ac:dyDescent="0.25">
      <c r="U24" s="9">
        <f>IF(C24&lt;&gt;0,C24-Gear!$C$9,0)</f>
        <v>0</v>
      </c>
    </row>
    <row r="25" spans="1:21" x14ac:dyDescent="0.25">
      <c r="U25" s="9">
        <f>IF(C25&lt;&gt;0,C25-Gear!$C$9,0)</f>
        <v>0</v>
      </c>
    </row>
    <row r="26" spans="1:21" x14ac:dyDescent="0.25">
      <c r="U26" s="9">
        <f>IF(C26&lt;&gt;0,C26-Gear!$C$9,0)</f>
        <v>0</v>
      </c>
    </row>
    <row r="27" spans="1:21" x14ac:dyDescent="0.25">
      <c r="T27" s="9">
        <f>IF(C27&lt;&gt;0,C27-Gear!$C$9,0)</f>
        <v>0</v>
      </c>
      <c r="U27" s="9">
        <f>IF(C27&lt;&gt;0,C27-Gear!$C$9,0)</f>
        <v>0</v>
      </c>
    </row>
    <row r="28" spans="1:21" x14ac:dyDescent="0.25">
      <c r="T28" s="9">
        <f>IF(C28&lt;&gt;0,C28-Gear!$C$9,0)</f>
        <v>0</v>
      </c>
      <c r="U28" s="9">
        <f>IF(C28&lt;&gt;0,C28-Gear!$C$9,0)</f>
        <v>0</v>
      </c>
    </row>
    <row r="29" spans="1:21" x14ac:dyDescent="0.25">
      <c r="T29" s="9">
        <f>IF(C29&lt;&gt;0,C29-Gear!$C$9,0)</f>
        <v>0</v>
      </c>
      <c r="U29" s="9">
        <f>IF(C29&lt;&gt;0,C29-Gear!$C$9,0)</f>
        <v>0</v>
      </c>
    </row>
    <row r="30" spans="1:21" x14ac:dyDescent="0.25">
      <c r="T30" s="9">
        <f>IF(C30&lt;&gt;0,C30-Gear!$C$9,0)</f>
        <v>0</v>
      </c>
      <c r="U30" s="9">
        <f>IF(C30&lt;&gt;0,C30-Gear!$C$9,0)</f>
        <v>0</v>
      </c>
    </row>
    <row r="31" spans="1:21" x14ac:dyDescent="0.25">
      <c r="T31" s="9">
        <f>IF(C31&lt;&gt;0,C31-Gear!$C$9,0)</f>
        <v>0</v>
      </c>
      <c r="U31" s="9">
        <f>IF(C31&lt;&gt;0,C31-Gear!$C$9,0)</f>
        <v>0</v>
      </c>
    </row>
    <row r="32" spans="1:21" x14ac:dyDescent="0.25">
      <c r="T32" s="9">
        <f>IF(C32&lt;&gt;0,C32-Gear!$C$9,0)</f>
        <v>0</v>
      </c>
      <c r="U32" s="9">
        <f>IF(C32&lt;&gt;0,C32-Gear!$C$9,0)</f>
        <v>0</v>
      </c>
    </row>
    <row r="33" spans="20:21" x14ac:dyDescent="0.25">
      <c r="T33" s="9">
        <f>IF(C33&lt;&gt;0,C33-Gear!$C$9,0)</f>
        <v>0</v>
      </c>
      <c r="U33" s="9">
        <f>IF(C33&lt;&gt;0,C33-Gear!$C$9,0)</f>
        <v>0</v>
      </c>
    </row>
    <row r="34" spans="20:21" x14ac:dyDescent="0.25">
      <c r="T34" s="9">
        <f>IF(C34&lt;&gt;0,C34-Gear!$C$9,0)</f>
        <v>0</v>
      </c>
      <c r="U34" s="9">
        <f>IF(C34&lt;&gt;0,C34-Gear!$C$9,0)</f>
        <v>0</v>
      </c>
    </row>
    <row r="35" spans="20:21" x14ac:dyDescent="0.25">
      <c r="T35" s="9">
        <f>IF(C35&lt;&gt;0,C35-Gear!$C$9,0)</f>
        <v>0</v>
      </c>
      <c r="U35" s="9">
        <f>IF(C35&lt;&gt;0,C35-Gear!$C$9,0)</f>
        <v>0</v>
      </c>
    </row>
    <row r="36" spans="20:21" x14ac:dyDescent="0.25">
      <c r="T36" s="9">
        <f>IF(C36&lt;&gt;0,C36-Gear!$C$9,0)</f>
        <v>0</v>
      </c>
      <c r="U36" s="9">
        <f>IF(C36&lt;&gt;0,C36-Gear!$C$9,0)</f>
        <v>0</v>
      </c>
    </row>
    <row r="37" spans="20:21" x14ac:dyDescent="0.25">
      <c r="T37" s="9">
        <f>IF(C37&lt;&gt;0,C37-Gear!$C$9,0)</f>
        <v>0</v>
      </c>
      <c r="U37" s="9">
        <f>IF(C37&lt;&gt;0,C37-Gear!$C$9,0)</f>
        <v>0</v>
      </c>
    </row>
    <row r="38" spans="20:21" x14ac:dyDescent="0.25">
      <c r="T38" s="9">
        <f>IF(C38&lt;&gt;0,C38-Gear!$C$9,0)</f>
        <v>0</v>
      </c>
      <c r="U38" s="9">
        <f>IF(C38&lt;&gt;0,C38-Gear!$C$9,0)</f>
        <v>0</v>
      </c>
    </row>
    <row r="39" spans="20:21" x14ac:dyDescent="0.25">
      <c r="T39" s="9">
        <f>IF(C39&lt;&gt;0,C39-Gear!$C$9,0)</f>
        <v>0</v>
      </c>
      <c r="U39" s="9">
        <f>IF(C39&lt;&gt;0,C39-Gear!$C$9,0)</f>
        <v>0</v>
      </c>
    </row>
    <row r="40" spans="20:21" x14ac:dyDescent="0.25">
      <c r="T40" s="9">
        <f>IF(C40&lt;&gt;0,C40-Gear!$C$9,0)</f>
        <v>0</v>
      </c>
      <c r="U40" s="9">
        <f>IF(C40&lt;&gt;0,C40-Gear!$C$9,0)</f>
        <v>0</v>
      </c>
    </row>
    <row r="41" spans="20:21" x14ac:dyDescent="0.25">
      <c r="T41" s="9">
        <f>IF(C41&lt;&gt;0,C41-Gear!$C$9,0)</f>
        <v>0</v>
      </c>
      <c r="U41" s="9">
        <f>IF(C41&lt;&gt;0,C41-Gear!$C$9,0)</f>
        <v>0</v>
      </c>
    </row>
    <row r="42" spans="20:21" x14ac:dyDescent="0.25">
      <c r="T42" s="9">
        <f>IF(C42&lt;&gt;0,C42-Gear!$C$9,0)</f>
        <v>0</v>
      </c>
      <c r="U42" s="9">
        <f>IF(C42&lt;&gt;0,C42-Gear!$C$9,0)</f>
        <v>0</v>
      </c>
    </row>
    <row r="43" spans="20:21" x14ac:dyDescent="0.25">
      <c r="T43" s="9">
        <f>IF(C43&lt;&gt;0,C43-Gear!$C$9,0)</f>
        <v>0</v>
      </c>
      <c r="U43" s="9">
        <f>IF(C43&lt;&gt;0,C43-Gear!$C$9,0)</f>
        <v>0</v>
      </c>
    </row>
    <row r="44" spans="20:21" x14ac:dyDescent="0.25">
      <c r="T44" s="9">
        <f>IF(C44&lt;&gt;0,C44-Gear!$C$9,0)</f>
        <v>0</v>
      </c>
      <c r="U44" s="9">
        <f>IF(C44&lt;&gt;0,C44-Gear!$C$9,0)</f>
        <v>0</v>
      </c>
    </row>
    <row r="45" spans="20:21" x14ac:dyDescent="0.25">
      <c r="T45" s="9">
        <f>IF(C45&lt;&gt;0,C45-Gear!$C$9,0)</f>
        <v>0</v>
      </c>
      <c r="U45" s="9">
        <f>IF(C45&lt;&gt;0,C45-Gear!$C$9,0)</f>
        <v>0</v>
      </c>
    </row>
    <row r="46" spans="20:21" x14ac:dyDescent="0.25">
      <c r="T46" s="9">
        <f>IF(C46&lt;&gt;0,C46-Gear!$C$9,0)</f>
        <v>0</v>
      </c>
      <c r="U46" s="9">
        <f>IF(C46&lt;&gt;0,C46-Gear!$C$9,0)</f>
        <v>0</v>
      </c>
    </row>
    <row r="47" spans="20:21" x14ac:dyDescent="0.25">
      <c r="T47" s="9">
        <f>IF(C47&lt;&gt;0,C47-Gear!$C$9,0)</f>
        <v>0</v>
      </c>
      <c r="U47" s="9">
        <f>IF(C47&lt;&gt;0,C47-Gear!$C$9,0)</f>
        <v>0</v>
      </c>
    </row>
    <row r="48" spans="20:21" x14ac:dyDescent="0.25">
      <c r="T48" s="9">
        <f>IF(C48&lt;&gt;0,C48-Gear!$C$9,0)</f>
        <v>0</v>
      </c>
      <c r="U48" s="9">
        <f>IF(C48&lt;&gt;0,C48-Gear!$C$9,0)</f>
        <v>0</v>
      </c>
    </row>
    <row r="49" spans="20:21" x14ac:dyDescent="0.25">
      <c r="T49" s="9">
        <f>IF(C49&lt;&gt;0,C49-Gear!$C$9,0)</f>
        <v>0</v>
      </c>
      <c r="U49" s="9">
        <f>IF(C49&lt;&gt;0,C49-Gear!$C$9,0)</f>
        <v>0</v>
      </c>
    </row>
    <row r="50" spans="20:21" x14ac:dyDescent="0.25">
      <c r="T50" s="9">
        <f>IF(C50&lt;&gt;0,C50-Gear!$C$9,0)</f>
        <v>0</v>
      </c>
      <c r="U50" s="9">
        <f>IF(C50&lt;&gt;0,C50-Gear!$C$9,0)</f>
        <v>0</v>
      </c>
    </row>
    <row r="51" spans="20:21" x14ac:dyDescent="0.25">
      <c r="T51" s="9">
        <f>IF(C51&lt;&gt;0,C51-Gear!$C$9,0)</f>
        <v>0</v>
      </c>
      <c r="U51" s="9">
        <f>IF(C51&lt;&gt;0,C51-Gear!$C$9,0)</f>
        <v>0</v>
      </c>
    </row>
    <row r="52" spans="20:21" x14ac:dyDescent="0.25">
      <c r="T52" s="9">
        <f>IF(C52&lt;&gt;0,C52-Gear!$C$9,0)</f>
        <v>0</v>
      </c>
      <c r="U52" s="9">
        <f>IF(C52&lt;&gt;0,C52-Gear!$C$9,0)</f>
        <v>0</v>
      </c>
    </row>
    <row r="53" spans="20:21" x14ac:dyDescent="0.25">
      <c r="T53" s="9">
        <f>IF(C53&lt;&gt;0,C53-Gear!$C$9,0)</f>
        <v>0</v>
      </c>
      <c r="U53" s="9">
        <f>IF(C53&lt;&gt;0,C53-Gear!$C$9,0)</f>
        <v>0</v>
      </c>
    </row>
    <row r="54" spans="20:21" x14ac:dyDescent="0.25">
      <c r="T54" s="9">
        <f>IF(C54&lt;&gt;0,C54-Gear!$C$9,0)</f>
        <v>0</v>
      </c>
      <c r="U54" s="9">
        <f>IF(C54&lt;&gt;0,C54-Gear!$C$9,0)</f>
        <v>0</v>
      </c>
    </row>
    <row r="55" spans="20:21" x14ac:dyDescent="0.25">
      <c r="T55" s="9">
        <f>IF(C55&lt;&gt;0,C55-Gear!$C$9,0)</f>
        <v>0</v>
      </c>
      <c r="U55" s="9">
        <f>IF(C55&lt;&gt;0,C55-Gear!$C$9,0)</f>
        <v>0</v>
      </c>
    </row>
    <row r="56" spans="20:21" x14ac:dyDescent="0.25">
      <c r="T56" s="9">
        <f>IF(C56&lt;&gt;0,C56-Gear!$C$9,0)</f>
        <v>0</v>
      </c>
      <c r="U56" s="9">
        <f>IF(C56&lt;&gt;0,C56-Gear!$C$9,0)</f>
        <v>0</v>
      </c>
    </row>
    <row r="57" spans="20:21" x14ac:dyDescent="0.25">
      <c r="T57" s="9">
        <f>IF(C57&lt;&gt;0,C57-Gear!$C$9,0)</f>
        <v>0</v>
      </c>
      <c r="U57" s="9">
        <f>IF(C57&lt;&gt;0,C57-Gear!$C$9,0)</f>
        <v>0</v>
      </c>
    </row>
    <row r="58" spans="20:21" x14ac:dyDescent="0.25">
      <c r="T58" s="9">
        <f>IF(C58&lt;&gt;0,C58-Gear!$C$9,0)</f>
        <v>0</v>
      </c>
      <c r="U58" s="9">
        <f>IF(C58&lt;&gt;0,C58-Gear!$C$9,0)</f>
        <v>0</v>
      </c>
    </row>
    <row r="59" spans="20:21" x14ac:dyDescent="0.25">
      <c r="T59" s="9">
        <f>IF(C59&lt;&gt;0,C59-Gear!$C$9,0)</f>
        <v>0</v>
      </c>
      <c r="U59" s="9">
        <f>IF(C59&lt;&gt;0,C59-Gear!$C$9,0)</f>
        <v>0</v>
      </c>
    </row>
    <row r="60" spans="20:21" x14ac:dyDescent="0.25">
      <c r="T60" s="9">
        <f>IF(C60&lt;&gt;0,C60-Gear!$C$9,0)</f>
        <v>0</v>
      </c>
      <c r="U60" s="9">
        <f>IF(C60&lt;&gt;0,C60-Gear!$C$9,0)</f>
        <v>0</v>
      </c>
    </row>
    <row r="61" spans="20:21" x14ac:dyDescent="0.25">
      <c r="T61" s="9">
        <f>IF(C61&lt;&gt;0,C61-Gear!$C$9,0)</f>
        <v>0</v>
      </c>
      <c r="U61" s="9">
        <f>IF(C61&lt;&gt;0,C61-Gear!$C$9,0)</f>
        <v>0</v>
      </c>
    </row>
    <row r="62" spans="20:21" x14ac:dyDescent="0.25">
      <c r="T62" s="9">
        <f>IF(C62&lt;&gt;0,C62-Gear!$C$9,0)</f>
        <v>0</v>
      </c>
      <c r="U62" s="9">
        <f>IF(C62&lt;&gt;0,C62-Gear!$C$9,0)</f>
        <v>0</v>
      </c>
    </row>
    <row r="63" spans="20:21" x14ac:dyDescent="0.25">
      <c r="T63" s="9">
        <f>IF(C63&lt;&gt;0,C63-Gear!$C$9,0)</f>
        <v>0</v>
      </c>
      <c r="U63" s="9">
        <f>IF(C63&lt;&gt;0,C63-Gear!$C$9,0)</f>
        <v>0</v>
      </c>
    </row>
    <row r="64" spans="20:21" x14ac:dyDescent="0.25">
      <c r="T64" s="9">
        <f>IF(C64&lt;&gt;0,C64-Gear!$C$9,0)</f>
        <v>0</v>
      </c>
      <c r="U64" s="9">
        <f>IF(C64&lt;&gt;0,C64-Gear!$C$9,0)</f>
        <v>0</v>
      </c>
    </row>
    <row r="65" spans="20:21" x14ac:dyDescent="0.25">
      <c r="T65" s="9">
        <f>IF(C65&lt;&gt;0,C65-Gear!$C$9,0)</f>
        <v>0</v>
      </c>
      <c r="U65" s="9">
        <f>IF(C65&lt;&gt;0,C65-Gear!$C$9,0)</f>
        <v>0</v>
      </c>
    </row>
    <row r="66" spans="20:21" x14ac:dyDescent="0.25">
      <c r="T66" s="9">
        <f>IF(C66&lt;&gt;0,C66-Gear!$C$9,0)</f>
        <v>0</v>
      </c>
      <c r="U66" s="9">
        <f>IF(C66&lt;&gt;0,C66-Gear!$C$9,0)</f>
        <v>0</v>
      </c>
    </row>
    <row r="67" spans="20:21" x14ac:dyDescent="0.25">
      <c r="T67" s="9">
        <f>IF(C67&lt;&gt;0,C67-Gear!$C$9,0)</f>
        <v>0</v>
      </c>
      <c r="U67" s="9">
        <f>IF(C67&lt;&gt;0,C67-Gear!$C$9,0)</f>
        <v>0</v>
      </c>
    </row>
    <row r="68" spans="20:21" x14ac:dyDescent="0.25">
      <c r="T68" s="9">
        <f>IF(C68&lt;&gt;0,C68-Gear!$C$9,0)</f>
        <v>0</v>
      </c>
      <c r="U68" s="9">
        <f>IF(C68&lt;&gt;0,C68-Gear!$C$9,0)</f>
        <v>0</v>
      </c>
    </row>
    <row r="69" spans="20:21" x14ac:dyDescent="0.25">
      <c r="T69" s="9">
        <f>IF(C69&lt;&gt;0,C69-Gear!$C$9,0)</f>
        <v>0</v>
      </c>
      <c r="U69" s="9">
        <f>IF(C69&lt;&gt;0,C69-Gear!$C$9,0)</f>
        <v>0</v>
      </c>
    </row>
    <row r="70" spans="20:21" x14ac:dyDescent="0.25">
      <c r="T70" s="9">
        <f>IF(C70&lt;&gt;0,C70-Gear!$C$9,0)</f>
        <v>0</v>
      </c>
      <c r="U70" s="9">
        <f>IF(C70&lt;&gt;0,C70-Gear!$C$9,0)</f>
        <v>0</v>
      </c>
    </row>
    <row r="71" spans="20:21" x14ac:dyDescent="0.25">
      <c r="T71" s="9">
        <f>IF(C71&lt;&gt;0,C71-Gear!$C$9,0)</f>
        <v>0</v>
      </c>
      <c r="U71" s="9">
        <f>IF(C71&lt;&gt;0,C71-Gear!$C$9,0)</f>
        <v>0</v>
      </c>
    </row>
    <row r="72" spans="20:21" x14ac:dyDescent="0.25">
      <c r="T72" s="9">
        <f>IF(C72&lt;&gt;0,C72-Gear!$C$9,0)</f>
        <v>0</v>
      </c>
      <c r="U72" s="9">
        <f>IF(C72&lt;&gt;0,C72-Gear!$C$9,0)</f>
        <v>0</v>
      </c>
    </row>
    <row r="73" spans="20:21" x14ac:dyDescent="0.25">
      <c r="T73" s="9">
        <f>IF(C73&lt;&gt;0,C73-Gear!$C$9,0)</f>
        <v>0</v>
      </c>
      <c r="U73" s="9">
        <f>IF(C73&lt;&gt;0,C73-Gear!$C$9,0)</f>
        <v>0</v>
      </c>
    </row>
    <row r="74" spans="20:21" x14ac:dyDescent="0.25">
      <c r="T74" s="9">
        <f>IF(C74&lt;&gt;0,C74-Gear!$C$9,0)</f>
        <v>0</v>
      </c>
      <c r="U74" s="9">
        <f>IF(C74&lt;&gt;0,C74-Gear!$C$9,0)</f>
        <v>0</v>
      </c>
    </row>
    <row r="75" spans="20:21" x14ac:dyDescent="0.25">
      <c r="T75" s="9">
        <f>IF(C75&lt;&gt;0,C75-Gear!$C$9,0)</f>
        <v>0</v>
      </c>
      <c r="U75" s="9">
        <f>IF(C75&lt;&gt;0,C75-Gear!$C$9,0)</f>
        <v>0</v>
      </c>
    </row>
    <row r="76" spans="20:21" x14ac:dyDescent="0.25">
      <c r="T76" s="9">
        <f>IF(C76&lt;&gt;0,C76-Gear!$C$9,0)</f>
        <v>0</v>
      </c>
      <c r="U76" s="9">
        <f>IF(C76&lt;&gt;0,C76-Gear!$C$9,0)</f>
        <v>0</v>
      </c>
    </row>
    <row r="77" spans="20:21" x14ac:dyDescent="0.25">
      <c r="T77" s="9">
        <f>IF(C77&lt;&gt;0,C77-Gear!$C$9,0)</f>
        <v>0</v>
      </c>
      <c r="U77" s="9">
        <f>IF(C77&lt;&gt;0,C77-Gear!$C$9,0)</f>
        <v>0</v>
      </c>
    </row>
    <row r="78" spans="20:21" x14ac:dyDescent="0.25">
      <c r="T78" s="9">
        <f>IF(C78&lt;&gt;0,C78-Gear!$C$9,0)</f>
        <v>0</v>
      </c>
      <c r="U78" s="9">
        <f>IF(C78&lt;&gt;0,C78-Gear!$C$9,0)</f>
        <v>0</v>
      </c>
    </row>
    <row r="79" spans="20:21" x14ac:dyDescent="0.25">
      <c r="T79" s="9">
        <f>IF(C79&lt;&gt;0,C79-Gear!$C$9,0)</f>
        <v>0</v>
      </c>
      <c r="U79" s="9">
        <f>IF(C79&lt;&gt;0,C79-Gear!$C$9,0)</f>
        <v>0</v>
      </c>
    </row>
    <row r="80" spans="20:21" x14ac:dyDescent="0.25">
      <c r="T80" s="9">
        <f>IF(C80&lt;&gt;0,C80-Gear!$C$9,0)</f>
        <v>0</v>
      </c>
      <c r="U80" s="9">
        <f>IF(C80&lt;&gt;0,C80-Gear!$C$9,0)</f>
        <v>0</v>
      </c>
    </row>
    <row r="81" spans="20:21" x14ac:dyDescent="0.25">
      <c r="T81" s="9">
        <f>IF(C81&lt;&gt;0,C81-Gear!$C$9,0)</f>
        <v>0</v>
      </c>
      <c r="U81" s="9">
        <f>IF(C81&lt;&gt;0,C81-Gear!$C$9,0)</f>
        <v>0</v>
      </c>
    </row>
    <row r="82" spans="20:21" x14ac:dyDescent="0.25">
      <c r="T82" s="9">
        <f>IF(C82&lt;&gt;0,C82-Gear!$C$9,0)</f>
        <v>0</v>
      </c>
      <c r="U82" s="9">
        <f>IF(C82&lt;&gt;0,C82-Gear!$C$9,0)</f>
        <v>0</v>
      </c>
    </row>
    <row r="83" spans="20:21" x14ac:dyDescent="0.25">
      <c r="T83" s="9">
        <f>IF(C83&lt;&gt;0,C83-Gear!$C$9,0)</f>
        <v>0</v>
      </c>
      <c r="U83" s="9">
        <f>IF(C83&lt;&gt;0,C83-Gear!$C$9,0)</f>
        <v>0</v>
      </c>
    </row>
    <row r="84" spans="20:21" x14ac:dyDescent="0.25">
      <c r="T84" s="9">
        <f>IF(C84&lt;&gt;0,C84-Gear!$C$9,0)</f>
        <v>0</v>
      </c>
      <c r="U84" s="9">
        <f>IF(C84&lt;&gt;0,C84-Gear!$C$9,0)</f>
        <v>0</v>
      </c>
    </row>
    <row r="85" spans="20:21" x14ac:dyDescent="0.25">
      <c r="T85" s="9">
        <f>IF(C85&lt;&gt;0,C85-Gear!$C$9,0)</f>
        <v>0</v>
      </c>
      <c r="U85" s="9">
        <f>IF(C85&lt;&gt;0,C85-Gear!$C$9,0)</f>
        <v>0</v>
      </c>
    </row>
    <row r="86" spans="20:21" x14ac:dyDescent="0.25">
      <c r="T86" s="9">
        <f>IF(C86&lt;&gt;0,C86-Gear!$C$9,0)</f>
        <v>0</v>
      </c>
      <c r="U86" s="9">
        <f>IF(C86&lt;&gt;0,C86-Gear!$C$9,0)</f>
        <v>0</v>
      </c>
    </row>
    <row r="87" spans="20:21" x14ac:dyDescent="0.25">
      <c r="T87" s="9">
        <f>IF(C87&lt;&gt;0,C87-Gear!$C$9,0)</f>
        <v>0</v>
      </c>
      <c r="U87" s="9">
        <f>IF(C87&lt;&gt;0,C87-Gear!$C$9,0)</f>
        <v>0</v>
      </c>
    </row>
    <row r="88" spans="20:21" x14ac:dyDescent="0.25">
      <c r="T88" s="9">
        <f>IF(C88&lt;&gt;0,C88-Gear!$C$9,0)</f>
        <v>0</v>
      </c>
      <c r="U88" s="9">
        <f>IF(C88&lt;&gt;0,C88-Gear!$C$9,0)</f>
        <v>0</v>
      </c>
    </row>
    <row r="89" spans="20:21" x14ac:dyDescent="0.25">
      <c r="T89" s="9">
        <f>IF(C89&lt;&gt;0,C89-Gear!$C$9,0)</f>
        <v>0</v>
      </c>
      <c r="U89" s="9">
        <f>IF(C89&lt;&gt;0,C89-Gear!$C$9,0)</f>
        <v>0</v>
      </c>
    </row>
    <row r="90" spans="20:21" x14ac:dyDescent="0.25">
      <c r="T90" s="9">
        <f>IF(C90&lt;&gt;0,C90-Gear!$C$9,0)</f>
        <v>0</v>
      </c>
      <c r="U90" s="9">
        <f>IF(C90&lt;&gt;0,C90-Gear!$C$9,0)</f>
        <v>0</v>
      </c>
    </row>
    <row r="91" spans="20:21" x14ac:dyDescent="0.25">
      <c r="T91" s="9">
        <f>IF(C91&lt;&gt;0,C91-Gear!$C$9,0)</f>
        <v>0</v>
      </c>
      <c r="U91" s="9">
        <f>IF(C91&lt;&gt;0,C91-Gear!$C$9,0)</f>
        <v>0</v>
      </c>
    </row>
    <row r="92" spans="20:21" x14ac:dyDescent="0.25">
      <c r="T92" s="9">
        <f>IF(C92&lt;&gt;0,C92-Gear!$C$9,0)</f>
        <v>0</v>
      </c>
      <c r="U92" s="9">
        <f>IF(C92&lt;&gt;0,C92-Gear!$C$9,0)</f>
        <v>0</v>
      </c>
    </row>
    <row r="93" spans="20:21" x14ac:dyDescent="0.25">
      <c r="T93" s="9">
        <f>IF(C93&lt;&gt;0,C93-Gear!$C$9,0)</f>
        <v>0</v>
      </c>
      <c r="U93" s="9">
        <f>IF(C93&lt;&gt;0,C93-Gear!$C$9,0)</f>
        <v>0</v>
      </c>
    </row>
    <row r="94" spans="20:21" x14ac:dyDescent="0.25">
      <c r="T94" s="9">
        <f>IF(C94&lt;&gt;0,C94-Gear!$C$9,0)</f>
        <v>0</v>
      </c>
      <c r="U94" s="9">
        <f>IF(C94&lt;&gt;0,C94-Gear!$C$9,0)</f>
        <v>0</v>
      </c>
    </row>
    <row r="95" spans="20:21" x14ac:dyDescent="0.25">
      <c r="T95" s="9">
        <f>IF(C95&lt;&gt;0,C95-Gear!$C$9,0)</f>
        <v>0</v>
      </c>
      <c r="U95" s="9">
        <f>IF(C95&lt;&gt;0,C95-Gear!$C$9,0)</f>
        <v>0</v>
      </c>
    </row>
    <row r="96" spans="20:21" x14ac:dyDescent="0.25">
      <c r="T96" s="9">
        <f>IF(C96&lt;&gt;0,C96-Gear!$C$9,0)</f>
        <v>0</v>
      </c>
      <c r="U96" s="9">
        <f>IF(C96&lt;&gt;0,C96-Gear!$C$9,0)</f>
        <v>0</v>
      </c>
    </row>
    <row r="97" spans="20:21" x14ac:dyDescent="0.25">
      <c r="T97" s="9">
        <f>IF(C97&lt;&gt;0,C97-Gear!$C$9,0)</f>
        <v>0</v>
      </c>
      <c r="U97" s="9">
        <f>IF(C97&lt;&gt;0,C97-Gear!$C$9,0)</f>
        <v>0</v>
      </c>
    </row>
    <row r="98" spans="20:21" x14ac:dyDescent="0.25">
      <c r="T98" s="9">
        <f>IF(C98&lt;&gt;0,C98-Gear!$C$9,0)</f>
        <v>0</v>
      </c>
      <c r="U98" s="9">
        <f>IF(C98&lt;&gt;0,C98-Gear!$C$9,0)</f>
        <v>0</v>
      </c>
    </row>
    <row r="99" spans="20:21" x14ac:dyDescent="0.25">
      <c r="T99" s="9">
        <f>IF(C99&lt;&gt;0,C99-Gear!$C$9,0)</f>
        <v>0</v>
      </c>
      <c r="U99" s="9">
        <f>IF(C99&lt;&gt;0,C99-Gear!$C$9,0)</f>
        <v>0</v>
      </c>
    </row>
    <row r="100" spans="20:21" x14ac:dyDescent="0.25">
      <c r="T100" s="9">
        <f>IF(C100&lt;&gt;0,C100-Gear!$C$9,0)</f>
        <v>0</v>
      </c>
      <c r="U100" s="9">
        <f>IF(C100&lt;&gt;0,C100-Gear!$C$9,0)</f>
        <v>0</v>
      </c>
    </row>
    <row r="101" spans="20:21" x14ac:dyDescent="0.25">
      <c r="T101" s="9">
        <f>IF(C101&lt;&gt;0,C101-Gear!$C$9,0)</f>
        <v>0</v>
      </c>
      <c r="U101" s="9">
        <f>IF(C101&lt;&gt;0,C101-Gear!$C$9,0)</f>
        <v>0</v>
      </c>
    </row>
    <row r="102" spans="20:21" x14ac:dyDescent="0.25">
      <c r="T102" s="9">
        <f>IF(C102&lt;&gt;0,C102-Gear!$C$9,0)</f>
        <v>0</v>
      </c>
      <c r="U102" s="9">
        <f>IF(C102&lt;&gt;0,C102-Gear!$C$9,0)</f>
        <v>0</v>
      </c>
    </row>
    <row r="103" spans="20:21" x14ac:dyDescent="0.25">
      <c r="T103" s="9">
        <f>IF(C103&lt;&gt;0,C103-Gear!$C$9,0)</f>
        <v>0</v>
      </c>
      <c r="U103" s="9">
        <f>IF(C103&lt;&gt;0,C103-Gear!$C$9,0)</f>
        <v>0</v>
      </c>
    </row>
    <row r="104" spans="20:21" x14ac:dyDescent="0.25">
      <c r="T104" s="9">
        <f>IF(C104&lt;&gt;0,C104-Gear!$C$9,0)</f>
        <v>0</v>
      </c>
      <c r="U104" s="9">
        <f>IF(C104&lt;&gt;0,C104-Gear!$C$9,0)</f>
        <v>0</v>
      </c>
    </row>
    <row r="105" spans="20:21" x14ac:dyDescent="0.25">
      <c r="T105" s="9">
        <f>IF(C105&lt;&gt;0,C105-Gear!$C$9,0)</f>
        <v>0</v>
      </c>
      <c r="U105" s="9">
        <f>IF(C105&lt;&gt;0,C105-Gear!$C$9,0)</f>
        <v>0</v>
      </c>
    </row>
    <row r="106" spans="20:21" x14ac:dyDescent="0.25">
      <c r="T106" s="9">
        <f>IF(C106&lt;&gt;0,C106-Gear!$C$9,0)</f>
        <v>0</v>
      </c>
      <c r="U106" s="9">
        <f>IF(C106&lt;&gt;0,C106-Gear!$C$9,0)</f>
        <v>0</v>
      </c>
    </row>
    <row r="107" spans="20:21" x14ac:dyDescent="0.25">
      <c r="T107" s="9">
        <f>IF(C107&lt;&gt;0,C107-Gear!$C$9,0)</f>
        <v>0</v>
      </c>
      <c r="U107" s="9">
        <f>IF(C107&lt;&gt;0,C107-Gear!$C$9,0)</f>
        <v>0</v>
      </c>
    </row>
    <row r="108" spans="20:21" x14ac:dyDescent="0.25">
      <c r="T108" s="9">
        <f>IF(C108&lt;&gt;0,C108-Gear!$C$9,0)</f>
        <v>0</v>
      </c>
      <c r="U108" s="9">
        <f>IF(C108&lt;&gt;0,C108-Gear!$C$9,0)</f>
        <v>0</v>
      </c>
    </row>
    <row r="109" spans="20:21" x14ac:dyDescent="0.25">
      <c r="T109" s="9">
        <f>IF(C109&lt;&gt;0,C109-Gear!$C$9,0)</f>
        <v>0</v>
      </c>
      <c r="U109" s="9">
        <f>IF(C109&lt;&gt;0,C109-Gear!$C$9,0)</f>
        <v>0</v>
      </c>
    </row>
    <row r="110" spans="20:21" x14ac:dyDescent="0.25">
      <c r="T110" s="9">
        <f>IF(C110&lt;&gt;0,C110-Gear!$C$9,0)</f>
        <v>0</v>
      </c>
      <c r="U110" s="9">
        <f>IF(C110&lt;&gt;0,C110-Gear!$C$9,0)</f>
        <v>0</v>
      </c>
    </row>
    <row r="111" spans="20:21" x14ac:dyDescent="0.25">
      <c r="T111" s="9">
        <f>IF(C111&lt;&gt;0,C111-Gear!$C$9,0)</f>
        <v>0</v>
      </c>
      <c r="U111" s="9">
        <f>IF(C111&lt;&gt;0,C111-Gear!$C$9,0)</f>
        <v>0</v>
      </c>
    </row>
    <row r="112" spans="20:21" x14ac:dyDescent="0.25">
      <c r="T112" s="9">
        <f>IF(C112&lt;&gt;0,C112-Gear!$C$9,0)</f>
        <v>0</v>
      </c>
      <c r="U112" s="9">
        <f>IF(C112&lt;&gt;0,C112-Gear!$C$9,0)</f>
        <v>0</v>
      </c>
    </row>
    <row r="113" spans="20:21" x14ac:dyDescent="0.25">
      <c r="T113" s="9">
        <f>IF(C113&lt;&gt;0,C113-Gear!$C$9,0)</f>
        <v>0</v>
      </c>
      <c r="U113" s="9">
        <f>IF(C113&lt;&gt;0,C113-Gear!$C$9,0)</f>
        <v>0</v>
      </c>
    </row>
    <row r="114" spans="20:21" x14ac:dyDescent="0.25">
      <c r="T114" s="9">
        <f>IF(C114&lt;&gt;0,C114-Gear!$C$9,0)</f>
        <v>0</v>
      </c>
      <c r="U114" s="9">
        <f>IF(C114&lt;&gt;0,C114-Gear!$C$9,0)</f>
        <v>0</v>
      </c>
    </row>
    <row r="115" spans="20:21" x14ac:dyDescent="0.25">
      <c r="T115" s="9">
        <f>IF(C115&lt;&gt;0,C115-Gear!$C$9,0)</f>
        <v>0</v>
      </c>
      <c r="U115" s="9">
        <f>IF(C115&lt;&gt;0,C115-Gear!$C$9,0)</f>
        <v>0</v>
      </c>
    </row>
    <row r="116" spans="20:21" x14ac:dyDescent="0.25">
      <c r="T116" s="9">
        <f>IF(C116&lt;&gt;0,C116-Gear!$C$9,0)</f>
        <v>0</v>
      </c>
      <c r="U116" s="9">
        <f>IF(C116&lt;&gt;0,C116-Gear!$C$9,0)</f>
        <v>0</v>
      </c>
    </row>
    <row r="117" spans="20:21" x14ac:dyDescent="0.25">
      <c r="T117" s="9">
        <f>IF(C117&lt;&gt;0,C117-Gear!$C$9,0)</f>
        <v>0</v>
      </c>
      <c r="U117" s="9">
        <f>IF(C117&lt;&gt;0,C117-Gear!$C$9,0)</f>
        <v>0</v>
      </c>
    </row>
    <row r="118" spans="20:21" x14ac:dyDescent="0.25">
      <c r="T118" s="9">
        <f>IF(C118&lt;&gt;0,C118-Gear!$C$9,0)</f>
        <v>0</v>
      </c>
      <c r="U118" s="9">
        <f>IF(C118&lt;&gt;0,C118-Gear!$C$9,0)</f>
        <v>0</v>
      </c>
    </row>
    <row r="119" spans="20:21" x14ac:dyDescent="0.25">
      <c r="T119" s="9">
        <f>IF(C119&lt;&gt;0,C119-Gear!$C$9,0)</f>
        <v>0</v>
      </c>
      <c r="U119" s="9">
        <f>IF(C119&lt;&gt;0,C119-Gear!$C$9,0)</f>
        <v>0</v>
      </c>
    </row>
    <row r="120" spans="20:21" x14ac:dyDescent="0.25">
      <c r="T120" s="9">
        <f>IF(C120&lt;&gt;0,C120-Gear!$C$9,0)</f>
        <v>0</v>
      </c>
      <c r="U120" s="9">
        <f>IF(C120&lt;&gt;0,C120-Gear!$C$9,0)</f>
        <v>0</v>
      </c>
    </row>
    <row r="121" spans="20:21" x14ac:dyDescent="0.25">
      <c r="T121" s="9">
        <f>IF(C121&lt;&gt;0,C121-Gear!$C$9,0)</f>
        <v>0</v>
      </c>
      <c r="U121" s="9">
        <f>IF(C121&lt;&gt;0,C121-Gear!$C$9,0)</f>
        <v>0</v>
      </c>
    </row>
    <row r="122" spans="20:21" x14ac:dyDescent="0.25">
      <c r="T122" s="9">
        <f>IF(C122&lt;&gt;0,C122-Gear!$C$9,0)</f>
        <v>0</v>
      </c>
      <c r="U122" s="9">
        <f>IF(C122&lt;&gt;0,C122-Gear!$C$9,0)</f>
        <v>0</v>
      </c>
    </row>
    <row r="123" spans="20:21" x14ac:dyDescent="0.25">
      <c r="T123" s="9">
        <f>IF(C123&lt;&gt;0,C123-Gear!$C$9,0)</f>
        <v>0</v>
      </c>
      <c r="U123" s="9">
        <f>IF(C123&lt;&gt;0,C123-Gear!$C$9,0)</f>
        <v>0</v>
      </c>
    </row>
    <row r="124" spans="20:21" x14ac:dyDescent="0.25">
      <c r="T124" s="9">
        <f>IF(C124&lt;&gt;0,C124-Gear!$C$9,0)</f>
        <v>0</v>
      </c>
      <c r="U124" s="9">
        <f>IF(C124&lt;&gt;0,C124-Gear!$C$9,0)</f>
        <v>0</v>
      </c>
    </row>
    <row r="125" spans="20:21" x14ac:dyDescent="0.25">
      <c r="T125" s="9">
        <f>IF(C125&lt;&gt;0,C125-Gear!$C$9,0)</f>
        <v>0</v>
      </c>
      <c r="U125" s="9">
        <f>IF(C125&lt;&gt;0,C125-Gear!$C$9,0)</f>
        <v>0</v>
      </c>
    </row>
    <row r="126" spans="20:21" x14ac:dyDescent="0.25">
      <c r="T126" s="9">
        <f>IF(C126&lt;&gt;0,C126-Gear!$C$9,0)</f>
        <v>0</v>
      </c>
      <c r="U126" s="9">
        <f>IF(C126&lt;&gt;0,C126-Gear!$C$9,0)</f>
        <v>0</v>
      </c>
    </row>
    <row r="127" spans="20:21" x14ac:dyDescent="0.25">
      <c r="T127" s="9">
        <f>IF(C127&lt;&gt;0,C127-Gear!$C$9,0)</f>
        <v>0</v>
      </c>
      <c r="U127" s="9">
        <f>IF(C127&lt;&gt;0,C127-Gear!$C$9,0)</f>
        <v>0</v>
      </c>
    </row>
    <row r="128" spans="20:21" x14ac:dyDescent="0.25">
      <c r="T128" s="9">
        <f>IF(C128&lt;&gt;0,C128-Gear!$C$9,0)</f>
        <v>0</v>
      </c>
      <c r="U128" s="9">
        <f>IF(C128&lt;&gt;0,C128-Gear!$C$9,0)</f>
        <v>0</v>
      </c>
    </row>
    <row r="129" spans="20:21" x14ac:dyDescent="0.25">
      <c r="T129" s="9">
        <f>IF(C129&lt;&gt;0,C129-Gear!$C$9,0)</f>
        <v>0</v>
      </c>
      <c r="U129" s="9">
        <f>IF(C129&lt;&gt;0,C129-Gear!$C$9,0)</f>
        <v>0</v>
      </c>
    </row>
    <row r="130" spans="20:21" x14ac:dyDescent="0.25">
      <c r="T130" s="9">
        <f>IF(C130&lt;&gt;0,C130-Gear!$C$9,0)</f>
        <v>0</v>
      </c>
      <c r="U130" s="9">
        <f>IF(C130&lt;&gt;0,C130-Gear!$C$9,0)</f>
        <v>0</v>
      </c>
    </row>
    <row r="131" spans="20:21" x14ac:dyDescent="0.25">
      <c r="T131" s="9">
        <f>IF(C131&lt;&gt;0,C131-Gear!$C$9,0)</f>
        <v>0</v>
      </c>
      <c r="U131" s="9">
        <f>IF(C131&lt;&gt;0,C131-Gear!$C$9,0)</f>
        <v>0</v>
      </c>
    </row>
    <row r="132" spans="20:21" x14ac:dyDescent="0.25">
      <c r="T132" s="9">
        <f>IF(C132&lt;&gt;0,C132-Gear!$C$9,0)</f>
        <v>0</v>
      </c>
      <c r="U132" s="9">
        <f>IF(C132&lt;&gt;0,C132-Gear!$C$9,0)</f>
        <v>0</v>
      </c>
    </row>
    <row r="133" spans="20:21" x14ac:dyDescent="0.25">
      <c r="T133" s="9">
        <f>IF(C133&lt;&gt;0,C133-Gear!$C$9,0)</f>
        <v>0</v>
      </c>
      <c r="U133" s="9">
        <f>IF(C133&lt;&gt;0,C133-Gear!$C$9,0)</f>
        <v>0</v>
      </c>
    </row>
    <row r="134" spans="20:21" x14ac:dyDescent="0.25">
      <c r="T134" s="9">
        <f>IF(C134&lt;&gt;0,C134-Gear!$C$9,0)</f>
        <v>0</v>
      </c>
      <c r="U134" s="9">
        <f>IF(C134&lt;&gt;0,C134-Gear!$C$9,0)</f>
        <v>0</v>
      </c>
    </row>
    <row r="135" spans="20:21" x14ac:dyDescent="0.25">
      <c r="T135" s="9">
        <f>IF(C135&lt;&gt;0,C135-Gear!$C$9,0)</f>
        <v>0</v>
      </c>
      <c r="U135" s="9">
        <f>IF(C135&lt;&gt;0,C135-Gear!$C$9,0)</f>
        <v>0</v>
      </c>
    </row>
    <row r="136" spans="20:21" x14ac:dyDescent="0.25">
      <c r="T136" s="9">
        <f>IF(C136&lt;&gt;0,C136-Gear!$C$9,0)</f>
        <v>0</v>
      </c>
      <c r="U136" s="9">
        <f>IF(C136&lt;&gt;0,C136-Gear!$C$9,0)</f>
        <v>0</v>
      </c>
    </row>
    <row r="137" spans="20:21" x14ac:dyDescent="0.25">
      <c r="T137" s="9">
        <f>IF(C137&lt;&gt;0,C137-Gear!$C$9,0)</f>
        <v>0</v>
      </c>
      <c r="U137" s="9">
        <f>IF(C137&lt;&gt;0,C137-Gear!$C$9,0)</f>
        <v>0</v>
      </c>
    </row>
    <row r="138" spans="20:21" x14ac:dyDescent="0.25">
      <c r="T138" s="9">
        <f>IF(C138&lt;&gt;0,C138-Gear!$C$9,0)</f>
        <v>0</v>
      </c>
      <c r="U138" s="9">
        <f>IF(C138&lt;&gt;0,C138-Gear!$C$9,0)</f>
        <v>0</v>
      </c>
    </row>
    <row r="139" spans="20:21" x14ac:dyDescent="0.25">
      <c r="T139" s="9">
        <f>IF(C139&lt;&gt;0,C139-Gear!$C$9,0)</f>
        <v>0</v>
      </c>
      <c r="U139" s="9">
        <f>IF(C139&lt;&gt;0,C139-Gear!$C$9,0)</f>
        <v>0</v>
      </c>
    </row>
    <row r="140" spans="20:21" x14ac:dyDescent="0.25">
      <c r="T140" s="9">
        <f>IF(C140&lt;&gt;0,C140-Gear!$C$9,0)</f>
        <v>0</v>
      </c>
      <c r="U140" s="9">
        <f>IF(C140&lt;&gt;0,C140-Gear!$C$9,0)</f>
        <v>0</v>
      </c>
    </row>
    <row r="141" spans="20:21" x14ac:dyDescent="0.25">
      <c r="T141" s="9">
        <f>IF(C141&lt;&gt;0,C141-Gear!$C$9,0)</f>
        <v>0</v>
      </c>
      <c r="U141" s="9">
        <f>IF(C141&lt;&gt;0,C141-Gear!$C$9,0)</f>
        <v>0</v>
      </c>
    </row>
    <row r="142" spans="20:21" x14ac:dyDescent="0.25">
      <c r="T142" s="9">
        <f>IF(C142&lt;&gt;0,C142-Gear!$C$9,0)</f>
        <v>0</v>
      </c>
      <c r="U142" s="9">
        <f>IF(C142&lt;&gt;0,C142-Gear!$C$9,0)</f>
        <v>0</v>
      </c>
    </row>
    <row r="143" spans="20:21" x14ac:dyDescent="0.25">
      <c r="T143" s="9">
        <f>IF(C143&lt;&gt;0,C143-Gear!$C$9,0)</f>
        <v>0</v>
      </c>
      <c r="U143" s="9">
        <f>IF(C143&lt;&gt;0,C143-Gear!$C$9,0)</f>
        <v>0</v>
      </c>
    </row>
    <row r="144" spans="20:21" x14ac:dyDescent="0.25">
      <c r="T144" s="9">
        <f>IF(C144&lt;&gt;0,C144-Gear!$C$9,0)</f>
        <v>0</v>
      </c>
      <c r="U144" s="9">
        <f>IF(C144&lt;&gt;0,C144-Gear!$C$9,0)</f>
        <v>0</v>
      </c>
    </row>
    <row r="145" spans="20:21" x14ac:dyDescent="0.25">
      <c r="T145" s="9">
        <f>IF(C145&lt;&gt;0,C145-Gear!$C$9,0)</f>
        <v>0</v>
      </c>
      <c r="U145" s="9">
        <f>IF(C145&lt;&gt;0,C145-Gear!$C$9,0)</f>
        <v>0</v>
      </c>
    </row>
    <row r="146" spans="20:21" x14ac:dyDescent="0.25">
      <c r="T146" s="9">
        <f>IF(C146&lt;&gt;0,C146-Gear!$C$9,0)</f>
        <v>0</v>
      </c>
      <c r="U146" s="9">
        <f>IF(C146&lt;&gt;0,C146-Gear!$C$9,0)</f>
        <v>0</v>
      </c>
    </row>
    <row r="147" spans="20:21" x14ac:dyDescent="0.25">
      <c r="T147" s="9">
        <f>IF(C147&lt;&gt;0,C147-Gear!$C$9,0)</f>
        <v>0</v>
      </c>
      <c r="U147" s="9">
        <f>IF(C147&lt;&gt;0,C147-Gear!$C$9,0)</f>
        <v>0</v>
      </c>
    </row>
    <row r="148" spans="20:21" x14ac:dyDescent="0.25">
      <c r="T148" s="9">
        <f>IF(C148&lt;&gt;0,C148-Gear!$C$9,0)</f>
        <v>0</v>
      </c>
      <c r="U148" s="9">
        <f>IF(C148&lt;&gt;0,C148-Gear!$C$9,0)</f>
        <v>0</v>
      </c>
    </row>
    <row r="149" spans="20:21" x14ac:dyDescent="0.25">
      <c r="T149" s="9">
        <f>IF(C149&lt;&gt;0,C149-Gear!$C$9,0)</f>
        <v>0</v>
      </c>
      <c r="U149" s="9">
        <f>IF(C149&lt;&gt;0,C149-Gear!$C$9,0)</f>
        <v>0</v>
      </c>
    </row>
    <row r="150" spans="20:21" x14ac:dyDescent="0.25">
      <c r="T150" s="9">
        <f>IF(C150&lt;&gt;0,C150-Gear!$C$9,0)</f>
        <v>0</v>
      </c>
      <c r="U150" s="9">
        <f>IF(C150&lt;&gt;0,C150-Gear!$C$9,0)</f>
        <v>0</v>
      </c>
    </row>
    <row r="151" spans="20:21" x14ac:dyDescent="0.25">
      <c r="T151" s="9">
        <f>IF(C151&lt;&gt;0,C151-Gear!$C$9,0)</f>
        <v>0</v>
      </c>
      <c r="U151" s="9">
        <f>IF(C151&lt;&gt;0,C151-Gear!$C$9,0)</f>
        <v>0</v>
      </c>
    </row>
    <row r="152" spans="20:21" x14ac:dyDescent="0.25">
      <c r="T152" s="9">
        <f>IF(C152&lt;&gt;0,C152-Gear!$C$9,0)</f>
        <v>0</v>
      </c>
      <c r="U152" s="9">
        <f>IF(C152&lt;&gt;0,C152-Gear!$C$9,0)</f>
        <v>0</v>
      </c>
    </row>
    <row r="153" spans="20:21" x14ac:dyDescent="0.25">
      <c r="T153" s="9">
        <f>IF(C153&lt;&gt;0,C153-Gear!$C$9,0)</f>
        <v>0</v>
      </c>
      <c r="U153" s="9">
        <f>IF(C153&lt;&gt;0,C153-Gear!$C$9,0)</f>
        <v>0</v>
      </c>
    </row>
    <row r="154" spans="20:21" x14ac:dyDescent="0.25">
      <c r="T154" s="9">
        <f>IF(C154&lt;&gt;0,C154-Gear!$C$9,0)</f>
        <v>0</v>
      </c>
      <c r="U154" s="9">
        <f>IF(C154&lt;&gt;0,C154-Gear!$C$9,0)</f>
        <v>0</v>
      </c>
    </row>
    <row r="155" spans="20:21" x14ac:dyDescent="0.25">
      <c r="T155" s="9">
        <f>IF(C155&lt;&gt;0,C155-Gear!$C$9,0)</f>
        <v>0</v>
      </c>
      <c r="U155" s="9">
        <f>IF(C155&lt;&gt;0,C155-Gear!$C$9,0)</f>
        <v>0</v>
      </c>
    </row>
    <row r="156" spans="20:21" x14ac:dyDescent="0.25">
      <c r="T156" s="9">
        <f>IF(C156&lt;&gt;0,C156-Gear!$C$9,0)</f>
        <v>0</v>
      </c>
      <c r="U156" s="9">
        <f>IF(C156&lt;&gt;0,C156-Gear!$C$9,0)</f>
        <v>0</v>
      </c>
    </row>
    <row r="157" spans="20:21" x14ac:dyDescent="0.25">
      <c r="T157" s="9">
        <f>IF(C157&lt;&gt;0,C157-Gear!$C$9,0)</f>
        <v>0</v>
      </c>
      <c r="U157" s="9">
        <f>IF(C157&lt;&gt;0,C157-Gear!$C$9,0)</f>
        <v>0</v>
      </c>
    </row>
    <row r="158" spans="20:21" x14ac:dyDescent="0.25">
      <c r="T158" s="9">
        <f>IF(C158&lt;&gt;0,C158-Gear!$C$9,0)</f>
        <v>0</v>
      </c>
      <c r="U158" s="9">
        <f>IF(C158&lt;&gt;0,C158-Gear!$C$9,0)</f>
        <v>0</v>
      </c>
    </row>
    <row r="159" spans="20:21" x14ac:dyDescent="0.25">
      <c r="T159" s="9">
        <f>IF(C159&lt;&gt;0,C159-Gear!$C$9,0)</f>
        <v>0</v>
      </c>
      <c r="U159" s="9">
        <f>IF(C159&lt;&gt;0,C159-Gear!$C$9,0)</f>
        <v>0</v>
      </c>
    </row>
    <row r="160" spans="20:21" x14ac:dyDescent="0.25">
      <c r="T160" s="9">
        <f>IF(C160&lt;&gt;0,C160-Gear!$C$9,0)</f>
        <v>0</v>
      </c>
      <c r="U160" s="9">
        <f>IF(C160&lt;&gt;0,C160-Gear!$C$9,0)</f>
        <v>0</v>
      </c>
    </row>
    <row r="161" spans="20:21" x14ac:dyDescent="0.25">
      <c r="T161" s="9">
        <f>IF(C161&lt;&gt;0,C161-Gear!$C$9,0)</f>
        <v>0</v>
      </c>
      <c r="U161" s="9">
        <f>IF(C161&lt;&gt;0,C161-Gear!$C$9,0)</f>
        <v>0</v>
      </c>
    </row>
    <row r="162" spans="20:21" x14ac:dyDescent="0.25">
      <c r="T162" s="9">
        <f>IF(C162&lt;&gt;0,C162-Gear!$C$9,0)</f>
        <v>0</v>
      </c>
      <c r="U162" s="9">
        <f>IF(C162&lt;&gt;0,C162-Gear!$C$9,0)</f>
        <v>0</v>
      </c>
    </row>
    <row r="163" spans="20:21" x14ac:dyDescent="0.25">
      <c r="T163" s="9">
        <f>IF(C163&lt;&gt;0,C163-Gear!$C$9,0)</f>
        <v>0</v>
      </c>
      <c r="U163" s="9">
        <f>IF(C163&lt;&gt;0,C163-Gear!$C$9,0)</f>
        <v>0</v>
      </c>
    </row>
    <row r="164" spans="20:21" x14ac:dyDescent="0.25">
      <c r="T164" s="9">
        <f>IF(C164&lt;&gt;0,C164-Gear!$C$9,0)</f>
        <v>0</v>
      </c>
      <c r="U164" s="9">
        <f>IF(C164&lt;&gt;0,C164-Gear!$C$9,0)</f>
        <v>0</v>
      </c>
    </row>
    <row r="165" spans="20:21" x14ac:dyDescent="0.25">
      <c r="T165" s="9">
        <f>IF(C165&lt;&gt;0,C165-Gear!$C$9,0)</f>
        <v>0</v>
      </c>
      <c r="U165" s="9">
        <f>IF(C165&lt;&gt;0,C165-Gear!$C$9,0)</f>
        <v>0</v>
      </c>
    </row>
    <row r="166" spans="20:21" x14ac:dyDescent="0.25">
      <c r="T166" s="9">
        <f>IF(C166&lt;&gt;0,C166-Gear!$C$9,0)</f>
        <v>0</v>
      </c>
      <c r="U166" s="9">
        <f>IF(C166&lt;&gt;0,C166-Gear!$C$9,0)</f>
        <v>0</v>
      </c>
    </row>
    <row r="167" spans="20:21" x14ac:dyDescent="0.25">
      <c r="T167" s="9">
        <f>IF(C167&lt;&gt;0,C167-Gear!$C$9,0)</f>
        <v>0</v>
      </c>
      <c r="U167" s="9">
        <f>IF(C167&lt;&gt;0,C167-Gear!$C$9,0)</f>
        <v>0</v>
      </c>
    </row>
    <row r="168" spans="20:21" x14ac:dyDescent="0.25">
      <c r="T168" s="9">
        <f>IF(C168&lt;&gt;0,C168-Gear!$C$9,0)</f>
        <v>0</v>
      </c>
      <c r="U168" s="9">
        <f>IF(C168&lt;&gt;0,C168-Gear!$C$9,0)</f>
        <v>0</v>
      </c>
    </row>
    <row r="169" spans="20:21" x14ac:dyDescent="0.25">
      <c r="T169" s="9">
        <f>IF(C169&lt;&gt;0,C169-Gear!$C$9,0)</f>
        <v>0</v>
      </c>
      <c r="U169" s="9">
        <f>IF(C169&lt;&gt;0,C169-Gear!$C$9,0)</f>
        <v>0</v>
      </c>
    </row>
    <row r="170" spans="20:21" x14ac:dyDescent="0.25">
      <c r="T170" s="9">
        <f>IF(C170&lt;&gt;0,C170-Gear!$C$9,0)</f>
        <v>0</v>
      </c>
      <c r="U170" s="9">
        <f>IF(C170&lt;&gt;0,C170-Gear!$C$9,0)</f>
        <v>0</v>
      </c>
    </row>
    <row r="171" spans="20:21" x14ac:dyDescent="0.25">
      <c r="T171" s="9">
        <f>IF(C171&lt;&gt;0,C171-Gear!$C$9,0)</f>
        <v>0</v>
      </c>
      <c r="U171" s="9">
        <f>IF(C171&lt;&gt;0,C171-Gear!$C$9,0)</f>
        <v>0</v>
      </c>
    </row>
    <row r="172" spans="20:21" x14ac:dyDescent="0.25">
      <c r="T172" s="9">
        <f>IF(C172&lt;&gt;0,C172-Gear!$C$9,0)</f>
        <v>0</v>
      </c>
      <c r="U172" s="9">
        <f>IF(C172&lt;&gt;0,C172-Gear!$C$9,0)</f>
        <v>0</v>
      </c>
    </row>
    <row r="173" spans="20:21" x14ac:dyDescent="0.25">
      <c r="T173" s="9">
        <f>IF(C173&lt;&gt;0,C173-Gear!$C$9,0)</f>
        <v>0</v>
      </c>
      <c r="U173" s="9">
        <f>IF(C173&lt;&gt;0,C173-Gear!$C$9,0)</f>
        <v>0</v>
      </c>
    </row>
    <row r="174" spans="20:21" x14ac:dyDescent="0.25">
      <c r="T174" s="9">
        <f>IF(C174&lt;&gt;0,C174-Gear!$C$9,0)</f>
        <v>0</v>
      </c>
      <c r="U174" s="9">
        <f>IF(C174&lt;&gt;0,C174-Gear!$C$9,0)</f>
        <v>0</v>
      </c>
    </row>
    <row r="175" spans="20:21" x14ac:dyDescent="0.25">
      <c r="T175" s="9">
        <f>IF(C175&lt;&gt;0,C175-Gear!$C$9,0)</f>
        <v>0</v>
      </c>
      <c r="U175" s="9">
        <f>IF(C175&lt;&gt;0,C175-Gear!$C$9,0)</f>
        <v>0</v>
      </c>
    </row>
    <row r="176" spans="20:21" x14ac:dyDescent="0.25">
      <c r="T176" s="9">
        <f>IF(C176&lt;&gt;0,C176-Gear!$C$9,0)</f>
        <v>0</v>
      </c>
      <c r="U176" s="9">
        <f>IF(C176&lt;&gt;0,C176-Gear!$C$9,0)</f>
        <v>0</v>
      </c>
    </row>
    <row r="177" spans="20:21" x14ac:dyDescent="0.25">
      <c r="T177" s="9">
        <f>IF(C177&lt;&gt;0,C177-Gear!$C$9,0)</f>
        <v>0</v>
      </c>
      <c r="U177" s="9">
        <f>IF(C177&lt;&gt;0,C177-Gear!$C$9,0)</f>
        <v>0</v>
      </c>
    </row>
    <row r="178" spans="20:21" x14ac:dyDescent="0.25">
      <c r="T178" s="9">
        <f>IF(C178&lt;&gt;0,C178-Gear!$C$9,0)</f>
        <v>0</v>
      </c>
      <c r="U178" s="9">
        <f>IF(C178&lt;&gt;0,C178-Gear!$C$9,0)</f>
        <v>0</v>
      </c>
    </row>
    <row r="179" spans="20:21" x14ac:dyDescent="0.25">
      <c r="T179" s="9">
        <f>IF(C179&lt;&gt;0,C179-Gear!$C$9,0)</f>
        <v>0</v>
      </c>
      <c r="U179" s="9">
        <f>IF(C179&lt;&gt;0,C179-Gear!$C$9,0)</f>
        <v>0</v>
      </c>
    </row>
    <row r="180" spans="20:21" x14ac:dyDescent="0.25">
      <c r="T180" s="9">
        <f>IF(C180&lt;&gt;0,C180-Gear!$C$9,0)</f>
        <v>0</v>
      </c>
      <c r="U180" s="9">
        <f>IF(C180&lt;&gt;0,C180-Gear!$C$9,0)</f>
        <v>0</v>
      </c>
    </row>
    <row r="181" spans="20:21" x14ac:dyDescent="0.25">
      <c r="T181" s="9">
        <f>IF(C181&lt;&gt;0,C181-Gear!$C$9,0)</f>
        <v>0</v>
      </c>
      <c r="U181" s="9">
        <f>IF(C181&lt;&gt;0,C181-Gear!$C$9,0)</f>
        <v>0</v>
      </c>
    </row>
    <row r="182" spans="20:21" x14ac:dyDescent="0.25">
      <c r="T182" s="9">
        <f>IF(C182&lt;&gt;0,C182-Gear!$C$9,0)</f>
        <v>0</v>
      </c>
      <c r="U182" s="9">
        <f>IF(C182&lt;&gt;0,C182-Gear!$C$9,0)</f>
        <v>0</v>
      </c>
    </row>
    <row r="183" spans="20:21" x14ac:dyDescent="0.25">
      <c r="T183" s="9">
        <f>IF(C183&lt;&gt;0,C183-Gear!$C$9,0)</f>
        <v>0</v>
      </c>
      <c r="U183" s="9">
        <f>IF(C183&lt;&gt;0,C183-Gear!$C$9,0)</f>
        <v>0</v>
      </c>
    </row>
    <row r="184" spans="20:21" x14ac:dyDescent="0.25">
      <c r="T184" s="9">
        <f>IF(C184&lt;&gt;0,C184-Gear!$C$9,0)</f>
        <v>0</v>
      </c>
      <c r="U184" s="9">
        <f>IF(C184&lt;&gt;0,C184-Gear!$C$9,0)</f>
        <v>0</v>
      </c>
    </row>
    <row r="185" spans="20:21" x14ac:dyDescent="0.25">
      <c r="T185" s="9">
        <f>IF(C185&lt;&gt;0,C185-Gear!$C$9,0)</f>
        <v>0</v>
      </c>
      <c r="U185" s="9">
        <f>IF(C185&lt;&gt;0,C185-Gear!$C$9,0)</f>
        <v>0</v>
      </c>
    </row>
    <row r="186" spans="20:21" x14ac:dyDescent="0.25">
      <c r="T186" s="9">
        <f>IF(C186&lt;&gt;0,C186-Gear!$C$9,0)</f>
        <v>0</v>
      </c>
      <c r="U186" s="9">
        <f>IF(C186&lt;&gt;0,C186-Gear!$C$9,0)</f>
        <v>0</v>
      </c>
    </row>
    <row r="187" spans="20:21" x14ac:dyDescent="0.25">
      <c r="T187" s="9">
        <f>IF(C187&lt;&gt;0,C187-Gear!$C$9,0)</f>
        <v>0</v>
      </c>
      <c r="U187" s="9">
        <f>IF(C187&lt;&gt;0,C187-Gear!$C$9,0)</f>
        <v>0</v>
      </c>
    </row>
    <row r="188" spans="20:21" x14ac:dyDescent="0.25">
      <c r="T188" s="9">
        <f>IF(C188&lt;&gt;0,C188-Gear!$C$9,0)</f>
        <v>0</v>
      </c>
      <c r="U188" s="9">
        <f>IF(C188&lt;&gt;0,C188-Gear!$C$9,0)</f>
        <v>0</v>
      </c>
    </row>
    <row r="189" spans="20:21" x14ac:dyDescent="0.25">
      <c r="T189" s="9">
        <f>IF(C189&lt;&gt;0,C189-Gear!$C$9,0)</f>
        <v>0</v>
      </c>
      <c r="U189" s="9">
        <f>IF(C189&lt;&gt;0,C189-Gear!$C$9,0)</f>
        <v>0</v>
      </c>
    </row>
    <row r="190" spans="20:21" x14ac:dyDescent="0.25">
      <c r="T190" s="9">
        <f>IF(C190&lt;&gt;0,C190-Gear!$C$9,0)</f>
        <v>0</v>
      </c>
      <c r="U190" s="9">
        <f>IF(C190&lt;&gt;0,C190-Gear!$C$9,0)</f>
        <v>0</v>
      </c>
    </row>
    <row r="191" spans="20:21" x14ac:dyDescent="0.25">
      <c r="T191" s="9">
        <f>IF(C191&lt;&gt;0,C191-Gear!$C$9,0)</f>
        <v>0</v>
      </c>
      <c r="U191" s="9">
        <f>IF(C191&lt;&gt;0,C191-Gear!$C$9,0)</f>
        <v>0</v>
      </c>
    </row>
    <row r="192" spans="20:21" x14ac:dyDescent="0.25">
      <c r="T192" s="9">
        <f>IF(C192&lt;&gt;0,C192-Gear!$C$9,0)</f>
        <v>0</v>
      </c>
      <c r="U192" s="9">
        <f>IF(C192&lt;&gt;0,C192-Gear!$C$9,0)</f>
        <v>0</v>
      </c>
    </row>
    <row r="193" spans="20:21" x14ac:dyDescent="0.25">
      <c r="T193" s="9">
        <f>IF(C193&lt;&gt;0,C193-Gear!$C$9,0)</f>
        <v>0</v>
      </c>
      <c r="U193" s="9">
        <f>IF(C193&lt;&gt;0,C193-Gear!$C$9,0)</f>
        <v>0</v>
      </c>
    </row>
    <row r="194" spans="20:21" x14ac:dyDescent="0.25">
      <c r="T194" s="9">
        <f>IF(C194&lt;&gt;0,C194-Gear!$C$9,0)</f>
        <v>0</v>
      </c>
      <c r="U194" s="9">
        <f>IF(C194&lt;&gt;0,C194-Gear!$C$9,0)</f>
        <v>0</v>
      </c>
    </row>
    <row r="195" spans="20:21" x14ac:dyDescent="0.25">
      <c r="T195" s="9">
        <f>IF(C195&lt;&gt;0,C195-Gear!$C$9,0)</f>
        <v>0</v>
      </c>
      <c r="U195" s="9">
        <f>IF(C195&lt;&gt;0,C195-Gear!$C$9,0)</f>
        <v>0</v>
      </c>
    </row>
    <row r="196" spans="20:21" x14ac:dyDescent="0.25">
      <c r="T196" s="9">
        <f>IF(C196&lt;&gt;0,C196-Gear!$C$9,0)</f>
        <v>0</v>
      </c>
      <c r="U196" s="9">
        <f>IF(C196&lt;&gt;0,C196-Gear!$C$9,0)</f>
        <v>0</v>
      </c>
    </row>
    <row r="197" spans="20:21" x14ac:dyDescent="0.25">
      <c r="T197" s="9">
        <f>IF(C197&lt;&gt;0,C197-Gear!$C$9,0)</f>
        <v>0</v>
      </c>
      <c r="U197" s="9">
        <f>IF(C197&lt;&gt;0,C197-Gear!$C$9,0)</f>
        <v>0</v>
      </c>
    </row>
    <row r="198" spans="20:21" x14ac:dyDescent="0.25">
      <c r="T198" s="9">
        <f>IF(C198&lt;&gt;0,C198-Gear!$C$9,0)</f>
        <v>0</v>
      </c>
      <c r="U198" s="9">
        <f>IF(C198&lt;&gt;0,C198-Gear!$C$9,0)</f>
        <v>0</v>
      </c>
    </row>
    <row r="199" spans="20:21" x14ac:dyDescent="0.25">
      <c r="T199" s="9">
        <f>IF(C199&lt;&gt;0,C199-Gear!$C$9,0)</f>
        <v>0</v>
      </c>
      <c r="U199" s="9">
        <f>IF(C199&lt;&gt;0,C199-Gear!$C$9,0)</f>
        <v>0</v>
      </c>
    </row>
    <row r="200" spans="20:21" x14ac:dyDescent="0.25">
      <c r="T200" s="9">
        <f>IF(C200&lt;&gt;0,C200-Gear!$C$9,0)</f>
        <v>0</v>
      </c>
      <c r="U200" s="9">
        <f>IF(C200&lt;&gt;0,C200-Gear!$C$9,0)</f>
        <v>0</v>
      </c>
    </row>
    <row r="201" spans="20:21" x14ac:dyDescent="0.25">
      <c r="T201" s="9">
        <f>IF(C201&lt;&gt;0,C201-Gear!$C$9,0)</f>
        <v>0</v>
      </c>
      <c r="U201" s="9">
        <f>IF(C201&lt;&gt;0,C201-Gear!$C$9,0)</f>
        <v>0</v>
      </c>
    </row>
    <row r="202" spans="20:21" x14ac:dyDescent="0.25">
      <c r="T202" s="9">
        <f>IF(C202&lt;&gt;0,C202-Gear!$C$9,0)</f>
        <v>0</v>
      </c>
      <c r="U202" s="9">
        <f>IF(C202&lt;&gt;0,C202-Gear!$C$9,0)</f>
        <v>0</v>
      </c>
    </row>
    <row r="203" spans="20:21" x14ac:dyDescent="0.25">
      <c r="T203" s="9">
        <f>IF(C203&lt;&gt;0,C203-Gear!$C$9,0)</f>
        <v>0</v>
      </c>
      <c r="U203" s="9">
        <f>IF(C203&lt;&gt;0,C203-Gear!$C$9,0)</f>
        <v>0</v>
      </c>
    </row>
    <row r="204" spans="20:21" x14ac:dyDescent="0.25">
      <c r="T204" s="9">
        <f>IF(C204&lt;&gt;0,C204-Gear!$C$9,0)</f>
        <v>0</v>
      </c>
      <c r="U204" s="9">
        <f>IF(C204&lt;&gt;0,C204-Gear!$C$9,0)</f>
        <v>0</v>
      </c>
    </row>
    <row r="205" spans="20:21" x14ac:dyDescent="0.25">
      <c r="T205" s="9">
        <f>IF(C205&lt;&gt;0,C205-Gear!$C$9,0)</f>
        <v>0</v>
      </c>
      <c r="U205" s="9">
        <f>IF(C205&lt;&gt;0,C205-Gear!$C$9,0)</f>
        <v>0</v>
      </c>
    </row>
    <row r="206" spans="20:21" x14ac:dyDescent="0.25">
      <c r="T206" s="9">
        <f>IF(C206&lt;&gt;0,C206-Gear!$C$9,0)</f>
        <v>0</v>
      </c>
      <c r="U206" s="9">
        <f>IF(C206&lt;&gt;0,C206-Gear!$C$9,0)</f>
        <v>0</v>
      </c>
    </row>
    <row r="207" spans="20:21" x14ac:dyDescent="0.25">
      <c r="T207" s="9">
        <f>IF(C207&lt;&gt;0,C207-Gear!$C$9,0)</f>
        <v>0</v>
      </c>
      <c r="U207" s="9">
        <f>IF(C207&lt;&gt;0,C207-Gear!$C$9,0)</f>
        <v>0</v>
      </c>
    </row>
    <row r="208" spans="20:21" x14ac:dyDescent="0.25">
      <c r="T208" s="9">
        <f>IF(C208&lt;&gt;0,C208-Gear!$C$9,0)</f>
        <v>0</v>
      </c>
      <c r="U208" s="9">
        <f>IF(C208&lt;&gt;0,C208-Gear!$C$9,0)</f>
        <v>0</v>
      </c>
    </row>
    <row r="209" spans="20:21" x14ac:dyDescent="0.25">
      <c r="T209" s="9">
        <f>IF(C209&lt;&gt;0,C209-Gear!$C$9,0)</f>
        <v>0</v>
      </c>
      <c r="U209" s="9">
        <f>IF(C209&lt;&gt;0,C209-Gear!$C$9,0)</f>
        <v>0</v>
      </c>
    </row>
    <row r="210" spans="20:21" x14ac:dyDescent="0.25">
      <c r="T210" s="9">
        <f>IF(C210&lt;&gt;0,C210-Gear!$C$9,0)</f>
        <v>0</v>
      </c>
      <c r="U210" s="9">
        <f>IF(C210&lt;&gt;0,C210-Gear!$C$9,0)</f>
        <v>0</v>
      </c>
    </row>
    <row r="211" spans="20:21" x14ac:dyDescent="0.25">
      <c r="T211" s="9">
        <f>IF(C211&lt;&gt;0,C211-Gear!$C$9,0)</f>
        <v>0</v>
      </c>
      <c r="U211" s="9">
        <f>IF(C211&lt;&gt;0,C211-Gear!$C$9,0)</f>
        <v>0</v>
      </c>
    </row>
    <row r="212" spans="20:21" x14ac:dyDescent="0.25">
      <c r="T212" s="9">
        <f>IF(C212&lt;&gt;0,C212-Gear!$C$9,0)</f>
        <v>0</v>
      </c>
      <c r="U212" s="9">
        <f>IF(C212&lt;&gt;0,C212-Gear!$C$9,0)</f>
        <v>0</v>
      </c>
    </row>
    <row r="213" spans="20:21" x14ac:dyDescent="0.25">
      <c r="T213" s="9">
        <f>IF(C213&lt;&gt;0,C213-Gear!$C$9,0)</f>
        <v>0</v>
      </c>
      <c r="U213" s="9">
        <f>IF(C213&lt;&gt;0,C213-Gear!$C$9,0)</f>
        <v>0</v>
      </c>
    </row>
    <row r="214" spans="20:21" x14ac:dyDescent="0.25">
      <c r="T214" s="9">
        <f>IF(C214&lt;&gt;0,C214-Gear!$C$9,0)</f>
        <v>0</v>
      </c>
      <c r="U214" s="9">
        <f>IF(C214&lt;&gt;0,C214-Gear!$C$9,0)</f>
        <v>0</v>
      </c>
    </row>
    <row r="215" spans="20:21" x14ac:dyDescent="0.25">
      <c r="T215" s="9">
        <f>IF(C215&lt;&gt;0,C215-Gear!$C$9,0)</f>
        <v>0</v>
      </c>
      <c r="U215" s="9">
        <f>IF(C215&lt;&gt;0,C215-Gear!$C$9,0)</f>
        <v>0</v>
      </c>
    </row>
    <row r="216" spans="20:21" x14ac:dyDescent="0.25">
      <c r="T216" s="9">
        <f>IF(C216&lt;&gt;0,C216-Gear!$C$9,0)</f>
        <v>0</v>
      </c>
      <c r="U216" s="9">
        <f>IF(C216&lt;&gt;0,C216-Gear!$C$9,0)</f>
        <v>0</v>
      </c>
    </row>
    <row r="217" spans="20:21" x14ac:dyDescent="0.25">
      <c r="T217" s="9">
        <f>IF(C217&lt;&gt;0,C217-Gear!$C$9,0)</f>
        <v>0</v>
      </c>
      <c r="U217" s="9">
        <f>IF(C217&lt;&gt;0,C217-Gear!$C$9,0)</f>
        <v>0</v>
      </c>
    </row>
    <row r="218" spans="20:21" x14ac:dyDescent="0.25">
      <c r="T218" s="9">
        <f>IF(C218&lt;&gt;0,C218-Gear!$C$9,0)</f>
        <v>0</v>
      </c>
      <c r="U218" s="9">
        <f>IF(C218&lt;&gt;0,C218-Gear!$C$9,0)</f>
        <v>0</v>
      </c>
    </row>
    <row r="219" spans="20:21" x14ac:dyDescent="0.25">
      <c r="T219" s="9">
        <f>IF(C219&lt;&gt;0,C219-Gear!$C$9,0)</f>
        <v>0</v>
      </c>
      <c r="U219" s="9">
        <f>IF(C219&lt;&gt;0,C219-Gear!$C$9,0)</f>
        <v>0</v>
      </c>
    </row>
    <row r="220" spans="20:21" x14ac:dyDescent="0.25">
      <c r="T220" s="9">
        <f>IF(C220&lt;&gt;0,C220-Gear!$C$9,0)</f>
        <v>0</v>
      </c>
      <c r="U220" s="9">
        <f>IF(C220&lt;&gt;0,C220-Gear!$C$9,0)</f>
        <v>0</v>
      </c>
    </row>
    <row r="221" spans="20:21" x14ac:dyDescent="0.25">
      <c r="T221" s="9">
        <f>IF(C221&lt;&gt;0,C221-Gear!$C$9,0)</f>
        <v>0</v>
      </c>
      <c r="U221" s="9">
        <f>IF(C221&lt;&gt;0,C221-Gear!$C$9,0)</f>
        <v>0</v>
      </c>
    </row>
    <row r="222" spans="20:21" x14ac:dyDescent="0.25">
      <c r="T222" s="9">
        <f>IF(C222&lt;&gt;0,C222-Gear!$C$9,0)</f>
        <v>0</v>
      </c>
      <c r="U222" s="9">
        <f>IF(C222&lt;&gt;0,C222-Gear!$C$9,0)</f>
        <v>0</v>
      </c>
    </row>
    <row r="223" spans="20:21" x14ac:dyDescent="0.25">
      <c r="T223" s="9">
        <f>IF(C223&lt;&gt;0,C223-Gear!$C$9,0)</f>
        <v>0</v>
      </c>
      <c r="U223" s="9">
        <f>IF(C223&lt;&gt;0,C223-Gear!$C$9,0)</f>
        <v>0</v>
      </c>
    </row>
    <row r="224" spans="20:21" x14ac:dyDescent="0.25">
      <c r="T224" s="9">
        <f>IF(C224&lt;&gt;0,C224-Gear!$C$9,0)</f>
        <v>0</v>
      </c>
      <c r="U224" s="9">
        <f>IF(C224&lt;&gt;0,C224-Gear!$C$9,0)</f>
        <v>0</v>
      </c>
    </row>
    <row r="225" spans="20:21" x14ac:dyDescent="0.25">
      <c r="T225" s="9">
        <f>IF(C225&lt;&gt;0,C225-Gear!$C$9,0)</f>
        <v>0</v>
      </c>
      <c r="U225" s="9">
        <f>IF(C225&lt;&gt;0,C225-Gear!$C$9,0)</f>
        <v>0</v>
      </c>
    </row>
    <row r="226" spans="20:21" x14ac:dyDescent="0.25">
      <c r="T226" s="9">
        <f>IF(C226&lt;&gt;0,C226-Gear!$C$9,0)</f>
        <v>0</v>
      </c>
      <c r="U226" s="9">
        <f>IF(C226&lt;&gt;0,C226-Gear!$C$9,0)</f>
        <v>0</v>
      </c>
    </row>
    <row r="227" spans="20:21" x14ac:dyDescent="0.25">
      <c r="T227" s="9">
        <f>IF(C227&lt;&gt;0,C227-Gear!$C$9,0)</f>
        <v>0</v>
      </c>
      <c r="U227" s="9">
        <f>IF(C227&lt;&gt;0,C227-Gear!$C$9,0)</f>
        <v>0</v>
      </c>
    </row>
    <row r="228" spans="20:21" x14ac:dyDescent="0.25">
      <c r="T228" s="9">
        <f>IF(C228&lt;&gt;0,C228-Gear!$C$9,0)</f>
        <v>0</v>
      </c>
      <c r="U228" s="9">
        <f>IF(C228&lt;&gt;0,C228-Gear!$C$9,0)</f>
        <v>0</v>
      </c>
    </row>
    <row r="229" spans="20:21" x14ac:dyDescent="0.25">
      <c r="T229" s="9">
        <f>IF(C229&lt;&gt;0,C229-Gear!$C$9,0)</f>
        <v>0</v>
      </c>
      <c r="U229" s="9">
        <f>IF(C229&lt;&gt;0,C229-Gear!$C$9,0)</f>
        <v>0</v>
      </c>
    </row>
    <row r="230" spans="20:21" x14ac:dyDescent="0.25">
      <c r="T230" s="9">
        <f>IF(C230&lt;&gt;0,C230-Gear!$C$9,0)</f>
        <v>0</v>
      </c>
      <c r="U230" s="9">
        <f>IF(C230&lt;&gt;0,C230-Gear!$C$9,0)</f>
        <v>0</v>
      </c>
    </row>
    <row r="231" spans="20:21" x14ac:dyDescent="0.25">
      <c r="T231" s="9">
        <f>IF(C231&lt;&gt;0,C231-Gear!$C$9,0)</f>
        <v>0</v>
      </c>
      <c r="U231" s="9">
        <f>IF(C231&lt;&gt;0,C231-Gear!$C$9,0)</f>
        <v>0</v>
      </c>
    </row>
    <row r="232" spans="20:21" x14ac:dyDescent="0.25">
      <c r="T232" s="9">
        <f>IF(C232&lt;&gt;0,C232-Gear!$C$9,0)</f>
        <v>0</v>
      </c>
      <c r="U232" s="9">
        <f>IF(C232&lt;&gt;0,C232-Gear!$C$9,0)</f>
        <v>0</v>
      </c>
    </row>
    <row r="233" spans="20:21" x14ac:dyDescent="0.25">
      <c r="T233" s="9">
        <f>IF(C233&lt;&gt;0,C233-Gear!$C$9,0)</f>
        <v>0</v>
      </c>
      <c r="U233" s="9">
        <f>IF(C233&lt;&gt;0,C233-Gear!$C$9,0)</f>
        <v>0</v>
      </c>
    </row>
    <row r="234" spans="20:21" x14ac:dyDescent="0.25">
      <c r="T234" s="9">
        <f>IF(C234&lt;&gt;0,C234-Gear!$C$9,0)</f>
        <v>0</v>
      </c>
      <c r="U234" s="9">
        <f>IF(C234&lt;&gt;0,C234-Gear!$C$9,0)</f>
        <v>0</v>
      </c>
    </row>
    <row r="235" spans="20:21" x14ac:dyDescent="0.25">
      <c r="T235" s="9">
        <f>IF(C235&lt;&gt;0,C235-Gear!$C$9,0)</f>
        <v>0</v>
      </c>
      <c r="U235" s="9">
        <f>IF(C235&lt;&gt;0,C235-Gear!$C$9,0)</f>
        <v>0</v>
      </c>
    </row>
    <row r="236" spans="20:21" x14ac:dyDescent="0.25">
      <c r="T236" s="9">
        <f>IF(C236&lt;&gt;0,C236-Gear!$C$9,0)</f>
        <v>0</v>
      </c>
      <c r="U236" s="9">
        <f>IF(C236&lt;&gt;0,C236-Gear!$C$9,0)</f>
        <v>0</v>
      </c>
    </row>
    <row r="237" spans="20:21" x14ac:dyDescent="0.25">
      <c r="T237" s="9">
        <f>IF(C237&lt;&gt;0,C237-Gear!$C$9,0)</f>
        <v>0</v>
      </c>
      <c r="U237" s="9">
        <f>IF(C237&lt;&gt;0,C237-Gear!$C$9,0)</f>
        <v>0</v>
      </c>
    </row>
    <row r="238" spans="20:21" x14ac:dyDescent="0.25">
      <c r="T238" s="9">
        <f>IF(C238&lt;&gt;0,C238-Gear!$C$9,0)</f>
        <v>0</v>
      </c>
      <c r="U238" s="9">
        <f>IF(C238&lt;&gt;0,C238-Gear!$C$9,0)</f>
        <v>0</v>
      </c>
    </row>
    <row r="239" spans="20:21" x14ac:dyDescent="0.25">
      <c r="T239" s="9">
        <f>IF(C239&lt;&gt;0,C239-Gear!$C$9,0)</f>
        <v>0</v>
      </c>
      <c r="U239" s="9">
        <f>IF(C239&lt;&gt;0,C239-Gear!$C$9,0)</f>
        <v>0</v>
      </c>
    </row>
    <row r="240" spans="20:21" x14ac:dyDescent="0.25">
      <c r="T240" s="9">
        <f>IF(C240&lt;&gt;0,C240-Gear!$C$9,0)</f>
        <v>0</v>
      </c>
      <c r="U240" s="9">
        <f>IF(C240&lt;&gt;0,C240-Gear!$C$9,0)</f>
        <v>0</v>
      </c>
    </row>
    <row r="241" spans="20:21" x14ac:dyDescent="0.25">
      <c r="T241" s="9">
        <f>IF(C241&lt;&gt;0,C241-Gear!$C$9,0)</f>
        <v>0</v>
      </c>
      <c r="U241" s="9">
        <f>IF(C241&lt;&gt;0,C241-Gear!$C$9,0)</f>
        <v>0</v>
      </c>
    </row>
    <row r="242" spans="20:21" x14ac:dyDescent="0.25">
      <c r="T242" s="9">
        <f>IF(C242&lt;&gt;0,C242-Gear!$C$9,0)</f>
        <v>0</v>
      </c>
      <c r="U242" s="9">
        <f>IF(C242&lt;&gt;0,C242-Gear!$C$9,0)</f>
        <v>0</v>
      </c>
    </row>
    <row r="243" spans="20:21" x14ac:dyDescent="0.25">
      <c r="T243" s="9">
        <f>IF(C243&lt;&gt;0,C243-Gear!$C$9,0)</f>
        <v>0</v>
      </c>
      <c r="U243" s="9">
        <f>IF(C243&lt;&gt;0,C243-Gear!$C$9,0)</f>
        <v>0</v>
      </c>
    </row>
    <row r="244" spans="20:21" x14ac:dyDescent="0.25">
      <c r="T244" s="9">
        <f>IF(C244&lt;&gt;0,C244-Gear!$C$9,0)</f>
        <v>0</v>
      </c>
      <c r="U244" s="9">
        <f>IF(C244&lt;&gt;0,C244-Gear!$C$9,0)</f>
        <v>0</v>
      </c>
    </row>
    <row r="245" spans="20:21" x14ac:dyDescent="0.25">
      <c r="T245" s="9">
        <f>IF(C245&lt;&gt;0,C245-Gear!$C$9,0)</f>
        <v>0</v>
      </c>
      <c r="U245" s="9">
        <f>IF(C245&lt;&gt;0,C245-Gear!$C$9,0)</f>
        <v>0</v>
      </c>
    </row>
    <row r="246" spans="20:21" x14ac:dyDescent="0.25">
      <c r="T246" s="9">
        <f>IF(C246&lt;&gt;0,C246-Gear!$C$9,0)</f>
        <v>0</v>
      </c>
      <c r="U246" s="9">
        <f>IF(C246&lt;&gt;0,C246-Gear!$C$9,0)</f>
        <v>0</v>
      </c>
    </row>
    <row r="247" spans="20:21" x14ac:dyDescent="0.25">
      <c r="T247" s="9">
        <f>IF(C247&lt;&gt;0,C247-Gear!$C$9,0)</f>
        <v>0</v>
      </c>
      <c r="U247" s="9">
        <f>IF(C247&lt;&gt;0,C247-Gear!$C$9,0)</f>
        <v>0</v>
      </c>
    </row>
    <row r="248" spans="20:21" x14ac:dyDescent="0.25">
      <c r="T248" s="9">
        <f>IF(C248&lt;&gt;0,C248-Gear!$C$9,0)</f>
        <v>0</v>
      </c>
      <c r="U248" s="9">
        <f>IF(C248&lt;&gt;0,C248-Gear!$C$9,0)</f>
        <v>0</v>
      </c>
    </row>
    <row r="249" spans="20:21" x14ac:dyDescent="0.25">
      <c r="T249" s="9">
        <f>IF(C249&lt;&gt;0,C249-Gear!$C$9,0)</f>
        <v>0</v>
      </c>
      <c r="U249" s="9">
        <f>IF(C249&lt;&gt;0,C249-Gear!$C$9,0)</f>
        <v>0</v>
      </c>
    </row>
    <row r="250" spans="20:21" x14ac:dyDescent="0.25">
      <c r="T250" s="9">
        <f>IF(C250&lt;&gt;0,C250-Gear!$C$9,0)</f>
        <v>0</v>
      </c>
      <c r="U250" s="9">
        <f>IF(C250&lt;&gt;0,C250-Gear!$C$9,0)</f>
        <v>0</v>
      </c>
    </row>
    <row r="251" spans="20:21" x14ac:dyDescent="0.25">
      <c r="T251" s="9">
        <f>IF(C251&lt;&gt;0,C251-Gear!$C$9,0)</f>
        <v>0</v>
      </c>
      <c r="U251" s="9">
        <f>IF(C251&lt;&gt;0,C251-Gear!$C$9,0)</f>
        <v>0</v>
      </c>
    </row>
    <row r="252" spans="20:21" x14ac:dyDescent="0.25">
      <c r="T252" s="9">
        <f>IF(C252&lt;&gt;0,C252-Gear!$C$9,0)</f>
        <v>0</v>
      </c>
      <c r="U252" s="9">
        <f>IF(C252&lt;&gt;0,C252-Gear!$C$9,0)</f>
        <v>0</v>
      </c>
    </row>
    <row r="253" spans="20:21" x14ac:dyDescent="0.25">
      <c r="T253" s="9">
        <f>IF(C253&lt;&gt;0,C253-Gear!$C$9,0)</f>
        <v>0</v>
      </c>
      <c r="U253" s="9">
        <f>IF(C253&lt;&gt;0,C253-Gear!$C$9,0)</f>
        <v>0</v>
      </c>
    </row>
    <row r="254" spans="20:21" x14ac:dyDescent="0.25">
      <c r="T254" s="9">
        <f>IF(C254&lt;&gt;0,C254-Gear!$C$9,0)</f>
        <v>0</v>
      </c>
      <c r="U254" s="9">
        <f>IF(C254&lt;&gt;0,C254-Gear!$C$9,0)</f>
        <v>0</v>
      </c>
    </row>
    <row r="255" spans="20:21" x14ac:dyDescent="0.25">
      <c r="T255" s="9">
        <f>IF(C255&lt;&gt;0,C255-Gear!$C$9,0)</f>
        <v>0</v>
      </c>
      <c r="U255" s="9">
        <f>IF(C255&lt;&gt;0,C255-Gear!$C$9,0)</f>
        <v>0</v>
      </c>
    </row>
    <row r="256" spans="20:21" x14ac:dyDescent="0.25">
      <c r="T256" s="9">
        <f>IF(C256&lt;&gt;0,C256-Gear!$C$9,0)</f>
        <v>0</v>
      </c>
      <c r="U256" s="9">
        <f>IF(C256&lt;&gt;0,C256-Gear!$C$9,0)</f>
        <v>0</v>
      </c>
    </row>
    <row r="257" spans="20:21" x14ac:dyDescent="0.25">
      <c r="T257" s="9">
        <f>IF(C257&lt;&gt;0,C257-Gear!$C$9,0)</f>
        <v>0</v>
      </c>
      <c r="U257" s="9">
        <f>IF(C257&lt;&gt;0,C257-Gear!$C$9,0)</f>
        <v>0</v>
      </c>
    </row>
    <row r="258" spans="20:21" x14ac:dyDescent="0.25">
      <c r="T258" s="9">
        <f>IF(C258&lt;&gt;0,C258-Gear!$C$9,0)</f>
        <v>0</v>
      </c>
      <c r="U258" s="9">
        <f>IF(C258&lt;&gt;0,C258-Gear!$C$9,0)</f>
        <v>0</v>
      </c>
    </row>
    <row r="259" spans="20:21" x14ac:dyDescent="0.25">
      <c r="T259" s="9">
        <f>IF(C259&lt;&gt;0,C259-Gear!$C$9,0)</f>
        <v>0</v>
      </c>
      <c r="U259" s="9">
        <f>IF(C259&lt;&gt;0,C259-Gear!$C$9,0)</f>
        <v>0</v>
      </c>
    </row>
    <row r="260" spans="20:21" x14ac:dyDescent="0.25">
      <c r="T260" s="9">
        <f>IF(C260&lt;&gt;0,C260-Gear!$C$9,0)</f>
        <v>0</v>
      </c>
      <c r="U260" s="9">
        <f>IF(C260&lt;&gt;0,C260-Gear!$C$9,0)</f>
        <v>0</v>
      </c>
    </row>
    <row r="261" spans="20:21" x14ac:dyDescent="0.25">
      <c r="T261" s="9">
        <f>IF(C261&lt;&gt;0,C261-Gear!$C$9,0)</f>
        <v>0</v>
      </c>
      <c r="U261" s="9">
        <f>IF(C261&lt;&gt;0,C261-Gear!$C$9,0)</f>
        <v>0</v>
      </c>
    </row>
    <row r="262" spans="20:21" x14ac:dyDescent="0.25">
      <c r="T262" s="9">
        <f>IF(C262&lt;&gt;0,C262-Gear!$C$9,0)</f>
        <v>0</v>
      </c>
      <c r="U262" s="9">
        <f>IF(C262&lt;&gt;0,C262-Gear!$C$9,0)</f>
        <v>0</v>
      </c>
    </row>
    <row r="263" spans="20:21" x14ac:dyDescent="0.25">
      <c r="T263" s="9">
        <f>IF(C263&lt;&gt;0,C263-Gear!$C$9,0)</f>
        <v>0</v>
      </c>
      <c r="U263" s="9">
        <f>IF(C263&lt;&gt;0,C263-Gear!$C$9,0)</f>
        <v>0</v>
      </c>
    </row>
    <row r="264" spans="20:21" x14ac:dyDescent="0.25">
      <c r="T264" s="9">
        <f>IF(C264&lt;&gt;0,C264-Gear!$C$9,0)</f>
        <v>0</v>
      </c>
      <c r="U264" s="9">
        <f>IF(C264&lt;&gt;0,C264-Gear!$C$9,0)</f>
        <v>0</v>
      </c>
    </row>
    <row r="265" spans="20:21" x14ac:dyDescent="0.25">
      <c r="T265" s="9">
        <f>IF(C265&lt;&gt;0,C265-Gear!$C$9,0)</f>
        <v>0</v>
      </c>
      <c r="U265" s="9">
        <f>IF(C265&lt;&gt;0,C265-Gear!$C$9,0)</f>
        <v>0</v>
      </c>
    </row>
    <row r="266" spans="20:21" x14ac:dyDescent="0.25">
      <c r="T266" s="9">
        <f>IF(C266&lt;&gt;0,C266-Gear!$C$9,0)</f>
        <v>0</v>
      </c>
      <c r="U266" s="9">
        <f>IF(C266&lt;&gt;0,C266-Gear!$C$9,0)</f>
        <v>0</v>
      </c>
    </row>
    <row r="267" spans="20:21" x14ac:dyDescent="0.25">
      <c r="T267" s="9">
        <f>IF(C267&lt;&gt;0,C267-Gear!$C$9,0)</f>
        <v>0</v>
      </c>
      <c r="U267" s="9">
        <f>IF(C267&lt;&gt;0,C267-Gear!$C$9,0)</f>
        <v>0</v>
      </c>
    </row>
    <row r="268" spans="20:21" x14ac:dyDescent="0.25">
      <c r="T268" s="9">
        <f>IF(C268&lt;&gt;0,C268-Gear!$C$9,0)</f>
        <v>0</v>
      </c>
      <c r="U268" s="9">
        <f>IF(C268&lt;&gt;0,C268-Gear!$C$9,0)</f>
        <v>0</v>
      </c>
    </row>
    <row r="269" spans="20:21" x14ac:dyDescent="0.25">
      <c r="T269" s="9">
        <f>IF(C269&lt;&gt;0,C269-Gear!$C$9,0)</f>
        <v>0</v>
      </c>
      <c r="U269" s="9">
        <f>IF(C269&lt;&gt;0,C269-Gear!$C$9,0)</f>
        <v>0</v>
      </c>
    </row>
    <row r="270" spans="20:21" x14ac:dyDescent="0.25">
      <c r="T270" s="9">
        <f>IF(C270&lt;&gt;0,C270-Gear!$C$9,0)</f>
        <v>0</v>
      </c>
      <c r="U270" s="9">
        <f>IF(C270&lt;&gt;0,C270-Gear!$C$9,0)</f>
        <v>0</v>
      </c>
    </row>
    <row r="271" spans="20:21" x14ac:dyDescent="0.25">
      <c r="T271" s="9">
        <f>IF(C271&lt;&gt;0,C271-Gear!$C$9,0)</f>
        <v>0</v>
      </c>
      <c r="U271" s="9">
        <f>IF(C271&lt;&gt;0,C271-Gear!$C$9,0)</f>
        <v>0</v>
      </c>
    </row>
    <row r="272" spans="20:21" x14ac:dyDescent="0.25">
      <c r="T272" s="9">
        <f>IF(C272&lt;&gt;0,C272-Gear!$C$9,0)</f>
        <v>0</v>
      </c>
      <c r="U272" s="9">
        <f>IF(C272&lt;&gt;0,C272-Gear!$C$9,0)</f>
        <v>0</v>
      </c>
    </row>
    <row r="273" spans="20:21" x14ac:dyDescent="0.25">
      <c r="T273" s="9">
        <f>IF(C273&lt;&gt;0,C273-Gear!$C$9,0)</f>
        <v>0</v>
      </c>
      <c r="U273" s="9">
        <f>IF(C273&lt;&gt;0,C273-Gear!$C$9,0)</f>
        <v>0</v>
      </c>
    </row>
    <row r="274" spans="20:21" x14ac:dyDescent="0.25">
      <c r="T274" s="9">
        <f>IF(C274&lt;&gt;0,C274-Gear!$C$9,0)</f>
        <v>0</v>
      </c>
      <c r="U274" s="9">
        <f>IF(C274&lt;&gt;0,C274-Gear!$C$9,0)</f>
        <v>0</v>
      </c>
    </row>
    <row r="275" spans="20:21" x14ac:dyDescent="0.25">
      <c r="T275" s="9">
        <f>IF(C275&lt;&gt;0,C275-Gear!$C$9,0)</f>
        <v>0</v>
      </c>
      <c r="U275" s="9">
        <f>IF(C275&lt;&gt;0,C275-Gear!$C$9,0)</f>
        <v>0</v>
      </c>
    </row>
    <row r="276" spans="20:21" x14ac:dyDescent="0.25">
      <c r="T276" s="9">
        <f>IF(C276&lt;&gt;0,C276-Gear!$C$9,0)</f>
        <v>0</v>
      </c>
      <c r="U276" s="9">
        <f>IF(C276&lt;&gt;0,C276-Gear!$C$9,0)</f>
        <v>0</v>
      </c>
    </row>
    <row r="277" spans="20:21" x14ac:dyDescent="0.25">
      <c r="T277" s="9">
        <f>IF(C277&lt;&gt;0,C277-Gear!$C$9,0)</f>
        <v>0</v>
      </c>
      <c r="U277" s="9">
        <f>IF(C277&lt;&gt;0,C277-Gear!$C$9,0)</f>
        <v>0</v>
      </c>
    </row>
    <row r="278" spans="20:21" x14ac:dyDescent="0.25">
      <c r="T278" s="9">
        <f>IF(C278&lt;&gt;0,C278-Gear!$C$9,0)</f>
        <v>0</v>
      </c>
      <c r="U278" s="9">
        <f>IF(C278&lt;&gt;0,C278-Gear!$C$9,0)</f>
        <v>0</v>
      </c>
    </row>
    <row r="279" spans="20:21" x14ac:dyDescent="0.25">
      <c r="T279" s="9">
        <f>IF(C279&lt;&gt;0,C279-Gear!$C$9,0)</f>
        <v>0</v>
      </c>
      <c r="U279" s="9">
        <f>IF(C279&lt;&gt;0,C279-Gear!$C$9,0)</f>
        <v>0</v>
      </c>
    </row>
    <row r="280" spans="20:21" x14ac:dyDescent="0.25">
      <c r="T280" s="9">
        <f>IF(C280&lt;&gt;0,C280-Gear!$C$9,0)</f>
        <v>0</v>
      </c>
      <c r="U280" s="9">
        <f>IF(C280&lt;&gt;0,C280-Gear!$C$9,0)</f>
        <v>0</v>
      </c>
    </row>
    <row r="281" spans="20:21" x14ac:dyDescent="0.25">
      <c r="T281" s="9">
        <f>IF(C281&lt;&gt;0,C281-Gear!$C$9,0)</f>
        <v>0</v>
      </c>
      <c r="U281" s="9">
        <f>IF(C281&lt;&gt;0,C281-Gear!$C$9,0)</f>
        <v>0</v>
      </c>
    </row>
    <row r="282" spans="20:21" x14ac:dyDescent="0.25">
      <c r="T282" s="9">
        <f>IF(C282&lt;&gt;0,C282-Gear!$C$9,0)</f>
        <v>0</v>
      </c>
      <c r="U282" s="9">
        <f>IF(C282&lt;&gt;0,C282-Gear!$C$9,0)</f>
        <v>0</v>
      </c>
    </row>
    <row r="283" spans="20:21" x14ac:dyDescent="0.25">
      <c r="T283" s="9">
        <f>IF(C283&lt;&gt;0,C283-Gear!$C$9,0)</f>
        <v>0</v>
      </c>
      <c r="U283" s="9">
        <f>IF(C283&lt;&gt;0,C283-Gear!$C$9,0)</f>
        <v>0</v>
      </c>
    </row>
    <row r="284" spans="20:21" x14ac:dyDescent="0.25">
      <c r="T284" s="9">
        <f>IF(C284&lt;&gt;0,C284-Gear!$C$9,0)</f>
        <v>0</v>
      </c>
      <c r="U284" s="9">
        <f>IF(C284&lt;&gt;0,C284-Gear!$C$9,0)</f>
        <v>0</v>
      </c>
    </row>
    <row r="285" spans="20:21" x14ac:dyDescent="0.25">
      <c r="T285" s="9">
        <f>IF(C285&lt;&gt;0,C285-Gear!$C$9,0)</f>
        <v>0</v>
      </c>
      <c r="U285" s="9">
        <f>IF(C285&lt;&gt;0,C285-Gear!$C$9,0)</f>
        <v>0</v>
      </c>
    </row>
    <row r="286" spans="20:21" x14ac:dyDescent="0.25">
      <c r="T286" s="9">
        <f>IF(C286&lt;&gt;0,C286-Gear!$C$9,0)</f>
        <v>0</v>
      </c>
      <c r="U286" s="9">
        <f>IF(C286&lt;&gt;0,C286-Gear!$C$9,0)</f>
        <v>0</v>
      </c>
    </row>
    <row r="287" spans="20:21" x14ac:dyDescent="0.25">
      <c r="T287" s="9">
        <f>IF(C287&lt;&gt;0,C287-Gear!$C$9,0)</f>
        <v>0</v>
      </c>
      <c r="U287" s="9">
        <f>IF(C287&lt;&gt;0,C287-Gear!$C$9,0)</f>
        <v>0</v>
      </c>
    </row>
    <row r="288" spans="20:21" x14ac:dyDescent="0.25">
      <c r="T288" s="9">
        <f>IF(C288&lt;&gt;0,C288-Gear!$C$9,0)</f>
        <v>0</v>
      </c>
      <c r="U288" s="9">
        <f>IF(C288&lt;&gt;0,C288-Gear!$C$9,0)</f>
        <v>0</v>
      </c>
    </row>
    <row r="289" spans="20:21" x14ac:dyDescent="0.25">
      <c r="T289" s="9">
        <f>IF(C289&lt;&gt;0,C289-Gear!$C$9,0)</f>
        <v>0</v>
      </c>
      <c r="U289" s="9">
        <f>IF(C289&lt;&gt;0,C289-Gear!$C$9,0)</f>
        <v>0</v>
      </c>
    </row>
    <row r="290" spans="20:21" x14ac:dyDescent="0.25">
      <c r="T290" s="9">
        <f>IF(C290&lt;&gt;0,C290-Gear!$C$9,0)</f>
        <v>0</v>
      </c>
      <c r="U290" s="9">
        <f>IF(C290&lt;&gt;0,C290-Gear!$C$9,0)</f>
        <v>0</v>
      </c>
    </row>
    <row r="291" spans="20:21" x14ac:dyDescent="0.25">
      <c r="T291" s="9">
        <f>IF(C291&lt;&gt;0,C291-Gear!$C$9,0)</f>
        <v>0</v>
      </c>
      <c r="U291" s="9">
        <f>IF(C291&lt;&gt;0,C291-Gear!$C$9,0)</f>
        <v>0</v>
      </c>
    </row>
    <row r="292" spans="20:21" x14ac:dyDescent="0.25">
      <c r="T292" s="9">
        <f>IF(C292&lt;&gt;0,C292-Gear!$C$9,0)</f>
        <v>0</v>
      </c>
      <c r="U292" s="9">
        <f>IF(C292&lt;&gt;0,C292-Gear!$C$9,0)</f>
        <v>0</v>
      </c>
    </row>
    <row r="293" spans="20:21" x14ac:dyDescent="0.25">
      <c r="T293" s="9">
        <f>IF(C293&lt;&gt;0,C293-Gear!$C$9,0)</f>
        <v>0</v>
      </c>
      <c r="U293" s="9">
        <f>IF(C293&lt;&gt;0,C293-Gear!$C$9,0)</f>
        <v>0</v>
      </c>
    </row>
    <row r="294" spans="20:21" x14ac:dyDescent="0.25">
      <c r="T294" s="9">
        <f>IF(C294&lt;&gt;0,C294-Gear!$C$9,0)</f>
        <v>0</v>
      </c>
      <c r="U294" s="9">
        <f>IF(C294&lt;&gt;0,C294-Gear!$C$9,0)</f>
        <v>0</v>
      </c>
    </row>
    <row r="295" spans="20:21" x14ac:dyDescent="0.25">
      <c r="T295" s="9">
        <f>IF(C295&lt;&gt;0,C295-Gear!$C$9,0)</f>
        <v>0</v>
      </c>
      <c r="U295" s="9">
        <f>IF(C295&lt;&gt;0,C295-Gear!$C$9,0)</f>
        <v>0</v>
      </c>
    </row>
    <row r="296" spans="20:21" x14ac:dyDescent="0.25">
      <c r="T296" s="9">
        <f>IF(C296&lt;&gt;0,C296-Gear!$C$9,0)</f>
        <v>0</v>
      </c>
      <c r="U296" s="9">
        <f>IF(C296&lt;&gt;0,C296-Gear!$C$9,0)</f>
        <v>0</v>
      </c>
    </row>
    <row r="297" spans="20:21" x14ac:dyDescent="0.25">
      <c r="T297" s="9">
        <f>IF(C297&lt;&gt;0,C297-Gear!$C$9,0)</f>
        <v>0</v>
      </c>
      <c r="U297" s="9">
        <f>IF(C297&lt;&gt;0,C297-Gear!$C$9,0)</f>
        <v>0</v>
      </c>
    </row>
    <row r="298" spans="20:21" x14ac:dyDescent="0.25">
      <c r="T298" s="9">
        <f>IF(C298&lt;&gt;0,C298-Gear!$C$9,0)</f>
        <v>0</v>
      </c>
      <c r="U298" s="9">
        <f>IF(C298&lt;&gt;0,C298-Gear!$C$9,0)</f>
        <v>0</v>
      </c>
    </row>
    <row r="299" spans="20:21" x14ac:dyDescent="0.25">
      <c r="T299" s="9">
        <f>IF(C299&lt;&gt;0,C299-Gear!$C$9,0)</f>
        <v>0</v>
      </c>
      <c r="U299" s="9">
        <f>IF(C299&lt;&gt;0,C299-Gear!$C$9,0)</f>
        <v>0</v>
      </c>
    </row>
    <row r="300" spans="20:21" x14ac:dyDescent="0.25">
      <c r="T300" s="9">
        <f>IF(C300&lt;&gt;0,C300-Gear!$C$9,0)</f>
        <v>0</v>
      </c>
      <c r="U300" s="9">
        <f>IF(C300&lt;&gt;0,C300-Gear!$C$9,0)</f>
        <v>0</v>
      </c>
    </row>
  </sheetData>
  <conditionalFormatting sqref="U2:U300">
    <cfRule type="cellIs" dxfId="7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8FFB-576C-4076-A5D5-5736903592D6}">
  <sheetPr codeName="Tabelle13"/>
  <dimension ref="A1:U156"/>
  <sheetViews>
    <sheetView showGridLines="0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18" style="9" bestFit="1" customWidth="1"/>
    <col min="3" max="3" width="12" style="9" bestFit="1" customWidth="1"/>
    <col min="4" max="4" width="5.57031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Database'!A13</f>
        <v>23070</v>
      </c>
      <c r="B2" s="9" t="str">
        <f>'Item Database'!B13</f>
        <v>Leggings of Polarity</v>
      </c>
      <c r="C2" s="12">
        <f>'Item Database'!C13</f>
        <v>21.274482539600957</v>
      </c>
      <c r="D2" s="9" t="str">
        <f>'Item Database'!D13</f>
        <v>Legs</v>
      </c>
      <c r="E2" s="9">
        <f>'Item Database'!E13</f>
        <v>112</v>
      </c>
      <c r="F2" s="9">
        <f>'Item Database'!F13</f>
        <v>0</v>
      </c>
      <c r="G2" s="9">
        <f>'Item Database'!G13</f>
        <v>20</v>
      </c>
      <c r="H2" s="9">
        <f>'Item Database'!H13</f>
        <v>0</v>
      </c>
      <c r="I2" s="9">
        <f>'Item Database'!I13</f>
        <v>14</v>
      </c>
      <c r="J2" s="9">
        <f>'Item Database'!J13</f>
        <v>0</v>
      </c>
      <c r="K2" s="9">
        <f>'Item Database'!K13</f>
        <v>44</v>
      </c>
      <c r="L2" s="35">
        <f>'Item Database'!L13</f>
        <v>0.02</v>
      </c>
      <c r="M2" s="35">
        <f>'Item Database'!M13</f>
        <v>0</v>
      </c>
      <c r="N2" s="9">
        <f>'Item Database'!N13</f>
        <v>0</v>
      </c>
      <c r="O2" s="9">
        <f>'Item Database'!O13</f>
        <v>0</v>
      </c>
      <c r="P2" s="9">
        <f>'Item Database'!P13</f>
        <v>0</v>
      </c>
      <c r="Q2" s="9">
        <f>'Item Database'!Q13</f>
        <v>0</v>
      </c>
      <c r="R2" s="9">
        <f>'Item Database'!R13</f>
        <v>0</v>
      </c>
      <c r="S2" s="9">
        <f>'Item Database'!S13</f>
        <v>0</v>
      </c>
      <c r="T2" s="53" t="str">
        <f>HYPERLINK('Item Database'!T13)</f>
        <v>https://classic.wowhead.com/item=23070</v>
      </c>
      <c r="U2" s="9">
        <f>IF(C2&lt;&gt;0,C2-Gear!$C$10,0)</f>
        <v>21.274482539600957</v>
      </c>
    </row>
    <row r="3" spans="1:21" x14ac:dyDescent="0.25">
      <c r="A3" s="24">
        <f>'Item Database'!A14</f>
        <v>22497</v>
      </c>
      <c r="B3" s="9" t="str">
        <f>'Item Database'!B14</f>
        <v>Frostfire Leggings</v>
      </c>
      <c r="C3" s="12">
        <f>'Item Database'!C14</f>
        <v>20.798864532953353</v>
      </c>
      <c r="D3" s="9" t="str">
        <f>'Item Database'!D14</f>
        <v>Legs</v>
      </c>
      <c r="E3" s="9">
        <f>'Item Database'!E14</f>
        <v>116</v>
      </c>
      <c r="F3" s="9">
        <f>'Item Database'!F14</f>
        <v>0</v>
      </c>
      <c r="G3" s="9">
        <f>'Item Database'!G14</f>
        <v>25</v>
      </c>
      <c r="H3" s="9">
        <f>'Item Database'!H14</f>
        <v>0</v>
      </c>
      <c r="I3" s="9">
        <f>'Item Database'!I14</f>
        <v>26</v>
      </c>
      <c r="J3" s="9">
        <f>'Item Database'!J14</f>
        <v>10</v>
      </c>
      <c r="K3" s="9">
        <f>'Item Database'!K14</f>
        <v>46</v>
      </c>
      <c r="L3" s="35">
        <f>'Item Database'!L14</f>
        <v>0</v>
      </c>
      <c r="M3" s="35">
        <f>'Item Database'!M14</f>
        <v>0.01</v>
      </c>
      <c r="N3" s="9">
        <f>'Item Database'!N14</f>
        <v>0</v>
      </c>
      <c r="O3" s="9">
        <f>'Item Database'!O14</f>
        <v>0</v>
      </c>
      <c r="P3" s="9">
        <f>'Item Database'!P14</f>
        <v>0</v>
      </c>
      <c r="Q3" s="9">
        <f>'Item Database'!Q14</f>
        <v>0</v>
      </c>
      <c r="R3" s="9">
        <f>'Item Database'!R14</f>
        <v>0</v>
      </c>
      <c r="S3" s="9">
        <f>'Item Database'!S14</f>
        <v>0</v>
      </c>
      <c r="T3" s="53" t="str">
        <f>HYPERLINK('Item Database'!T14)</f>
        <v>https://classic.wowhead.com/item=22497</v>
      </c>
      <c r="U3" s="9">
        <f>IF(C3&lt;&gt;0,C3-Gear!$C$10,0)</f>
        <v>20.798864532953353</v>
      </c>
    </row>
    <row r="4" spans="1:21" x14ac:dyDescent="0.25">
      <c r="A4" s="24">
        <f>'Item Database'!A26</f>
        <v>21461</v>
      </c>
      <c r="B4" s="9" t="str">
        <f>'Item Database'!B26</f>
        <v>Leggings of the Black Blizzard</v>
      </c>
      <c r="C4" s="12">
        <f>'Item Database'!C26</f>
        <v>17.829174608781027</v>
      </c>
      <c r="D4" s="9" t="str">
        <f>'Item Database'!D26</f>
        <v>Legs</v>
      </c>
      <c r="E4" s="9">
        <f>'Item Database'!E26</f>
        <v>97</v>
      </c>
      <c r="F4" s="9">
        <f>'Item Database'!F26</f>
        <v>0</v>
      </c>
      <c r="G4" s="9">
        <f>'Item Database'!G26</f>
        <v>14</v>
      </c>
      <c r="H4" s="9">
        <f>'Item Database'!H26</f>
        <v>0</v>
      </c>
      <c r="I4" s="9">
        <f>'Item Database'!I26</f>
        <v>16</v>
      </c>
      <c r="J4" s="9">
        <f>'Item Database'!J26</f>
        <v>8</v>
      </c>
      <c r="K4" s="9">
        <f>'Item Database'!K26</f>
        <v>41</v>
      </c>
      <c r="L4" s="35">
        <f>'Item Database'!L26</f>
        <v>0.01</v>
      </c>
      <c r="M4" s="35">
        <f>'Item Database'!M26</f>
        <v>0</v>
      </c>
      <c r="N4" s="9">
        <f>'Item Database'!N26</f>
        <v>0</v>
      </c>
      <c r="O4" s="9">
        <f>'Item Database'!O26</f>
        <v>0</v>
      </c>
      <c r="P4" s="9">
        <f>'Item Database'!P26</f>
        <v>0</v>
      </c>
      <c r="Q4" s="9">
        <f>'Item Database'!Q26</f>
        <v>0</v>
      </c>
      <c r="R4" s="9">
        <f>'Item Database'!R26</f>
        <v>0</v>
      </c>
      <c r="S4" s="9">
        <f>'Item Database'!S26</f>
        <v>0</v>
      </c>
      <c r="T4" s="53" t="str">
        <f>HYPERLINK('Item Database'!T26)</f>
        <v>https://classic.wowhead.com/item=21461</v>
      </c>
      <c r="U4" s="9">
        <f>IF(C4&lt;&gt;0,C4-Gear!$C$10,0)</f>
        <v>17.829174608781027</v>
      </c>
    </row>
    <row r="5" spans="1:21" x14ac:dyDescent="0.25">
      <c r="A5" s="24">
        <f>'Item Database'!A44</f>
        <v>20034</v>
      </c>
      <c r="B5" s="9" t="str">
        <f>'Item Database'!B44</f>
        <v>Zandalar Illusionist's Robe</v>
      </c>
      <c r="C5" s="12">
        <f>'Item Database'!C44</f>
        <v>13.895242179125741</v>
      </c>
      <c r="D5" s="9" t="str">
        <f>'Item Database'!D44</f>
        <v>Chest</v>
      </c>
      <c r="E5" s="9">
        <f>'Item Database'!E44</f>
        <v>100</v>
      </c>
      <c r="F5" s="9">
        <f>'Item Database'!F44</f>
        <v>0</v>
      </c>
      <c r="G5" s="9">
        <f>'Item Database'!G44</f>
        <v>23</v>
      </c>
      <c r="H5" s="9">
        <f>'Item Database'!H44</f>
        <v>0</v>
      </c>
      <c r="I5" s="9">
        <f>'Item Database'!I44</f>
        <v>24</v>
      </c>
      <c r="J5" s="9">
        <f>'Item Database'!J44</f>
        <v>0</v>
      </c>
      <c r="K5" s="9">
        <f>'Item Database'!K44</f>
        <v>27</v>
      </c>
      <c r="L5" s="35">
        <f>'Item Database'!L44</f>
        <v>0</v>
      </c>
      <c r="M5" s="35">
        <f>'Item Database'!M44</f>
        <v>0.01</v>
      </c>
      <c r="N5" s="9">
        <f>'Item Database'!N44</f>
        <v>0</v>
      </c>
      <c r="O5" s="9">
        <f>'Item Database'!O44</f>
        <v>0</v>
      </c>
      <c r="P5" s="9">
        <f>'Item Database'!P44</f>
        <v>0</v>
      </c>
      <c r="Q5" s="9">
        <f>'Item Database'!Q44</f>
        <v>0</v>
      </c>
      <c r="R5" s="9">
        <f>'Item Database'!R44</f>
        <v>0</v>
      </c>
      <c r="S5" s="9">
        <f>'Item Database'!S44</f>
        <v>0</v>
      </c>
      <c r="T5" s="53" t="str">
        <f>HYPERLINK('Item Database'!T44)</f>
        <v>https://classic.wowhead.com/item=20034</v>
      </c>
      <c r="U5" s="9">
        <f>IF(C5&lt;&gt;0,C5-Gear!$C$10,0)</f>
        <v>13.895242179125741</v>
      </c>
    </row>
    <row r="6" spans="1:21" x14ac:dyDescent="0.25">
      <c r="A6" s="24">
        <f>'Item Database'!A49</f>
        <v>14340</v>
      </c>
      <c r="B6" s="9" t="str">
        <f>'Item Database'!B49</f>
        <v>Freezing Lich Robes</v>
      </c>
      <c r="C6" s="12">
        <f>'Item Database'!C49</f>
        <v>15.437560780292914</v>
      </c>
      <c r="D6" s="9" t="str">
        <f>'Item Database'!D49</f>
        <v>Chest</v>
      </c>
      <c r="E6" s="9">
        <f>'Item Database'!E49</f>
        <v>88</v>
      </c>
      <c r="F6" s="9">
        <f>'Item Database'!F49</f>
        <v>0</v>
      </c>
      <c r="G6" s="9">
        <f>'Item Database'!G49</f>
        <v>15</v>
      </c>
      <c r="H6" s="9">
        <f>'Item Database'!H49</f>
        <v>0</v>
      </c>
      <c r="I6" s="9">
        <f>'Item Database'!I49</f>
        <v>0</v>
      </c>
      <c r="J6" s="9">
        <f>'Item Database'!J49</f>
        <v>0</v>
      </c>
      <c r="K6" s="9">
        <f>'Item Database'!K49</f>
        <v>43</v>
      </c>
      <c r="L6" s="35">
        <f>'Item Database'!L49</f>
        <v>0</v>
      </c>
      <c r="M6" s="35">
        <f>'Item Database'!M49</f>
        <v>0</v>
      </c>
      <c r="N6" s="9">
        <f>'Item Database'!N49</f>
        <v>0</v>
      </c>
      <c r="O6" s="9">
        <f>'Item Database'!O49</f>
        <v>0</v>
      </c>
      <c r="P6" s="9">
        <f>'Item Database'!P49</f>
        <v>0</v>
      </c>
      <c r="Q6" s="9">
        <f>'Item Database'!Q49</f>
        <v>0</v>
      </c>
      <c r="R6" s="9">
        <f>'Item Database'!R49</f>
        <v>0</v>
      </c>
      <c r="S6" s="9">
        <f>'Item Database'!S49</f>
        <v>0</v>
      </c>
      <c r="T6" s="53" t="str">
        <f>HYPERLINK('Item Database'!T49)</f>
        <v>https://classic.wowhead.com/item=14340</v>
      </c>
      <c r="U6" s="9">
        <f>IF(C6&lt;&gt;0,C6-Gear!$C$10,0)</f>
        <v>15.437560780292914</v>
      </c>
    </row>
    <row r="7" spans="1:21" x14ac:dyDescent="0.25">
      <c r="A7" s="24">
        <f>'Item Database'!A50</f>
        <v>19165</v>
      </c>
      <c r="B7" s="9" t="str">
        <f>'Item Database'!B50</f>
        <v>Flarecore Leggings</v>
      </c>
      <c r="C7" s="12">
        <f>'Item Database'!C50</f>
        <v>15.437560780292914</v>
      </c>
      <c r="D7" s="9" t="str">
        <f>'Item Database'!D50</f>
        <v>Legs</v>
      </c>
      <c r="E7" s="9">
        <f>'Item Database'!E50</f>
        <v>94</v>
      </c>
      <c r="F7" s="9">
        <f>'Item Database'!F50</f>
        <v>0</v>
      </c>
      <c r="G7" s="9">
        <f>'Item Database'!G50</f>
        <v>21</v>
      </c>
      <c r="H7" s="9">
        <f>'Item Database'!H50</f>
        <v>0</v>
      </c>
      <c r="I7" s="9">
        <f>'Item Database'!I50</f>
        <v>0</v>
      </c>
      <c r="J7" s="9">
        <f>'Item Database'!J50</f>
        <v>0</v>
      </c>
      <c r="K7" s="9">
        <f>'Item Database'!K50</f>
        <v>43</v>
      </c>
      <c r="L7" s="35">
        <f>'Item Database'!L50</f>
        <v>0</v>
      </c>
      <c r="M7" s="35">
        <f>'Item Database'!M50</f>
        <v>0</v>
      </c>
      <c r="N7" s="9">
        <f>'Item Database'!N50</f>
        <v>0</v>
      </c>
      <c r="O7" s="9">
        <f>'Item Database'!O50</f>
        <v>16</v>
      </c>
      <c r="P7" s="9">
        <f>'Item Database'!P50</f>
        <v>0</v>
      </c>
      <c r="Q7" s="9">
        <f>'Item Database'!Q50</f>
        <v>0</v>
      </c>
      <c r="R7" s="9">
        <f>'Item Database'!R50</f>
        <v>0</v>
      </c>
      <c r="S7" s="9">
        <f>'Item Database'!S50</f>
        <v>0</v>
      </c>
      <c r="T7" s="53" t="str">
        <f>HYPERLINK('Item Database'!T50)</f>
        <v>https://classic.wowhead.com/item=19165</v>
      </c>
      <c r="U7" s="9">
        <f>IF(C7&lt;&gt;0,C7-Gear!$C$10,0)</f>
        <v>15.437560780292914</v>
      </c>
    </row>
    <row r="8" spans="1:21" x14ac:dyDescent="0.25">
      <c r="A8" s="24">
        <f>'Item Database'!A73</f>
        <v>19310</v>
      </c>
      <c r="B8" s="9" t="str">
        <f>'Item Database'!B73</f>
        <v>Tome of the Ice Lord</v>
      </c>
      <c r="C8" s="12">
        <f>'Item Database'!C73</f>
        <v>12.577128960012962</v>
      </c>
      <c r="D8" s="9" t="str">
        <f>'Item Database'!D73</f>
        <v>Offhand</v>
      </c>
      <c r="E8" s="9">
        <f>'Item Database'!E73</f>
        <v>0</v>
      </c>
      <c r="F8" s="9">
        <f>'Item Database'!F73</f>
        <v>0</v>
      </c>
      <c r="G8" s="9">
        <f>'Item Database'!G73</f>
        <v>0</v>
      </c>
      <c r="H8" s="9">
        <f>'Item Database'!H73</f>
        <v>0</v>
      </c>
      <c r="I8" s="9">
        <f>'Item Database'!I73</f>
        <v>9</v>
      </c>
      <c r="J8" s="9">
        <f>'Item Database'!J73</f>
        <v>0</v>
      </c>
      <c r="K8" s="9">
        <f>'Item Database'!K73</f>
        <v>34</v>
      </c>
      <c r="L8" s="35">
        <f>'Item Database'!L73</f>
        <v>0</v>
      </c>
      <c r="M8" s="35">
        <f>'Item Database'!M73</f>
        <v>0</v>
      </c>
      <c r="N8" s="9">
        <f>'Item Database'!N73</f>
        <v>0</v>
      </c>
      <c r="O8" s="9">
        <f>'Item Database'!O73</f>
        <v>0</v>
      </c>
      <c r="P8" s="9">
        <f>'Item Database'!P73</f>
        <v>0</v>
      </c>
      <c r="Q8" s="9">
        <f>'Item Database'!Q73</f>
        <v>0</v>
      </c>
      <c r="R8" s="9">
        <f>'Item Database'!R73</f>
        <v>0</v>
      </c>
      <c r="S8" s="9">
        <f>'Item Database'!S73</f>
        <v>0</v>
      </c>
      <c r="T8" s="53" t="str">
        <f>HYPERLINK('Item Database'!T73)</f>
        <v>https://classic.wowhead.com/item=19310</v>
      </c>
      <c r="U8" s="9">
        <f>IF(C8&lt;&gt;0,C8-Gear!$C$10,0)</f>
        <v>12.577128960012962</v>
      </c>
    </row>
    <row r="9" spans="1:21" x14ac:dyDescent="0.25">
      <c r="A9" s="9">
        <f>'Item Database'!A82</f>
        <v>23305</v>
      </c>
      <c r="B9" s="9" t="str">
        <f>'Item Database'!B82</f>
        <v>Knight-Captain's Silk Tunic</v>
      </c>
      <c r="C9" s="12">
        <f>'Item Database'!C82</f>
        <v>10.690101064331092</v>
      </c>
      <c r="D9" s="9" t="str">
        <f>'Item Database'!D82</f>
        <v>Chest</v>
      </c>
      <c r="E9" s="9">
        <f>'Item Database'!E82</f>
        <v>156</v>
      </c>
      <c r="F9" s="9">
        <f>'Item Database'!F82</f>
        <v>0</v>
      </c>
      <c r="G9" s="9">
        <f>'Item Database'!G82</f>
        <v>18</v>
      </c>
      <c r="H9" s="9">
        <f>'Item Database'!H82</f>
        <v>0</v>
      </c>
      <c r="I9" s="9">
        <f>'Item Database'!I82</f>
        <v>17</v>
      </c>
      <c r="J9" s="9">
        <f>'Item Database'!J82</f>
        <v>5</v>
      </c>
      <c r="K9" s="9">
        <f>'Item Database'!K82</f>
        <v>21</v>
      </c>
      <c r="L9" s="35">
        <f>'Item Database'!L82</f>
        <v>0.01</v>
      </c>
      <c r="M9" s="35">
        <f>'Item Database'!M82</f>
        <v>0</v>
      </c>
      <c r="N9" s="9">
        <f>'Item Database'!N82</f>
        <v>0</v>
      </c>
      <c r="O9" s="9">
        <f>'Item Database'!O82</f>
        <v>0</v>
      </c>
      <c r="P9" s="9">
        <f>'Item Database'!P82</f>
        <v>0</v>
      </c>
      <c r="Q9" s="9">
        <f>'Item Database'!Q82</f>
        <v>0</v>
      </c>
      <c r="R9" s="9">
        <f>'Item Database'!R82</f>
        <v>0</v>
      </c>
      <c r="S9" s="9">
        <f>'Item Database'!S82</f>
        <v>0</v>
      </c>
      <c r="T9" s="53" t="str">
        <f>HYPERLINK('Item Database'!T82)</f>
        <v>https://classic.wowhead.com/item=23305</v>
      </c>
      <c r="U9" s="9">
        <f>IF(C9&lt;&gt;0,C9-Gear!$C$10,0)</f>
        <v>10.690101064331092</v>
      </c>
    </row>
    <row r="10" spans="1:21" x14ac:dyDescent="0.25">
      <c r="A10" s="24">
        <f>'Item Database'!A83</f>
        <v>23304</v>
      </c>
      <c r="B10" s="9" t="str">
        <f>'Item Database'!B83</f>
        <v>Knight-Captain's Silk Legguards</v>
      </c>
      <c r="C10" s="12">
        <f>'Item Database'!C83</f>
        <v>10.690101064331092</v>
      </c>
      <c r="D10" s="9" t="str">
        <f>'Item Database'!D83</f>
        <v>Legs</v>
      </c>
      <c r="E10" s="9">
        <f>'Item Database'!E83</f>
        <v>144</v>
      </c>
      <c r="F10" s="9">
        <f>'Item Database'!F83</f>
        <v>0</v>
      </c>
      <c r="G10" s="9">
        <f>'Item Database'!G83</f>
        <v>18</v>
      </c>
      <c r="H10" s="9">
        <f>'Item Database'!H83</f>
        <v>0</v>
      </c>
      <c r="I10" s="9">
        <f>'Item Database'!I83</f>
        <v>17</v>
      </c>
      <c r="J10" s="9">
        <f>'Item Database'!J83</f>
        <v>5</v>
      </c>
      <c r="K10" s="9">
        <f>'Item Database'!K83</f>
        <v>21</v>
      </c>
      <c r="L10" s="35">
        <f>'Item Database'!L83</f>
        <v>0.01</v>
      </c>
      <c r="M10" s="35">
        <f>'Item Database'!M83</f>
        <v>0</v>
      </c>
      <c r="N10" s="9">
        <f>'Item Database'!N83</f>
        <v>0</v>
      </c>
      <c r="O10" s="9">
        <f>'Item Database'!O83</f>
        <v>0</v>
      </c>
      <c r="P10" s="9">
        <f>'Item Database'!P83</f>
        <v>0</v>
      </c>
      <c r="Q10" s="9">
        <f>'Item Database'!Q83</f>
        <v>0</v>
      </c>
      <c r="R10" s="9">
        <f>'Item Database'!R83</f>
        <v>0</v>
      </c>
      <c r="S10" s="9">
        <f>'Item Database'!S83</f>
        <v>0</v>
      </c>
      <c r="T10" s="53" t="str">
        <f>HYPERLINK('Item Database'!T83)</f>
        <v>https://classic.wowhead.com/item=23304</v>
      </c>
      <c r="U10" s="9">
        <f>IF(C10&lt;&gt;0,C10-Gear!$C$10,0)</f>
        <v>10.690101064331092</v>
      </c>
    </row>
    <row r="11" spans="1:21" x14ac:dyDescent="0.25">
      <c r="A11" s="24">
        <f>'Item Database'!A90</f>
        <v>19895</v>
      </c>
      <c r="B11" s="9" t="str">
        <f>'Item Database'!B90</f>
        <v>Bloodtinged Kilt</v>
      </c>
      <c r="C11" s="12">
        <f>'Item Database'!C90</f>
        <v>10.876110831126049</v>
      </c>
      <c r="D11" s="9" t="str">
        <f>'Item Database'!D90</f>
        <v>Legs</v>
      </c>
      <c r="E11" s="9">
        <f>'Item Database'!E90</f>
        <v>87</v>
      </c>
      <c r="F11" s="9">
        <f>'Item Database'!F90</f>
        <v>0</v>
      </c>
      <c r="G11" s="9">
        <f>'Item Database'!G90</f>
        <v>20</v>
      </c>
      <c r="H11" s="9">
        <f>'Item Database'!H90</f>
        <v>0</v>
      </c>
      <c r="I11" s="9">
        <f>'Item Database'!I90</f>
        <v>20</v>
      </c>
      <c r="J11" s="9">
        <f>'Item Database'!J90</f>
        <v>0</v>
      </c>
      <c r="K11" s="9">
        <f>'Item Database'!K90</f>
        <v>28</v>
      </c>
      <c r="L11" s="35">
        <f>'Item Database'!L90</f>
        <v>0</v>
      </c>
      <c r="M11" s="35">
        <f>'Item Database'!M90</f>
        <v>0</v>
      </c>
      <c r="N11" s="9">
        <f>'Item Database'!N90</f>
        <v>0</v>
      </c>
      <c r="O11" s="9">
        <f>'Item Database'!O90</f>
        <v>0</v>
      </c>
      <c r="P11" s="9">
        <f>'Item Database'!P90</f>
        <v>0</v>
      </c>
      <c r="Q11" s="9">
        <f>'Item Database'!Q90</f>
        <v>0</v>
      </c>
      <c r="R11" s="9">
        <f>'Item Database'!R90</f>
        <v>0</v>
      </c>
      <c r="S11" s="9">
        <f>'Item Database'!S90</f>
        <v>0</v>
      </c>
      <c r="T11" s="53" t="str">
        <f>HYPERLINK('Item Database'!T90)</f>
        <v>https://classic.wowhead.com/item=19895</v>
      </c>
      <c r="U11" s="9">
        <f>IF(C11&lt;&gt;0,C11-Gear!$C$10,0)</f>
        <v>10.876110831126049</v>
      </c>
    </row>
    <row r="12" spans="1:21" x14ac:dyDescent="0.25">
      <c r="A12" s="24">
        <f>'Item Database'!A91</f>
        <v>18727</v>
      </c>
      <c r="B12" s="9" t="str">
        <f>'Item Database'!B91</f>
        <v>Crimson Felt Hat</v>
      </c>
      <c r="C12" s="12">
        <f>'Item Database'!C91</f>
        <v>11.099889510811042</v>
      </c>
      <c r="D12" s="9" t="str">
        <f>'Item Database'!D91</f>
        <v>Head</v>
      </c>
      <c r="E12" s="9">
        <f>'Item Database'!E91</f>
        <v>68</v>
      </c>
      <c r="F12" s="9">
        <f>'Item Database'!F91</f>
        <v>0</v>
      </c>
      <c r="G12" s="9">
        <f>'Item Database'!G91</f>
        <v>8</v>
      </c>
      <c r="H12" s="9">
        <f>'Item Database'!H91</f>
        <v>0</v>
      </c>
      <c r="I12" s="9">
        <f>'Item Database'!I91</f>
        <v>8</v>
      </c>
      <c r="J12" s="9">
        <f>'Item Database'!J91</f>
        <v>8</v>
      </c>
      <c r="K12" s="9">
        <f>'Item Database'!K91</f>
        <v>30</v>
      </c>
      <c r="L12" s="35">
        <f>'Item Database'!L91</f>
        <v>0</v>
      </c>
      <c r="M12" s="35">
        <f>'Item Database'!M91</f>
        <v>0</v>
      </c>
      <c r="N12" s="9">
        <f>'Item Database'!N91</f>
        <v>0</v>
      </c>
      <c r="O12" s="9">
        <f>'Item Database'!O91</f>
        <v>0</v>
      </c>
      <c r="P12" s="9">
        <f>'Item Database'!P91</f>
        <v>0</v>
      </c>
      <c r="Q12" s="9">
        <f>'Item Database'!Q91</f>
        <v>0</v>
      </c>
      <c r="R12" s="9">
        <f>'Item Database'!R91</f>
        <v>0</v>
      </c>
      <c r="S12" s="9">
        <f>'Item Database'!S91</f>
        <v>0</v>
      </c>
      <c r="T12" s="53" t="str">
        <f>HYPERLINK('Item Database'!T91)</f>
        <v>https://classic.wowhead.com/item=18727</v>
      </c>
      <c r="U12" s="9">
        <f>IF(C12&lt;&gt;0,C12-Gear!$C$10,0)</f>
        <v>11.099889510811042</v>
      </c>
    </row>
    <row r="13" spans="1:21" x14ac:dyDescent="0.25">
      <c r="A13" s="24">
        <f>'Item Database'!A112</f>
        <v>16818</v>
      </c>
      <c r="B13" s="9" t="str">
        <f>'Item Database'!B112</f>
        <v>Netherwind Belt</v>
      </c>
      <c r="C13" s="12">
        <f>'Item Database'!C112</f>
        <v>9.0810456241152444</v>
      </c>
      <c r="D13" s="9" t="str">
        <f>'Item Database'!D112</f>
        <v>Waist</v>
      </c>
      <c r="E13" s="9">
        <f>'Item Database'!E112</f>
        <v>65</v>
      </c>
      <c r="F13" s="9">
        <f>'Item Database'!F112</f>
        <v>0</v>
      </c>
      <c r="G13" s="9">
        <f>'Item Database'!G112</f>
        <v>13</v>
      </c>
      <c r="H13" s="9">
        <f>'Item Database'!H112</f>
        <v>0</v>
      </c>
      <c r="I13" s="9">
        <f>'Item Database'!I112</f>
        <v>20</v>
      </c>
      <c r="J13" s="9">
        <f>'Item Database'!J112</f>
        <v>13</v>
      </c>
      <c r="K13" s="9">
        <f>'Item Database'!K112</f>
        <v>23</v>
      </c>
      <c r="L13" s="35">
        <f>'Item Database'!L112</f>
        <v>0</v>
      </c>
      <c r="M13" s="35">
        <f>'Item Database'!M112</f>
        <v>0</v>
      </c>
      <c r="N13" s="9">
        <f>'Item Database'!N112</f>
        <v>0</v>
      </c>
      <c r="O13" s="9">
        <f>'Item Database'!O112</f>
        <v>0</v>
      </c>
      <c r="P13" s="9">
        <f>'Item Database'!P112</f>
        <v>0</v>
      </c>
      <c r="Q13" s="9">
        <f>'Item Database'!Q112</f>
        <v>0</v>
      </c>
      <c r="R13" s="9">
        <f>'Item Database'!R112</f>
        <v>10</v>
      </c>
      <c r="S13" s="9">
        <f>'Item Database'!S112</f>
        <v>0</v>
      </c>
      <c r="T13" s="53" t="str">
        <f>HYPERLINK('Item Database'!T112)</f>
        <v>https://classic.wowhead.com/item=16818</v>
      </c>
      <c r="U13" s="9">
        <f>IF(C13&lt;&gt;0,C13-Gear!$C$10,0)</f>
        <v>9.0810456241152444</v>
      </c>
    </row>
    <row r="14" spans="1:21" x14ac:dyDescent="0.25">
      <c r="A14" s="24">
        <f>'Item Database'!A118</f>
        <v>9484</v>
      </c>
      <c r="B14" s="9" t="str">
        <f>'Item Database'!B118</f>
        <v>Spellshock Leggings</v>
      </c>
      <c r="C14" s="12">
        <f>'Item Database'!C118</f>
        <v>8.6691727881824701</v>
      </c>
      <c r="D14" s="9" t="str">
        <f>'Item Database'!D118</f>
        <v>Legs</v>
      </c>
      <c r="E14" s="9">
        <f>'Item Database'!E118</f>
        <v>63</v>
      </c>
      <c r="F14" s="9">
        <f>'Item Database'!F118</f>
        <v>0</v>
      </c>
      <c r="G14" s="9">
        <f>'Item Database'!G118</f>
        <v>9</v>
      </c>
      <c r="H14" s="9">
        <f>'Item Database'!H118</f>
        <v>0</v>
      </c>
      <c r="I14" s="9">
        <f>'Item Database'!I118</f>
        <v>10</v>
      </c>
      <c r="J14" s="9">
        <f>'Item Database'!J118</f>
        <v>0</v>
      </c>
      <c r="K14" s="9">
        <f>'Item Database'!K118</f>
        <v>23</v>
      </c>
      <c r="L14" s="35">
        <f>'Item Database'!L118</f>
        <v>0</v>
      </c>
      <c r="M14" s="35">
        <f>'Item Database'!M118</f>
        <v>0</v>
      </c>
      <c r="N14" s="9">
        <f>'Item Database'!N118</f>
        <v>0</v>
      </c>
      <c r="O14" s="9">
        <f>'Item Database'!O118</f>
        <v>0</v>
      </c>
      <c r="P14" s="9">
        <f>'Item Database'!P118</f>
        <v>0</v>
      </c>
      <c r="Q14" s="9">
        <f>'Item Database'!Q118</f>
        <v>0</v>
      </c>
      <c r="R14" s="9">
        <f>'Item Database'!R118</f>
        <v>0</v>
      </c>
      <c r="S14" s="9">
        <f>'Item Database'!S118</f>
        <v>0</v>
      </c>
      <c r="T14" s="53" t="str">
        <f>HYPERLINK('Item Database'!T118)</f>
        <v>https://classic.wowhead.com/item=9484</v>
      </c>
      <c r="U14" s="9">
        <f>IF(C14&lt;&gt;0,C14-Gear!$C$10,0)</f>
        <v>8.6691727881824701</v>
      </c>
    </row>
    <row r="15" spans="1:21" x14ac:dyDescent="0.25">
      <c r="A15" s="9">
        <f>'Item Database'!A154</f>
        <v>13956</v>
      </c>
      <c r="B15" s="9" t="str">
        <f>'Item Database'!B154</f>
        <v>Clutch of Andros</v>
      </c>
      <c r="C15" s="12">
        <f>'Item Database'!C154</f>
        <v>3.9959536433010148</v>
      </c>
      <c r="D15" s="9" t="str">
        <f>'Item Database'!D154</f>
        <v>Waist</v>
      </c>
      <c r="E15" s="9">
        <f>'Item Database'!E154</f>
        <v>49</v>
      </c>
      <c r="F15" s="9">
        <f>'Item Database'!F154</f>
        <v>0</v>
      </c>
      <c r="G15" s="9">
        <f>'Item Database'!G154</f>
        <v>9</v>
      </c>
      <c r="H15" s="9">
        <f>'Item Database'!H154</f>
        <v>0</v>
      </c>
      <c r="I15" s="9">
        <f>'Item Database'!I154</f>
        <v>19</v>
      </c>
      <c r="J15" s="9">
        <f>'Item Database'!J154</f>
        <v>0</v>
      </c>
      <c r="K15" s="9">
        <f>'Item Database'!K154</f>
        <v>0</v>
      </c>
      <c r="L15" s="35">
        <f>'Item Database'!L154</f>
        <v>0</v>
      </c>
      <c r="M15" s="35">
        <f>'Item Database'!M154</f>
        <v>0.01</v>
      </c>
      <c r="N15" s="9">
        <f>'Item Database'!N154</f>
        <v>0</v>
      </c>
      <c r="O15" s="9">
        <f>'Item Database'!O154</f>
        <v>0</v>
      </c>
      <c r="P15" s="9">
        <f>'Item Database'!P154</f>
        <v>0</v>
      </c>
      <c r="Q15" s="9">
        <f>'Item Database'!Q154</f>
        <v>0</v>
      </c>
      <c r="R15" s="9">
        <f>'Item Database'!R154</f>
        <v>0</v>
      </c>
      <c r="S15" s="9">
        <f>'Item Database'!S154</f>
        <v>0</v>
      </c>
      <c r="T15" s="53" t="str">
        <f>HYPERLINK('Item Database'!T154)</f>
        <v>https://classic.wowhead.com/item=13956</v>
      </c>
      <c r="U15" s="9">
        <f>IF(C15&lt;&gt;0,C15-Gear!$C$10,0)</f>
        <v>3.9959536433010148</v>
      </c>
    </row>
    <row r="16" spans="1:21" x14ac:dyDescent="0.25">
      <c r="A16" s="9">
        <f>'Item Database'!A214</f>
        <v>14632</v>
      </c>
      <c r="B16" s="9" t="str">
        <f>'Item Database'!B214</f>
        <v>Necropile Leggings</v>
      </c>
      <c r="C16" s="12">
        <f>'Item Database'!C214</f>
        <v>0.74137110467899148</v>
      </c>
      <c r="D16" s="9" t="str">
        <f>'Item Database'!D214</f>
        <v>Legs</v>
      </c>
      <c r="E16" s="9">
        <f>'Item Database'!E214</f>
        <v>76</v>
      </c>
      <c r="F16" s="9">
        <f>'Item Database'!F214</f>
        <v>0</v>
      </c>
      <c r="G16" s="9">
        <f>'Item Database'!G214</f>
        <v>21</v>
      </c>
      <c r="H16" s="9">
        <f>'Item Database'!H214</f>
        <v>0</v>
      </c>
      <c r="I16" s="9">
        <f>'Item Database'!I214</f>
        <v>18</v>
      </c>
      <c r="J16" s="9">
        <f>'Item Database'!J214</f>
        <v>12</v>
      </c>
      <c r="K16" s="9">
        <f>'Item Database'!K214</f>
        <v>0</v>
      </c>
      <c r="L16" s="35">
        <f>'Item Database'!L214</f>
        <v>0</v>
      </c>
      <c r="M16" s="35">
        <f>'Item Database'!M214</f>
        <v>0</v>
      </c>
      <c r="N16" s="9">
        <f>'Item Database'!N214</f>
        <v>0</v>
      </c>
      <c r="O16" s="9">
        <f>'Item Database'!O214</f>
        <v>0</v>
      </c>
      <c r="P16" s="9">
        <f>'Item Database'!P214</f>
        <v>0</v>
      </c>
      <c r="Q16" s="9">
        <f>'Item Database'!Q214</f>
        <v>0</v>
      </c>
      <c r="R16" s="9">
        <f>'Item Database'!R214</f>
        <v>0</v>
      </c>
      <c r="S16" s="9">
        <f>'Item Database'!S214</f>
        <v>0</v>
      </c>
      <c r="T16" s="53" t="str">
        <f>HYPERLINK('Item Database'!T214)</f>
        <v>https://classic.wowhead.com/item=14632</v>
      </c>
      <c r="U16" s="9">
        <f>IF(C16&lt;&gt;0,C16-Gear!$C$10,0)</f>
        <v>0.74137110467899148</v>
      </c>
    </row>
    <row r="17" spans="1:21" x14ac:dyDescent="0.25">
      <c r="A17" s="9">
        <f>'Item Database'!A215</f>
        <v>10807</v>
      </c>
      <c r="B17" s="9" t="str">
        <f>'Item Database'!B215</f>
        <v>Kilt of the Atal'ai Prophet</v>
      </c>
      <c r="C17" s="12">
        <f>'Item Database'!C215</f>
        <v>0.74137110467899148</v>
      </c>
      <c r="D17" s="9" t="str">
        <f>'Item Database'!D215</f>
        <v>Legs</v>
      </c>
      <c r="E17" s="9">
        <f>'Item Database'!E215</f>
        <v>69</v>
      </c>
      <c r="F17" s="9">
        <f>'Item Database'!F215</f>
        <v>0</v>
      </c>
      <c r="G17" s="9">
        <f>'Item Database'!G215</f>
        <v>9</v>
      </c>
      <c r="H17" s="9">
        <f>'Item Database'!H215</f>
        <v>0</v>
      </c>
      <c r="I17" s="9">
        <f>'Item Database'!I215</f>
        <v>18</v>
      </c>
      <c r="J17" s="9">
        <f>'Item Database'!J215</f>
        <v>18</v>
      </c>
      <c r="K17" s="9">
        <f>'Item Database'!K215</f>
        <v>0</v>
      </c>
      <c r="L17" s="35">
        <f>'Item Database'!L215</f>
        <v>0</v>
      </c>
      <c r="M17" s="35">
        <f>'Item Database'!M215</f>
        <v>0</v>
      </c>
      <c r="N17" s="9">
        <f>'Item Database'!N215</f>
        <v>0</v>
      </c>
      <c r="O17" s="9">
        <f>'Item Database'!O215</f>
        <v>0</v>
      </c>
      <c r="P17" s="9">
        <f>'Item Database'!P215</f>
        <v>0</v>
      </c>
      <c r="Q17" s="9">
        <f>'Item Database'!Q215</f>
        <v>0</v>
      </c>
      <c r="R17" s="9">
        <f>'Item Database'!R215</f>
        <v>0</v>
      </c>
      <c r="S17" s="9">
        <f>'Item Database'!S215</f>
        <v>0</v>
      </c>
      <c r="T17" s="53" t="str">
        <f>HYPERLINK('Item Database'!T215)</f>
        <v>https://classic.wowhead.com/item=10807</v>
      </c>
      <c r="U17" s="9">
        <f>IF(C17&lt;&gt;0,C17-Gear!$C$10,0)</f>
        <v>0.74137110467899148</v>
      </c>
    </row>
    <row r="18" spans="1:21" x14ac:dyDescent="0.25">
      <c r="A18" s="9">
        <f>'Item Database'!A223</f>
        <v>16694</v>
      </c>
      <c r="B18" s="9" t="str">
        <f>'Item Database'!B223</f>
        <v>Devout Skirt</v>
      </c>
      <c r="C18" s="12">
        <f>'Item Database'!C223</f>
        <v>0.61780925389915964</v>
      </c>
      <c r="D18" s="9" t="str">
        <f>'Item Database'!D223</f>
        <v>Legs</v>
      </c>
      <c r="E18" s="9">
        <f>'Item Database'!E223</f>
        <v>76</v>
      </c>
      <c r="F18" s="9">
        <f>'Item Database'!F223</f>
        <v>0</v>
      </c>
      <c r="G18" s="9">
        <f>'Item Database'!G223</f>
        <v>12</v>
      </c>
      <c r="H18" s="9">
        <f>'Item Database'!H223</f>
        <v>0</v>
      </c>
      <c r="I18" s="9">
        <f>'Item Database'!I223</f>
        <v>15</v>
      </c>
      <c r="J18" s="9">
        <f>'Item Database'!J223</f>
        <v>23</v>
      </c>
      <c r="K18" s="9">
        <f>'Item Database'!K223</f>
        <v>0</v>
      </c>
      <c r="L18" s="35">
        <f>'Item Database'!L223</f>
        <v>0</v>
      </c>
      <c r="M18" s="35">
        <f>'Item Database'!M223</f>
        <v>0</v>
      </c>
      <c r="N18" s="9">
        <f>'Item Database'!N223</f>
        <v>0</v>
      </c>
      <c r="O18" s="9">
        <f>'Item Database'!O223</f>
        <v>0</v>
      </c>
      <c r="P18" s="9">
        <f>'Item Database'!P223</f>
        <v>0</v>
      </c>
      <c r="Q18" s="9">
        <f>'Item Database'!Q223</f>
        <v>0</v>
      </c>
      <c r="R18" s="9">
        <f>'Item Database'!R223</f>
        <v>0</v>
      </c>
      <c r="S18" s="9">
        <f>'Item Database'!S223</f>
        <v>0</v>
      </c>
      <c r="T18" s="53" t="str">
        <f>HYPERLINK('Item Database'!T223)</f>
        <v>https://classic.wowhead.com/item=16694</v>
      </c>
      <c r="U18" s="9">
        <f>IF(C18&lt;&gt;0,C18-Gear!$C$10,0)</f>
        <v>0.61780925389915964</v>
      </c>
    </row>
    <row r="19" spans="1:21" x14ac:dyDescent="0.25">
      <c r="A19" s="9">
        <f>'Item Database'!A234</f>
        <v>16699</v>
      </c>
      <c r="B19" s="9" t="str">
        <f>'Item Database'!B234</f>
        <v>Dreadmist Leggings</v>
      </c>
      <c r="C19" s="12">
        <f>'Item Database'!C234</f>
        <v>0.57662197030588236</v>
      </c>
      <c r="D19" s="9" t="str">
        <f>'Item Database'!D234</f>
        <v>Legs</v>
      </c>
      <c r="E19" s="9">
        <f>'Item Database'!E234</f>
        <v>76</v>
      </c>
      <c r="F19" s="9">
        <f>'Item Database'!F234</f>
        <v>0</v>
      </c>
      <c r="G19" s="9">
        <f>'Item Database'!G234</f>
        <v>15</v>
      </c>
      <c r="H19" s="9">
        <f>'Item Database'!H234</f>
        <v>0</v>
      </c>
      <c r="I19" s="9">
        <f>'Item Database'!I234</f>
        <v>14</v>
      </c>
      <c r="J19" s="9">
        <f>'Item Database'!J234</f>
        <v>21</v>
      </c>
      <c r="K19" s="9">
        <f>'Item Database'!K234</f>
        <v>0</v>
      </c>
      <c r="L19" s="35">
        <f>'Item Database'!L234</f>
        <v>0</v>
      </c>
      <c r="M19" s="35">
        <f>'Item Database'!M234</f>
        <v>0</v>
      </c>
      <c r="N19" s="9">
        <f>'Item Database'!N234</f>
        <v>0</v>
      </c>
      <c r="O19" s="9">
        <f>'Item Database'!O234</f>
        <v>0</v>
      </c>
      <c r="P19" s="9">
        <f>'Item Database'!P234</f>
        <v>0</v>
      </c>
      <c r="Q19" s="9">
        <f>'Item Database'!Q234</f>
        <v>0</v>
      </c>
      <c r="R19" s="9">
        <f>'Item Database'!R234</f>
        <v>0</v>
      </c>
      <c r="S19" s="9">
        <f>'Item Database'!S234</f>
        <v>0</v>
      </c>
      <c r="T19" s="53" t="str">
        <f>HYPERLINK('Item Database'!T234)</f>
        <v>https://classic.wowhead.com/item=16699</v>
      </c>
      <c r="U19" s="9">
        <f>IF(C19&lt;&gt;0,C19-Gear!$C$10,0)</f>
        <v>0.57662197030588236</v>
      </c>
    </row>
    <row r="20" spans="1:21" x14ac:dyDescent="0.25">
      <c r="A20" s="24">
        <f>'Item Database'!A236</f>
        <v>18872</v>
      </c>
      <c r="B20" s="9" t="str">
        <f>'Item Database'!B236</f>
        <v>Manastorm Leggings</v>
      </c>
      <c r="C20" s="12">
        <f>'Item Database'!C236</f>
        <v>0.57662197030588236</v>
      </c>
      <c r="D20" s="9" t="str">
        <f>'Item Database'!D236</f>
        <v>Legs</v>
      </c>
      <c r="E20" s="9">
        <f>'Item Database'!E236</f>
        <v>85</v>
      </c>
      <c r="F20" s="9">
        <f>'Item Database'!F236</f>
        <v>0</v>
      </c>
      <c r="G20" s="9">
        <f>'Item Database'!G236</f>
        <v>19</v>
      </c>
      <c r="H20" s="9">
        <f>'Item Database'!H236</f>
        <v>0</v>
      </c>
      <c r="I20" s="9">
        <f>'Item Database'!I236</f>
        <v>14</v>
      </c>
      <c r="J20" s="9">
        <f>'Item Database'!J236</f>
        <v>0</v>
      </c>
      <c r="K20" s="9">
        <f>'Item Database'!K236</f>
        <v>0</v>
      </c>
      <c r="L20" s="35">
        <f>'Item Database'!L236</f>
        <v>0</v>
      </c>
      <c r="M20" s="35">
        <f>'Item Database'!M236</f>
        <v>0</v>
      </c>
      <c r="N20" s="9">
        <f>'Item Database'!N236</f>
        <v>14</v>
      </c>
      <c r="O20" s="9">
        <f>'Item Database'!O236</f>
        <v>0</v>
      </c>
      <c r="P20" s="9">
        <f>'Item Database'!P236</f>
        <v>0</v>
      </c>
      <c r="Q20" s="9">
        <f>'Item Database'!Q236</f>
        <v>0</v>
      </c>
      <c r="R20" s="9">
        <f>'Item Database'!R236</f>
        <v>0</v>
      </c>
      <c r="S20" s="9">
        <f>'Item Database'!S236</f>
        <v>0</v>
      </c>
      <c r="T20" s="53" t="str">
        <f>HYPERLINK('Item Database'!T236)</f>
        <v>https://classic.wowhead.com/item=18872</v>
      </c>
      <c r="U20" s="9">
        <f>IF(C20&lt;&gt;0,C20-Gear!$C$10,0)</f>
        <v>0.57662197030588236</v>
      </c>
    </row>
    <row r="21" spans="1:21" x14ac:dyDescent="0.25">
      <c r="A21" s="24">
        <f>'Item Database'!A243</f>
        <v>11929</v>
      </c>
      <c r="B21" s="9" t="str">
        <f>'Item Database'!B243</f>
        <v>Haunting Specter Leggings</v>
      </c>
      <c r="C21" s="12">
        <f>'Item Database'!C243</f>
        <v>0.49424740311932769</v>
      </c>
      <c r="D21" s="9" t="str">
        <f>'Item Database'!D243</f>
        <v>Legs</v>
      </c>
      <c r="E21" s="9">
        <f>'Item Database'!E243</f>
        <v>71</v>
      </c>
      <c r="F21" s="9">
        <f>'Item Database'!F243</f>
        <v>0</v>
      </c>
      <c r="G21" s="9">
        <f>'Item Database'!G243</f>
        <v>0</v>
      </c>
      <c r="H21" s="9">
        <f>'Item Database'!H243</f>
        <v>0</v>
      </c>
      <c r="I21" s="9">
        <f>'Item Database'!I243</f>
        <v>12</v>
      </c>
      <c r="J21" s="9">
        <f>'Item Database'!J243</f>
        <v>28</v>
      </c>
      <c r="K21" s="9">
        <f>'Item Database'!K243</f>
        <v>0</v>
      </c>
      <c r="L21" s="35">
        <f>'Item Database'!L243</f>
        <v>0</v>
      </c>
      <c r="M21" s="35">
        <f>'Item Database'!M243</f>
        <v>0</v>
      </c>
      <c r="N21" s="9">
        <f>'Item Database'!N243</f>
        <v>0</v>
      </c>
      <c r="O21" s="9">
        <f>'Item Database'!O243</f>
        <v>0</v>
      </c>
      <c r="P21" s="9">
        <f>'Item Database'!P243</f>
        <v>0</v>
      </c>
      <c r="Q21" s="9">
        <f>'Item Database'!Q243</f>
        <v>0</v>
      </c>
      <c r="R21" s="9">
        <f>'Item Database'!R243</f>
        <v>0</v>
      </c>
      <c r="S21" s="9">
        <f>'Item Database'!S243</f>
        <v>0</v>
      </c>
      <c r="T21" s="53" t="str">
        <f>HYPERLINK('Item Database'!T243)</f>
        <v>https://classic.wowhead.com/item=11929</v>
      </c>
      <c r="U21" s="9">
        <f>IF(C21&lt;&gt;0,C21-Gear!$C$10,0)</f>
        <v>0.49424740311932769</v>
      </c>
    </row>
    <row r="22" spans="1:21" x14ac:dyDescent="0.25">
      <c r="A22" s="9">
        <f>'Item Database'!A264</f>
        <v>9407</v>
      </c>
      <c r="B22" s="9" t="str">
        <f>'Item Database'!B264</f>
        <v>Stoneweaver Leggings</v>
      </c>
      <c r="C22" s="12">
        <f>'Item Database'!C264</f>
        <v>0.32949826874621846</v>
      </c>
      <c r="D22" s="9" t="str">
        <f>'Item Database'!D264</f>
        <v>Legs</v>
      </c>
      <c r="E22" s="9">
        <f>'Item Database'!E264</f>
        <v>51</v>
      </c>
      <c r="F22" s="9">
        <f>'Item Database'!F264</f>
        <v>0</v>
      </c>
      <c r="G22" s="9">
        <f>'Item Database'!G264</f>
        <v>9</v>
      </c>
      <c r="H22" s="9">
        <f>'Item Database'!H264</f>
        <v>0</v>
      </c>
      <c r="I22" s="9">
        <f>'Item Database'!I264</f>
        <v>8</v>
      </c>
      <c r="J22" s="9">
        <f>'Item Database'!J264</f>
        <v>15</v>
      </c>
      <c r="K22" s="9">
        <f>'Item Database'!K264</f>
        <v>0</v>
      </c>
      <c r="L22" s="35">
        <f>'Item Database'!L264</f>
        <v>0</v>
      </c>
      <c r="M22" s="35">
        <f>'Item Database'!M264</f>
        <v>0</v>
      </c>
      <c r="N22" s="9">
        <f>'Item Database'!N264</f>
        <v>0</v>
      </c>
      <c r="O22" s="9">
        <f>'Item Database'!O264</f>
        <v>0</v>
      </c>
      <c r="P22" s="9">
        <f>'Item Database'!P264</f>
        <v>0</v>
      </c>
      <c r="Q22" s="9">
        <f>'Item Database'!Q264</f>
        <v>0</v>
      </c>
      <c r="R22" s="9">
        <f>'Item Database'!R264</f>
        <v>0</v>
      </c>
      <c r="S22" s="9">
        <f>'Item Database'!S264</f>
        <v>0</v>
      </c>
      <c r="T22" s="53" t="str">
        <f>HYPERLINK('Item Database'!T264)</f>
        <v>https://classic.wowhead.com/item=9407</v>
      </c>
      <c r="U22" s="9">
        <f>IF(C22&lt;&gt;0,C22-Gear!$C$10,0)</f>
        <v>0.32949826874621846</v>
      </c>
    </row>
    <row r="23" spans="1:21" x14ac:dyDescent="0.25">
      <c r="A23" s="24">
        <f>'Item Database'!A276</f>
        <v>16678</v>
      </c>
      <c r="B23" s="9" t="str">
        <f>'Item Database'!B276</f>
        <v>Beaststalker's Pants</v>
      </c>
      <c r="C23" s="12">
        <f>'Item Database'!C276</f>
        <v>0</v>
      </c>
      <c r="D23" s="9" t="str">
        <f>'Item Database'!D276</f>
        <v>Legs</v>
      </c>
      <c r="E23" s="9">
        <f>'Item Database'!E276</f>
        <v>315</v>
      </c>
      <c r="F23" s="9">
        <f>'Item Database'!F276</f>
        <v>0</v>
      </c>
      <c r="G23" s="9">
        <f>'Item Database'!G276</f>
        <v>6</v>
      </c>
      <c r="H23" s="9">
        <f>'Item Database'!H276</f>
        <v>0</v>
      </c>
      <c r="I23" s="9">
        <f>'Item Database'!I276</f>
        <v>0</v>
      </c>
      <c r="J23" s="9">
        <f>'Item Database'!J276</f>
        <v>12</v>
      </c>
      <c r="K23" s="9">
        <f>'Item Database'!K276</f>
        <v>0</v>
      </c>
      <c r="L23" s="35">
        <f>'Item Database'!L276</f>
        <v>0</v>
      </c>
      <c r="M23" s="35">
        <f>'Item Database'!M276</f>
        <v>0</v>
      </c>
      <c r="N23" s="9">
        <f>'Item Database'!N276</f>
        <v>0</v>
      </c>
      <c r="O23" s="9">
        <f>'Item Database'!O276</f>
        <v>0</v>
      </c>
      <c r="P23" s="9">
        <f>'Item Database'!P276</f>
        <v>0</v>
      </c>
      <c r="Q23" s="9">
        <f>'Item Database'!Q276</f>
        <v>0</v>
      </c>
      <c r="R23" s="9">
        <f>'Item Database'!R276</f>
        <v>0</v>
      </c>
      <c r="S23" s="9">
        <f>'Item Database'!S276</f>
        <v>0</v>
      </c>
      <c r="T23" s="53" t="str">
        <f>HYPERLINK('Item Database'!T276)</f>
        <v>https://classic.wowhead.com/item=16678</v>
      </c>
      <c r="U23" s="9">
        <f>IF(C23&lt;&gt;0,C23-Gear!$C$10,0)</f>
        <v>0</v>
      </c>
    </row>
    <row r="24" spans="1:21" x14ac:dyDescent="0.25">
      <c r="A24" s="9">
        <f>'Item Database'!A284</f>
        <v>13206</v>
      </c>
      <c r="B24" s="9" t="str">
        <f>'Item Database'!B284</f>
        <v>Wolfshear Leggings</v>
      </c>
      <c r="C24" s="12">
        <f>'Item Database'!C284</f>
        <v>0</v>
      </c>
      <c r="D24" s="9" t="str">
        <f>'Item Database'!D284</f>
        <v>Legs</v>
      </c>
      <c r="E24" s="9">
        <f>'Item Database'!E284</f>
        <v>76</v>
      </c>
      <c r="F24" s="9">
        <f>'Item Database'!F284</f>
        <v>0</v>
      </c>
      <c r="G24" s="9">
        <f>'Item Database'!G284</f>
        <v>5</v>
      </c>
      <c r="H24" s="9">
        <f>'Item Database'!H284</f>
        <v>0</v>
      </c>
      <c r="I24" s="9">
        <f>'Item Database'!I284</f>
        <v>0</v>
      </c>
      <c r="J24" s="9">
        <f>'Item Database'!J284</f>
        <v>25</v>
      </c>
      <c r="K24" s="9">
        <f>'Item Database'!K284</f>
        <v>0</v>
      </c>
      <c r="L24" s="35">
        <f>'Item Database'!L284</f>
        <v>0</v>
      </c>
      <c r="M24" s="35">
        <f>'Item Database'!M284</f>
        <v>0</v>
      </c>
      <c r="N24" s="9">
        <f>'Item Database'!N284</f>
        <v>0</v>
      </c>
      <c r="O24" s="9">
        <f>'Item Database'!O284</f>
        <v>0</v>
      </c>
      <c r="P24" s="9">
        <f>'Item Database'!P284</f>
        <v>0</v>
      </c>
      <c r="Q24" s="9">
        <f>'Item Database'!Q284</f>
        <v>10</v>
      </c>
      <c r="R24" s="9">
        <f>'Item Database'!R284</f>
        <v>0</v>
      </c>
      <c r="S24" s="9">
        <f>'Item Database'!S284</f>
        <v>0</v>
      </c>
      <c r="T24" s="53" t="str">
        <f>HYPERLINK('Item Database'!T284)</f>
        <v>https://classic.wowhead.com/item=13206</v>
      </c>
      <c r="U24" s="9">
        <f>IF(C24&lt;&gt;0,C24-Gear!$C$10,0)</f>
        <v>0</v>
      </c>
    </row>
    <row r="25" spans="1:21" x14ac:dyDescent="0.25">
      <c r="U25" s="9">
        <f>IF(C25&lt;&gt;0,C25-Gear!$C$10,0)</f>
        <v>0</v>
      </c>
    </row>
    <row r="26" spans="1:21" x14ac:dyDescent="0.25">
      <c r="U26" s="9">
        <f>IF(C26&lt;&gt;0,C26-Gear!$C$10,0)</f>
        <v>0</v>
      </c>
    </row>
    <row r="27" spans="1:21" x14ac:dyDescent="0.25">
      <c r="U27" s="9">
        <f>IF(C27&lt;&gt;0,C27-Gear!$C$10,0)</f>
        <v>0</v>
      </c>
    </row>
    <row r="28" spans="1:21" x14ac:dyDescent="0.25">
      <c r="U28" s="9">
        <f>IF(C28&lt;&gt;0,C28-Gear!$C$10,0)</f>
        <v>0</v>
      </c>
    </row>
    <row r="29" spans="1:21" x14ac:dyDescent="0.25">
      <c r="U29" s="9">
        <f>IF(C29&lt;&gt;0,C29-Gear!$C$10,0)</f>
        <v>0</v>
      </c>
    </row>
    <row r="30" spans="1:21" x14ac:dyDescent="0.25">
      <c r="U30" s="9">
        <f>IF(C30&lt;&gt;0,C30-Gear!$C$10,0)</f>
        <v>0</v>
      </c>
    </row>
    <row r="31" spans="1:21" x14ac:dyDescent="0.25">
      <c r="U31" s="9">
        <f>IF(C31&lt;&gt;0,C31-Gear!$C$10,0)</f>
        <v>0</v>
      </c>
    </row>
    <row r="32" spans="1:21" x14ac:dyDescent="0.25">
      <c r="U32" s="9">
        <f>IF(C32&lt;&gt;0,C32-Gear!$C$10,0)</f>
        <v>0</v>
      </c>
    </row>
    <row r="33" spans="20:21" x14ac:dyDescent="0.25">
      <c r="U33" s="9">
        <f>IF(C33&lt;&gt;0,C33-Gear!$C$10,0)</f>
        <v>0</v>
      </c>
    </row>
    <row r="34" spans="20:21" x14ac:dyDescent="0.25">
      <c r="U34" s="9">
        <f>IF(C34&lt;&gt;0,C34-Gear!$C$10,0)</f>
        <v>0</v>
      </c>
    </row>
    <row r="35" spans="20:21" x14ac:dyDescent="0.25">
      <c r="T35" s="9">
        <f>IF(C35&lt;&gt;0,C35-Gear!$C$10,0)</f>
        <v>0</v>
      </c>
      <c r="U35" s="9">
        <f>IF(C35&lt;&gt;0,C35-Gear!$C$10,0)</f>
        <v>0</v>
      </c>
    </row>
    <row r="36" spans="20:21" x14ac:dyDescent="0.25">
      <c r="T36" s="9">
        <f>IF(C36&lt;&gt;0,C36-Gear!$C$10,0)</f>
        <v>0</v>
      </c>
      <c r="U36" s="9">
        <f>IF(C36&lt;&gt;0,C36-Gear!$C$10,0)</f>
        <v>0</v>
      </c>
    </row>
    <row r="37" spans="20:21" x14ac:dyDescent="0.25">
      <c r="T37" s="9">
        <f>IF(C37&lt;&gt;0,C37-Gear!$C$10,0)</f>
        <v>0</v>
      </c>
      <c r="U37" s="9">
        <f>IF(C37&lt;&gt;0,C37-Gear!$C$10,0)</f>
        <v>0</v>
      </c>
    </row>
    <row r="38" spans="20:21" x14ac:dyDescent="0.25">
      <c r="T38" s="9">
        <f>IF(C38&lt;&gt;0,C38-Gear!$C$10,0)</f>
        <v>0</v>
      </c>
      <c r="U38" s="9">
        <f>IF(C38&lt;&gt;0,C38-Gear!$C$10,0)</f>
        <v>0</v>
      </c>
    </row>
    <row r="39" spans="20:21" x14ac:dyDescent="0.25">
      <c r="T39" s="9">
        <f>IF(C39&lt;&gt;0,C39-Gear!$C$10,0)</f>
        <v>0</v>
      </c>
      <c r="U39" s="9">
        <f>IF(C39&lt;&gt;0,C39-Gear!$C$10,0)</f>
        <v>0</v>
      </c>
    </row>
    <row r="40" spans="20:21" x14ac:dyDescent="0.25">
      <c r="T40" s="9">
        <f>IF(C40&lt;&gt;0,C40-Gear!$C$10,0)</f>
        <v>0</v>
      </c>
      <c r="U40" s="9">
        <f>IF(C40&lt;&gt;0,C40-Gear!$C$10,0)</f>
        <v>0</v>
      </c>
    </row>
    <row r="41" spans="20:21" x14ac:dyDescent="0.25">
      <c r="T41" s="9">
        <f>IF(C41&lt;&gt;0,C41-Gear!$C$10,0)</f>
        <v>0</v>
      </c>
      <c r="U41" s="9">
        <f>IF(C41&lt;&gt;0,C41-Gear!$C$10,0)</f>
        <v>0</v>
      </c>
    </row>
    <row r="42" spans="20:21" x14ac:dyDescent="0.25">
      <c r="T42" s="9">
        <f>IF(C42&lt;&gt;0,C42-Gear!$C$10,0)</f>
        <v>0</v>
      </c>
      <c r="U42" s="9">
        <f>IF(C42&lt;&gt;0,C42-Gear!$C$10,0)</f>
        <v>0</v>
      </c>
    </row>
    <row r="43" spans="20:21" x14ac:dyDescent="0.25">
      <c r="T43" s="9">
        <f>IF(C43&lt;&gt;0,C43-Gear!$C$10,0)</f>
        <v>0</v>
      </c>
      <c r="U43" s="9">
        <f>IF(C43&lt;&gt;0,C43-Gear!$C$10,0)</f>
        <v>0</v>
      </c>
    </row>
    <row r="44" spans="20:21" x14ac:dyDescent="0.25">
      <c r="T44" s="9">
        <f>IF(C44&lt;&gt;0,C44-Gear!$C$10,0)</f>
        <v>0</v>
      </c>
      <c r="U44" s="9">
        <f>IF(C44&lt;&gt;0,C44-Gear!$C$10,0)</f>
        <v>0</v>
      </c>
    </row>
    <row r="45" spans="20:21" x14ac:dyDescent="0.25">
      <c r="T45" s="9">
        <f>IF(C45&lt;&gt;0,C45-Gear!$C$10,0)</f>
        <v>0</v>
      </c>
      <c r="U45" s="9">
        <f>IF(C45&lt;&gt;0,C45-Gear!$C$10,0)</f>
        <v>0</v>
      </c>
    </row>
    <row r="46" spans="20:21" x14ac:dyDescent="0.25">
      <c r="T46" s="9">
        <f>IF(C46&lt;&gt;0,C46-Gear!$C$10,0)</f>
        <v>0</v>
      </c>
      <c r="U46" s="9">
        <f>IF(C46&lt;&gt;0,C46-Gear!$C$10,0)</f>
        <v>0</v>
      </c>
    </row>
    <row r="47" spans="20:21" x14ac:dyDescent="0.25">
      <c r="T47" s="9">
        <f>IF(C47&lt;&gt;0,C47-Gear!$C$10,0)</f>
        <v>0</v>
      </c>
      <c r="U47" s="9">
        <f>IF(C47&lt;&gt;0,C47-Gear!$C$10,0)</f>
        <v>0</v>
      </c>
    </row>
    <row r="48" spans="20:21" x14ac:dyDescent="0.25">
      <c r="T48" s="9">
        <f>IF(C48&lt;&gt;0,C48-Gear!$C$10,0)</f>
        <v>0</v>
      </c>
      <c r="U48" s="9">
        <f>IF(C48&lt;&gt;0,C48-Gear!$C$10,0)</f>
        <v>0</v>
      </c>
    </row>
    <row r="49" spans="20:21" x14ac:dyDescent="0.25">
      <c r="T49" s="9">
        <f>IF(C49&lt;&gt;0,C49-Gear!$C$10,0)</f>
        <v>0</v>
      </c>
      <c r="U49" s="9">
        <f>IF(C49&lt;&gt;0,C49-Gear!$C$10,0)</f>
        <v>0</v>
      </c>
    </row>
    <row r="50" spans="20:21" x14ac:dyDescent="0.25">
      <c r="T50" s="9">
        <f>IF(C50&lt;&gt;0,C50-Gear!$C$10,0)</f>
        <v>0</v>
      </c>
      <c r="U50" s="9">
        <f>IF(C50&lt;&gt;0,C50-Gear!$C$10,0)</f>
        <v>0</v>
      </c>
    </row>
    <row r="51" spans="20:21" x14ac:dyDescent="0.25">
      <c r="T51" s="9">
        <f>IF(C51&lt;&gt;0,C51-Gear!$C$10,0)</f>
        <v>0</v>
      </c>
      <c r="U51" s="9">
        <f>IF(C51&lt;&gt;0,C51-Gear!$C$10,0)</f>
        <v>0</v>
      </c>
    </row>
    <row r="52" spans="20:21" x14ac:dyDescent="0.25">
      <c r="T52" s="9">
        <f>IF(C52&lt;&gt;0,C52-Gear!$C$10,0)</f>
        <v>0</v>
      </c>
      <c r="U52" s="9">
        <f>IF(C52&lt;&gt;0,C52-Gear!$C$10,0)</f>
        <v>0</v>
      </c>
    </row>
    <row r="53" spans="20:21" x14ac:dyDescent="0.25">
      <c r="T53" s="9">
        <f>IF(C53&lt;&gt;0,C53-Gear!$C$10,0)</f>
        <v>0</v>
      </c>
      <c r="U53" s="9">
        <f>IF(C53&lt;&gt;0,C53-Gear!$C$10,0)</f>
        <v>0</v>
      </c>
    </row>
    <row r="54" spans="20:21" x14ac:dyDescent="0.25">
      <c r="T54" s="9">
        <f>IF(C54&lt;&gt;0,C54-Gear!$C$10,0)</f>
        <v>0</v>
      </c>
      <c r="U54" s="9">
        <f>IF(C54&lt;&gt;0,C54-Gear!$C$10,0)</f>
        <v>0</v>
      </c>
    </row>
    <row r="55" spans="20:21" x14ac:dyDescent="0.25">
      <c r="T55" s="9">
        <f>IF(C55&lt;&gt;0,C55-Gear!$C$10,0)</f>
        <v>0</v>
      </c>
      <c r="U55" s="9">
        <f>IF(C55&lt;&gt;0,C55-Gear!$C$10,0)</f>
        <v>0</v>
      </c>
    </row>
    <row r="56" spans="20:21" x14ac:dyDescent="0.25">
      <c r="T56" s="9">
        <f>IF(C56&lt;&gt;0,C56-Gear!$C$10,0)</f>
        <v>0</v>
      </c>
      <c r="U56" s="9">
        <f>IF(C56&lt;&gt;0,C56-Gear!$C$10,0)</f>
        <v>0</v>
      </c>
    </row>
    <row r="57" spans="20:21" x14ac:dyDescent="0.25">
      <c r="T57" s="9">
        <f>IF(C57&lt;&gt;0,C57-Gear!$C$10,0)</f>
        <v>0</v>
      </c>
      <c r="U57" s="9">
        <f>IF(C57&lt;&gt;0,C57-Gear!$C$10,0)</f>
        <v>0</v>
      </c>
    </row>
    <row r="58" spans="20:21" x14ac:dyDescent="0.25">
      <c r="T58" s="9">
        <f>IF(C58&lt;&gt;0,C58-Gear!$C$10,0)</f>
        <v>0</v>
      </c>
      <c r="U58" s="9">
        <f>IF(C58&lt;&gt;0,C58-Gear!$C$10,0)</f>
        <v>0</v>
      </c>
    </row>
    <row r="59" spans="20:21" x14ac:dyDescent="0.25">
      <c r="T59" s="9">
        <f>IF(C59&lt;&gt;0,C59-Gear!$C$10,0)</f>
        <v>0</v>
      </c>
      <c r="U59" s="9">
        <f>IF(C59&lt;&gt;0,C59-Gear!$C$10,0)</f>
        <v>0</v>
      </c>
    </row>
    <row r="60" spans="20:21" x14ac:dyDescent="0.25">
      <c r="T60" s="9">
        <f>IF(C60&lt;&gt;0,C60-Gear!$C$10,0)</f>
        <v>0</v>
      </c>
      <c r="U60" s="9">
        <f>IF(C60&lt;&gt;0,C60-Gear!$C$10,0)</f>
        <v>0</v>
      </c>
    </row>
    <row r="61" spans="20:21" x14ac:dyDescent="0.25">
      <c r="T61" s="9">
        <f>IF(C61&lt;&gt;0,C61-Gear!$C$10,0)</f>
        <v>0</v>
      </c>
      <c r="U61" s="9">
        <f>IF(C61&lt;&gt;0,C61-Gear!$C$10,0)</f>
        <v>0</v>
      </c>
    </row>
    <row r="62" spans="20:21" x14ac:dyDescent="0.25">
      <c r="T62" s="9">
        <f>IF(C62&lt;&gt;0,C62-Gear!$C$10,0)</f>
        <v>0</v>
      </c>
      <c r="U62" s="9">
        <f>IF(C62&lt;&gt;0,C62-Gear!$C$10,0)</f>
        <v>0</v>
      </c>
    </row>
    <row r="63" spans="20:21" x14ac:dyDescent="0.25">
      <c r="T63" s="9">
        <f>IF(C63&lt;&gt;0,C63-Gear!$C$10,0)</f>
        <v>0</v>
      </c>
      <c r="U63" s="9">
        <f>IF(C63&lt;&gt;0,C63-Gear!$C$10,0)</f>
        <v>0</v>
      </c>
    </row>
    <row r="64" spans="20:21" x14ac:dyDescent="0.25">
      <c r="T64" s="9">
        <f>IF(C64&lt;&gt;0,C64-Gear!$C$10,0)</f>
        <v>0</v>
      </c>
      <c r="U64" s="9">
        <f>IF(C64&lt;&gt;0,C64-Gear!$C$10,0)</f>
        <v>0</v>
      </c>
    </row>
    <row r="65" spans="20:21" x14ac:dyDescent="0.25">
      <c r="T65" s="9">
        <f>IF(C65&lt;&gt;0,C65-Gear!$C$10,0)</f>
        <v>0</v>
      </c>
      <c r="U65" s="9">
        <f>IF(C65&lt;&gt;0,C65-Gear!$C$10,0)</f>
        <v>0</v>
      </c>
    </row>
    <row r="66" spans="20:21" x14ac:dyDescent="0.25">
      <c r="T66" s="9">
        <f>IF(C66&lt;&gt;0,C66-Gear!$C$10,0)</f>
        <v>0</v>
      </c>
      <c r="U66" s="9">
        <f>IF(C66&lt;&gt;0,C66-Gear!$C$10,0)</f>
        <v>0</v>
      </c>
    </row>
    <row r="67" spans="20:21" x14ac:dyDescent="0.25">
      <c r="T67" s="9">
        <f>IF(C67&lt;&gt;0,C67-Gear!$C$10,0)</f>
        <v>0</v>
      </c>
      <c r="U67" s="9">
        <f>IF(C67&lt;&gt;0,C67-Gear!$C$10,0)</f>
        <v>0</v>
      </c>
    </row>
    <row r="68" spans="20:21" x14ac:dyDescent="0.25">
      <c r="T68" s="9">
        <f>IF(C68&lt;&gt;0,C68-Gear!$C$10,0)</f>
        <v>0</v>
      </c>
      <c r="U68" s="9">
        <f>IF(C68&lt;&gt;0,C68-Gear!$C$10,0)</f>
        <v>0</v>
      </c>
    </row>
    <row r="69" spans="20:21" x14ac:dyDescent="0.25">
      <c r="T69" s="9">
        <f>IF(C69&lt;&gt;0,C69-Gear!$C$10,0)</f>
        <v>0</v>
      </c>
      <c r="U69" s="9">
        <f>IF(C69&lt;&gt;0,C69-Gear!$C$10,0)</f>
        <v>0</v>
      </c>
    </row>
    <row r="70" spans="20:21" x14ac:dyDescent="0.25">
      <c r="T70" s="9">
        <f>IF(C70&lt;&gt;0,C70-Gear!$C$10,0)</f>
        <v>0</v>
      </c>
      <c r="U70" s="9">
        <f>IF(C70&lt;&gt;0,C70-Gear!$C$10,0)</f>
        <v>0</v>
      </c>
    </row>
    <row r="71" spans="20:21" x14ac:dyDescent="0.25">
      <c r="T71" s="9">
        <f>IF(C71&lt;&gt;0,C71-Gear!$C$10,0)</f>
        <v>0</v>
      </c>
      <c r="U71" s="9">
        <f>IF(C71&lt;&gt;0,C71-Gear!$C$10,0)</f>
        <v>0</v>
      </c>
    </row>
    <row r="72" spans="20:21" x14ac:dyDescent="0.25">
      <c r="T72" s="9">
        <f>IF(C72&lt;&gt;0,C72-Gear!$C$10,0)</f>
        <v>0</v>
      </c>
      <c r="U72" s="9">
        <f>IF(C72&lt;&gt;0,C72-Gear!$C$10,0)</f>
        <v>0</v>
      </c>
    </row>
    <row r="73" spans="20:21" x14ac:dyDescent="0.25">
      <c r="T73" s="9">
        <f>IF(C73&lt;&gt;0,C73-Gear!$C$10,0)</f>
        <v>0</v>
      </c>
      <c r="U73" s="9">
        <f>IF(C73&lt;&gt;0,C73-Gear!$C$10,0)</f>
        <v>0</v>
      </c>
    </row>
    <row r="74" spans="20:21" x14ac:dyDescent="0.25">
      <c r="T74" s="9">
        <f>IF(C74&lt;&gt;0,C74-Gear!$C$10,0)</f>
        <v>0</v>
      </c>
      <c r="U74" s="9">
        <f>IF(C74&lt;&gt;0,C74-Gear!$C$10,0)</f>
        <v>0</v>
      </c>
    </row>
    <row r="75" spans="20:21" x14ac:dyDescent="0.25">
      <c r="T75" s="9">
        <f>IF(C75&lt;&gt;0,C75-Gear!$C$10,0)</f>
        <v>0</v>
      </c>
      <c r="U75" s="9">
        <f>IF(C75&lt;&gt;0,C75-Gear!$C$10,0)</f>
        <v>0</v>
      </c>
    </row>
    <row r="76" spans="20:21" x14ac:dyDescent="0.25">
      <c r="T76" s="9">
        <f>IF(C76&lt;&gt;0,C76-Gear!$C$10,0)</f>
        <v>0</v>
      </c>
      <c r="U76" s="9">
        <f>IF(C76&lt;&gt;0,C76-Gear!$C$10,0)</f>
        <v>0</v>
      </c>
    </row>
    <row r="77" spans="20:21" x14ac:dyDescent="0.25">
      <c r="T77" s="9">
        <f>IF(C77&lt;&gt;0,C77-Gear!$C$10,0)</f>
        <v>0</v>
      </c>
      <c r="U77" s="9">
        <f>IF(C77&lt;&gt;0,C77-Gear!$C$10,0)</f>
        <v>0</v>
      </c>
    </row>
    <row r="78" spans="20:21" x14ac:dyDescent="0.25">
      <c r="T78" s="9">
        <f>IF(C78&lt;&gt;0,C78-Gear!$C$10,0)</f>
        <v>0</v>
      </c>
      <c r="U78" s="9">
        <f>IF(C78&lt;&gt;0,C78-Gear!$C$10,0)</f>
        <v>0</v>
      </c>
    </row>
    <row r="79" spans="20:21" x14ac:dyDescent="0.25">
      <c r="T79" s="9">
        <f>IF(C79&lt;&gt;0,C79-Gear!$C$10,0)</f>
        <v>0</v>
      </c>
      <c r="U79" s="9">
        <f>IF(C79&lt;&gt;0,C79-Gear!$C$10,0)</f>
        <v>0</v>
      </c>
    </row>
    <row r="80" spans="20:21" x14ac:dyDescent="0.25">
      <c r="T80" s="9">
        <f>IF(C80&lt;&gt;0,C80-Gear!$C$10,0)</f>
        <v>0</v>
      </c>
      <c r="U80" s="9">
        <f>IF(C80&lt;&gt;0,C80-Gear!$C$10,0)</f>
        <v>0</v>
      </c>
    </row>
    <row r="81" spans="20:21" x14ac:dyDescent="0.25">
      <c r="T81" s="9">
        <f>IF(C81&lt;&gt;0,C81-Gear!$C$10,0)</f>
        <v>0</v>
      </c>
      <c r="U81" s="9">
        <f>IF(C81&lt;&gt;0,C81-Gear!$C$10,0)</f>
        <v>0</v>
      </c>
    </row>
    <row r="82" spans="20:21" x14ac:dyDescent="0.25">
      <c r="T82" s="9">
        <f>IF(C82&lt;&gt;0,C82-Gear!$C$10,0)</f>
        <v>0</v>
      </c>
      <c r="U82" s="9">
        <f>IF(C82&lt;&gt;0,C82-Gear!$C$10,0)</f>
        <v>0</v>
      </c>
    </row>
    <row r="83" spans="20:21" x14ac:dyDescent="0.25">
      <c r="T83" s="9">
        <f>IF(C83&lt;&gt;0,C83-Gear!$C$10,0)</f>
        <v>0</v>
      </c>
      <c r="U83" s="9">
        <f>IF(C83&lt;&gt;0,C83-Gear!$C$10,0)</f>
        <v>0</v>
      </c>
    </row>
    <row r="84" spans="20:21" x14ac:dyDescent="0.25">
      <c r="T84" s="9">
        <f>IF(C84&lt;&gt;0,C84-Gear!$C$10,0)</f>
        <v>0</v>
      </c>
      <c r="U84" s="9">
        <f>IF(C84&lt;&gt;0,C84-Gear!$C$10,0)</f>
        <v>0</v>
      </c>
    </row>
    <row r="85" spans="20:21" x14ac:dyDescent="0.25">
      <c r="T85" s="9">
        <f>IF(C85&lt;&gt;0,C85-Gear!$C$10,0)</f>
        <v>0</v>
      </c>
      <c r="U85" s="9">
        <f>IF(C85&lt;&gt;0,C85-Gear!$C$10,0)</f>
        <v>0</v>
      </c>
    </row>
    <row r="86" spans="20:21" x14ac:dyDescent="0.25">
      <c r="T86" s="9">
        <f>IF(C86&lt;&gt;0,C86-Gear!$C$10,0)</f>
        <v>0</v>
      </c>
      <c r="U86" s="9">
        <f>IF(C86&lt;&gt;0,C86-Gear!$C$10,0)</f>
        <v>0</v>
      </c>
    </row>
    <row r="87" spans="20:21" x14ac:dyDescent="0.25">
      <c r="T87" s="9">
        <f>IF(C87&lt;&gt;0,C87-Gear!$C$10,0)</f>
        <v>0</v>
      </c>
      <c r="U87" s="9">
        <f>IF(C87&lt;&gt;0,C87-Gear!$C$10,0)</f>
        <v>0</v>
      </c>
    </row>
    <row r="88" spans="20:21" x14ac:dyDescent="0.25">
      <c r="T88" s="9">
        <f>IF(C88&lt;&gt;0,C88-Gear!$C$10,0)</f>
        <v>0</v>
      </c>
      <c r="U88" s="9">
        <f>IF(C88&lt;&gt;0,C88-Gear!$C$10,0)</f>
        <v>0</v>
      </c>
    </row>
    <row r="89" spans="20:21" x14ac:dyDescent="0.25">
      <c r="T89" s="9">
        <f>IF(C89&lt;&gt;0,C89-Gear!$C$10,0)</f>
        <v>0</v>
      </c>
      <c r="U89" s="9">
        <f>IF(C89&lt;&gt;0,C89-Gear!$C$10,0)</f>
        <v>0</v>
      </c>
    </row>
    <row r="90" spans="20:21" x14ac:dyDescent="0.25">
      <c r="T90" s="9">
        <f>IF(C90&lt;&gt;0,C90-Gear!$C$10,0)</f>
        <v>0</v>
      </c>
      <c r="U90" s="9">
        <f>IF(C90&lt;&gt;0,C90-Gear!$C$10,0)</f>
        <v>0</v>
      </c>
    </row>
    <row r="91" spans="20:21" x14ac:dyDescent="0.25">
      <c r="T91" s="9">
        <f>IF(C91&lt;&gt;0,C91-Gear!$C$10,0)</f>
        <v>0</v>
      </c>
      <c r="U91" s="9">
        <f>IF(C91&lt;&gt;0,C91-Gear!$C$10,0)</f>
        <v>0</v>
      </c>
    </row>
    <row r="92" spans="20:21" x14ac:dyDescent="0.25">
      <c r="T92" s="9">
        <f>IF(C92&lt;&gt;0,C92-Gear!$C$10,0)</f>
        <v>0</v>
      </c>
      <c r="U92" s="9">
        <f>IF(C92&lt;&gt;0,C92-Gear!$C$10,0)</f>
        <v>0</v>
      </c>
    </row>
    <row r="93" spans="20:21" x14ac:dyDescent="0.25">
      <c r="T93" s="9">
        <f>IF(C93&lt;&gt;0,C93-Gear!$C$10,0)</f>
        <v>0</v>
      </c>
      <c r="U93" s="9">
        <f>IF(C93&lt;&gt;0,C93-Gear!$C$10,0)</f>
        <v>0</v>
      </c>
    </row>
    <row r="94" spans="20:21" x14ac:dyDescent="0.25">
      <c r="T94" s="9">
        <f>IF(C94&lt;&gt;0,C94-Gear!$C$10,0)</f>
        <v>0</v>
      </c>
      <c r="U94" s="9">
        <f>IF(C94&lt;&gt;0,C94-Gear!$C$10,0)</f>
        <v>0</v>
      </c>
    </row>
    <row r="95" spans="20:21" x14ac:dyDescent="0.25">
      <c r="T95" s="9">
        <f>IF(C95&lt;&gt;0,C95-Gear!$C$10,0)</f>
        <v>0</v>
      </c>
      <c r="U95" s="9">
        <f>IF(C95&lt;&gt;0,C95-Gear!$C$10,0)</f>
        <v>0</v>
      </c>
    </row>
    <row r="96" spans="20:21" x14ac:dyDescent="0.25">
      <c r="T96" s="9">
        <f>IF(C96&lt;&gt;0,C96-Gear!$C$10,0)</f>
        <v>0</v>
      </c>
      <c r="U96" s="9">
        <f>IF(C96&lt;&gt;0,C96-Gear!$C$10,0)</f>
        <v>0</v>
      </c>
    </row>
    <row r="97" spans="20:21" x14ac:dyDescent="0.25">
      <c r="T97" s="9">
        <f>IF(C97&lt;&gt;0,C97-Gear!$C$10,0)</f>
        <v>0</v>
      </c>
      <c r="U97" s="9">
        <f>IF(C97&lt;&gt;0,C97-Gear!$C$10,0)</f>
        <v>0</v>
      </c>
    </row>
    <row r="98" spans="20:21" x14ac:dyDescent="0.25">
      <c r="T98" s="9">
        <f>IF(C98&lt;&gt;0,C98-Gear!$C$10,0)</f>
        <v>0</v>
      </c>
      <c r="U98" s="9">
        <f>IF(C98&lt;&gt;0,C98-Gear!$C$10,0)</f>
        <v>0</v>
      </c>
    </row>
    <row r="99" spans="20:21" x14ac:dyDescent="0.25">
      <c r="T99" s="9">
        <f>IF(C99&lt;&gt;0,C99-Gear!$C$10,0)</f>
        <v>0</v>
      </c>
      <c r="U99" s="9">
        <f>IF(C99&lt;&gt;0,C99-Gear!$C$10,0)</f>
        <v>0</v>
      </c>
    </row>
    <row r="100" spans="20:21" x14ac:dyDescent="0.25">
      <c r="T100" s="9">
        <f>IF(C100&lt;&gt;0,C100-Gear!$C$10,0)</f>
        <v>0</v>
      </c>
      <c r="U100" s="9">
        <f>IF(C100&lt;&gt;0,C100-Gear!$C$10,0)</f>
        <v>0</v>
      </c>
    </row>
    <row r="101" spans="20:21" x14ac:dyDescent="0.25">
      <c r="T101" s="9">
        <f>IF(C101&lt;&gt;0,C101-Gear!$C$10,0)</f>
        <v>0</v>
      </c>
      <c r="U101" s="9">
        <f>IF(C101&lt;&gt;0,C101-Gear!$C$10,0)</f>
        <v>0</v>
      </c>
    </row>
    <row r="102" spans="20:21" x14ac:dyDescent="0.25">
      <c r="T102" s="9">
        <f>IF(C102&lt;&gt;0,C102-Gear!$C$10,0)</f>
        <v>0</v>
      </c>
      <c r="U102" s="9">
        <f>IF(C102&lt;&gt;0,C102-Gear!$C$10,0)</f>
        <v>0</v>
      </c>
    </row>
    <row r="103" spans="20:21" x14ac:dyDescent="0.25">
      <c r="T103" s="9">
        <f>IF(C103&lt;&gt;0,C103-Gear!$C$10,0)</f>
        <v>0</v>
      </c>
      <c r="U103" s="9">
        <f>IF(C103&lt;&gt;0,C103-Gear!$C$10,0)</f>
        <v>0</v>
      </c>
    </row>
    <row r="104" spans="20:21" x14ac:dyDescent="0.25">
      <c r="T104" s="9">
        <f>IF(C104&lt;&gt;0,C104-Gear!$C$10,0)</f>
        <v>0</v>
      </c>
      <c r="U104" s="9">
        <f>IF(C104&lt;&gt;0,C104-Gear!$C$10,0)</f>
        <v>0</v>
      </c>
    </row>
    <row r="105" spans="20:21" x14ac:dyDescent="0.25">
      <c r="T105" s="9">
        <f>IF(C105&lt;&gt;0,C105-Gear!$C$10,0)</f>
        <v>0</v>
      </c>
      <c r="U105" s="9">
        <f>IF(C105&lt;&gt;0,C105-Gear!$C$10,0)</f>
        <v>0</v>
      </c>
    </row>
    <row r="106" spans="20:21" x14ac:dyDescent="0.25">
      <c r="T106" s="9">
        <f>IF(C106&lt;&gt;0,C106-Gear!$C$10,0)</f>
        <v>0</v>
      </c>
      <c r="U106" s="9">
        <f>IF(C106&lt;&gt;0,C106-Gear!$C$10,0)</f>
        <v>0</v>
      </c>
    </row>
    <row r="107" spans="20:21" x14ac:dyDescent="0.25">
      <c r="T107" s="9">
        <f>IF(C107&lt;&gt;0,C107-Gear!$C$10,0)</f>
        <v>0</v>
      </c>
      <c r="U107" s="9">
        <f>IF(C107&lt;&gt;0,C107-Gear!$C$10,0)</f>
        <v>0</v>
      </c>
    </row>
    <row r="108" spans="20:21" x14ac:dyDescent="0.25">
      <c r="T108" s="9">
        <f>IF(C108&lt;&gt;0,C108-Gear!$C$10,0)</f>
        <v>0</v>
      </c>
      <c r="U108" s="9">
        <f>IF(C108&lt;&gt;0,C108-Gear!$C$10,0)</f>
        <v>0</v>
      </c>
    </row>
    <row r="109" spans="20:21" x14ac:dyDescent="0.25">
      <c r="T109" s="9">
        <f>IF(C109&lt;&gt;0,C109-Gear!$C$10,0)</f>
        <v>0</v>
      </c>
      <c r="U109" s="9">
        <f>IF(C109&lt;&gt;0,C109-Gear!$C$10,0)</f>
        <v>0</v>
      </c>
    </row>
    <row r="110" spans="20:21" x14ac:dyDescent="0.25">
      <c r="T110" s="9">
        <f>IF(C110&lt;&gt;0,C110-Gear!$C$10,0)</f>
        <v>0</v>
      </c>
      <c r="U110" s="9">
        <f>IF(C110&lt;&gt;0,C110-Gear!$C$10,0)</f>
        <v>0</v>
      </c>
    </row>
    <row r="111" spans="20:21" x14ac:dyDescent="0.25">
      <c r="T111" s="9">
        <f>IF(C111&lt;&gt;0,C111-Gear!$C$10,0)</f>
        <v>0</v>
      </c>
      <c r="U111" s="9">
        <f>IF(C111&lt;&gt;0,C111-Gear!$C$10,0)</f>
        <v>0</v>
      </c>
    </row>
    <row r="112" spans="20:21" x14ac:dyDescent="0.25">
      <c r="T112" s="9">
        <f>IF(C112&lt;&gt;0,C112-Gear!$C$10,0)</f>
        <v>0</v>
      </c>
      <c r="U112" s="9">
        <f>IF(C112&lt;&gt;0,C112-Gear!$C$10,0)</f>
        <v>0</v>
      </c>
    </row>
    <row r="113" spans="20:21" x14ac:dyDescent="0.25">
      <c r="T113" s="9">
        <f>IF(C113&lt;&gt;0,C113-Gear!$C$10,0)</f>
        <v>0</v>
      </c>
      <c r="U113" s="9">
        <f>IF(C113&lt;&gt;0,C113-Gear!$C$10,0)</f>
        <v>0</v>
      </c>
    </row>
    <row r="114" spans="20:21" x14ac:dyDescent="0.25">
      <c r="T114" s="9">
        <f>IF(C114&lt;&gt;0,C114-Gear!$C$10,0)</f>
        <v>0</v>
      </c>
      <c r="U114" s="9">
        <f>IF(C114&lt;&gt;0,C114-Gear!$C$10,0)</f>
        <v>0</v>
      </c>
    </row>
    <row r="115" spans="20:21" x14ac:dyDescent="0.25">
      <c r="T115" s="9">
        <f>IF(C115&lt;&gt;0,C115-Gear!$C$10,0)</f>
        <v>0</v>
      </c>
      <c r="U115" s="9">
        <f>IF(C115&lt;&gt;0,C115-Gear!$C$10,0)</f>
        <v>0</v>
      </c>
    </row>
    <row r="116" spans="20:21" x14ac:dyDescent="0.25">
      <c r="T116" s="9">
        <f>IF(C116&lt;&gt;0,C116-Gear!$C$10,0)</f>
        <v>0</v>
      </c>
      <c r="U116" s="9">
        <f>IF(C116&lt;&gt;0,C116-Gear!$C$10,0)</f>
        <v>0</v>
      </c>
    </row>
    <row r="117" spans="20:21" x14ac:dyDescent="0.25">
      <c r="T117" s="9">
        <f>IF(C117&lt;&gt;0,C117-Gear!$C$10,0)</f>
        <v>0</v>
      </c>
      <c r="U117" s="9">
        <f>IF(C117&lt;&gt;0,C117-Gear!$C$10,0)</f>
        <v>0</v>
      </c>
    </row>
    <row r="118" spans="20:21" x14ac:dyDescent="0.25">
      <c r="T118" s="9">
        <f>IF(C118&lt;&gt;0,C118-Gear!$C$10,0)</f>
        <v>0</v>
      </c>
      <c r="U118" s="9">
        <f>IF(C118&lt;&gt;0,C118-Gear!$C$10,0)</f>
        <v>0</v>
      </c>
    </row>
    <row r="119" spans="20:21" x14ac:dyDescent="0.25">
      <c r="T119" s="9">
        <f>IF(C119&lt;&gt;0,C119-Gear!$C$10,0)</f>
        <v>0</v>
      </c>
      <c r="U119" s="9">
        <f>IF(C119&lt;&gt;0,C119-Gear!$C$10,0)</f>
        <v>0</v>
      </c>
    </row>
    <row r="120" spans="20:21" x14ac:dyDescent="0.25">
      <c r="T120" s="9">
        <f>IF(C120&lt;&gt;0,C120-Gear!$C$10,0)</f>
        <v>0</v>
      </c>
      <c r="U120" s="9">
        <f>IF(C120&lt;&gt;0,C120-Gear!$C$10,0)</f>
        <v>0</v>
      </c>
    </row>
    <row r="121" spans="20:21" x14ac:dyDescent="0.25">
      <c r="T121" s="9">
        <f>IF(C121&lt;&gt;0,C121-Gear!$C$10,0)</f>
        <v>0</v>
      </c>
      <c r="U121" s="9">
        <f>IF(C121&lt;&gt;0,C121-Gear!$C$10,0)</f>
        <v>0</v>
      </c>
    </row>
    <row r="122" spans="20:21" x14ac:dyDescent="0.25">
      <c r="T122" s="9">
        <f>IF(C122&lt;&gt;0,C122-Gear!$C$10,0)</f>
        <v>0</v>
      </c>
      <c r="U122" s="9">
        <f>IF(C122&lt;&gt;0,C122-Gear!$C$10,0)</f>
        <v>0</v>
      </c>
    </row>
    <row r="123" spans="20:21" x14ac:dyDescent="0.25">
      <c r="T123" s="9">
        <f>IF(C123&lt;&gt;0,C123-Gear!$C$10,0)</f>
        <v>0</v>
      </c>
      <c r="U123" s="9">
        <f>IF(C123&lt;&gt;0,C123-Gear!$C$10,0)</f>
        <v>0</v>
      </c>
    </row>
    <row r="124" spans="20:21" x14ac:dyDescent="0.25">
      <c r="T124" s="9">
        <f>IF(C124&lt;&gt;0,C124-Gear!$C$10,0)</f>
        <v>0</v>
      </c>
      <c r="U124" s="9">
        <f>IF(C124&lt;&gt;0,C124-Gear!$C$10,0)</f>
        <v>0</v>
      </c>
    </row>
    <row r="125" spans="20:21" x14ac:dyDescent="0.25">
      <c r="T125" s="9">
        <f>IF(C125&lt;&gt;0,C125-Gear!$C$10,0)</f>
        <v>0</v>
      </c>
      <c r="U125" s="9">
        <f>IF(C125&lt;&gt;0,C125-Gear!$C$10,0)</f>
        <v>0</v>
      </c>
    </row>
    <row r="126" spans="20:21" x14ac:dyDescent="0.25">
      <c r="T126" s="9">
        <f>IF(C126&lt;&gt;0,C126-Gear!$C$10,0)</f>
        <v>0</v>
      </c>
      <c r="U126" s="9">
        <f>IF(C126&lt;&gt;0,C126-Gear!$C$10,0)</f>
        <v>0</v>
      </c>
    </row>
    <row r="127" spans="20:21" x14ac:dyDescent="0.25">
      <c r="T127" s="9">
        <f>IF(C127&lt;&gt;0,C127-Gear!$C$10,0)</f>
        <v>0</v>
      </c>
      <c r="U127" s="9">
        <f>IF(C127&lt;&gt;0,C127-Gear!$C$10,0)</f>
        <v>0</v>
      </c>
    </row>
    <row r="128" spans="20:21" x14ac:dyDescent="0.25">
      <c r="T128" s="9">
        <f>IF(C128&lt;&gt;0,C128-Gear!$C$10,0)</f>
        <v>0</v>
      </c>
      <c r="U128" s="9">
        <f>IF(C128&lt;&gt;0,C128-Gear!$C$10,0)</f>
        <v>0</v>
      </c>
    </row>
    <row r="129" spans="20:21" x14ac:dyDescent="0.25">
      <c r="T129" s="9">
        <f>IF(C129&lt;&gt;0,C129-Gear!$C$10,0)</f>
        <v>0</v>
      </c>
      <c r="U129" s="9">
        <f>IF(C129&lt;&gt;0,C129-Gear!$C$10,0)</f>
        <v>0</v>
      </c>
    </row>
    <row r="130" spans="20:21" x14ac:dyDescent="0.25">
      <c r="T130" s="9">
        <f>IF(C130&lt;&gt;0,C130-Gear!$C$10,0)</f>
        <v>0</v>
      </c>
      <c r="U130" s="9">
        <f>IF(C130&lt;&gt;0,C130-Gear!$C$10,0)</f>
        <v>0</v>
      </c>
    </row>
    <row r="131" spans="20:21" x14ac:dyDescent="0.25">
      <c r="T131" s="9">
        <f>IF(C131&lt;&gt;0,C131-Gear!$C$10,0)</f>
        <v>0</v>
      </c>
      <c r="U131" s="9">
        <f>IF(C131&lt;&gt;0,C131-Gear!$C$10,0)</f>
        <v>0</v>
      </c>
    </row>
    <row r="132" spans="20:21" x14ac:dyDescent="0.25">
      <c r="T132" s="9">
        <f>IF(C132&lt;&gt;0,C132-Gear!$C$10,0)</f>
        <v>0</v>
      </c>
      <c r="U132" s="9">
        <f>IF(C132&lt;&gt;0,C132-Gear!$C$10,0)</f>
        <v>0</v>
      </c>
    </row>
    <row r="133" spans="20:21" x14ac:dyDescent="0.25">
      <c r="T133" s="9">
        <f>IF(C133&lt;&gt;0,C133-Gear!$C$10,0)</f>
        <v>0</v>
      </c>
      <c r="U133" s="9">
        <f>IF(C133&lt;&gt;0,C133-Gear!$C$10,0)</f>
        <v>0</v>
      </c>
    </row>
    <row r="134" spans="20:21" x14ac:dyDescent="0.25">
      <c r="T134" s="9">
        <f>IF(C134&lt;&gt;0,C134-Gear!$C$10,0)</f>
        <v>0</v>
      </c>
      <c r="U134" s="9">
        <f>IF(C134&lt;&gt;0,C134-Gear!$C$10,0)</f>
        <v>0</v>
      </c>
    </row>
    <row r="135" spans="20:21" x14ac:dyDescent="0.25">
      <c r="T135" s="9">
        <f>IF(C135&lt;&gt;0,C135-Gear!$C$10,0)</f>
        <v>0</v>
      </c>
      <c r="U135" s="9">
        <f>IF(C135&lt;&gt;0,C135-Gear!$C$10,0)</f>
        <v>0</v>
      </c>
    </row>
    <row r="136" spans="20:21" x14ac:dyDescent="0.25">
      <c r="T136" s="9">
        <f>IF(C136&lt;&gt;0,C136-Gear!$C$10,0)</f>
        <v>0</v>
      </c>
      <c r="U136" s="9">
        <f>IF(C136&lt;&gt;0,C136-Gear!$C$10,0)</f>
        <v>0</v>
      </c>
    </row>
    <row r="137" spans="20:21" x14ac:dyDescent="0.25">
      <c r="T137" s="9">
        <f>IF(C137&lt;&gt;0,C137-Gear!$C$10,0)</f>
        <v>0</v>
      </c>
      <c r="U137" s="9">
        <f>IF(C137&lt;&gt;0,C137-Gear!$C$10,0)</f>
        <v>0</v>
      </c>
    </row>
    <row r="138" spans="20:21" x14ac:dyDescent="0.25">
      <c r="T138" s="9">
        <f>IF(C138&lt;&gt;0,C138-Gear!$C$10,0)</f>
        <v>0</v>
      </c>
      <c r="U138" s="9">
        <f>IF(C138&lt;&gt;0,C138-Gear!$C$10,0)</f>
        <v>0</v>
      </c>
    </row>
    <row r="139" spans="20:21" x14ac:dyDescent="0.25">
      <c r="T139" s="9">
        <f>IF(C139&lt;&gt;0,C139-Gear!$C$10,0)</f>
        <v>0</v>
      </c>
      <c r="U139" s="9">
        <f>IF(C139&lt;&gt;0,C139-Gear!$C$10,0)</f>
        <v>0</v>
      </c>
    </row>
    <row r="140" spans="20:21" x14ac:dyDescent="0.25">
      <c r="T140" s="9">
        <f>IF(C140&lt;&gt;0,C140-Gear!$C$10,0)</f>
        <v>0</v>
      </c>
      <c r="U140" s="9">
        <f>IF(C140&lt;&gt;0,C140-Gear!$C$10,0)</f>
        <v>0</v>
      </c>
    </row>
    <row r="141" spans="20:21" x14ac:dyDescent="0.25">
      <c r="T141" s="9">
        <f>IF(C141&lt;&gt;0,C141-Gear!$C$10,0)</f>
        <v>0</v>
      </c>
      <c r="U141" s="9">
        <f>IF(C141&lt;&gt;0,C141-Gear!$C$10,0)</f>
        <v>0</v>
      </c>
    </row>
    <row r="142" spans="20:21" x14ac:dyDescent="0.25">
      <c r="T142" s="9">
        <f>IF(C142&lt;&gt;0,C142-Gear!$C$10,0)</f>
        <v>0</v>
      </c>
      <c r="U142" s="9">
        <f>IF(C142&lt;&gt;0,C142-Gear!$C$10,0)</f>
        <v>0</v>
      </c>
    </row>
    <row r="143" spans="20:21" x14ac:dyDescent="0.25">
      <c r="T143" s="9">
        <f>IF(C143&lt;&gt;0,C143-Gear!$C$10,0)</f>
        <v>0</v>
      </c>
      <c r="U143" s="9">
        <f>IF(C143&lt;&gt;0,C143-Gear!$C$10,0)</f>
        <v>0</v>
      </c>
    </row>
    <row r="144" spans="20:21" x14ac:dyDescent="0.25">
      <c r="T144" s="9">
        <f>IF(C144&lt;&gt;0,C144-Gear!$C$10,0)</f>
        <v>0</v>
      </c>
      <c r="U144" s="9">
        <f>IF(C144&lt;&gt;0,C144-Gear!$C$10,0)</f>
        <v>0</v>
      </c>
    </row>
    <row r="145" spans="20:21" x14ac:dyDescent="0.25">
      <c r="T145" s="9">
        <f>IF(C145&lt;&gt;0,C145-Gear!$C$10,0)</f>
        <v>0</v>
      </c>
      <c r="U145" s="9">
        <f>IF(C145&lt;&gt;0,C145-Gear!$C$10,0)</f>
        <v>0</v>
      </c>
    </row>
    <row r="146" spans="20:21" x14ac:dyDescent="0.25">
      <c r="T146" s="9">
        <f>IF(C146&lt;&gt;0,C146-Gear!$C$10,0)</f>
        <v>0</v>
      </c>
      <c r="U146" s="9">
        <f>IF(C146&lt;&gt;0,C146-Gear!$C$10,0)</f>
        <v>0</v>
      </c>
    </row>
    <row r="147" spans="20:21" x14ac:dyDescent="0.25">
      <c r="T147" s="9">
        <f>IF(C147&lt;&gt;0,C147-Gear!$C$10,0)</f>
        <v>0</v>
      </c>
      <c r="U147" s="9">
        <f>IF(C147&lt;&gt;0,C147-Gear!$C$10,0)</f>
        <v>0</v>
      </c>
    </row>
    <row r="148" spans="20:21" x14ac:dyDescent="0.25">
      <c r="T148" s="9">
        <f>IF(C148&lt;&gt;0,C148-Gear!$C$10,0)</f>
        <v>0</v>
      </c>
      <c r="U148" s="9">
        <f>IF(C148&lt;&gt;0,C148-Gear!$C$10,0)</f>
        <v>0</v>
      </c>
    </row>
    <row r="149" spans="20:21" x14ac:dyDescent="0.25">
      <c r="T149" s="9">
        <f>IF(C149&lt;&gt;0,C149-Gear!$C$10,0)</f>
        <v>0</v>
      </c>
      <c r="U149" s="9">
        <f>IF(C149&lt;&gt;0,C149-Gear!$C$10,0)</f>
        <v>0</v>
      </c>
    </row>
    <row r="150" spans="20:21" x14ac:dyDescent="0.25">
      <c r="T150" s="9">
        <f>IF(C150&lt;&gt;0,C150-Gear!$C$10,0)</f>
        <v>0</v>
      </c>
      <c r="U150" s="9">
        <f>IF(C150&lt;&gt;0,C150-Gear!$C$10,0)</f>
        <v>0</v>
      </c>
    </row>
    <row r="151" spans="20:21" x14ac:dyDescent="0.25">
      <c r="T151" s="9">
        <f>IF(C151&lt;&gt;0,C151-Gear!$C$10,0)</f>
        <v>0</v>
      </c>
      <c r="U151" s="9">
        <f>IF(C151&lt;&gt;0,C151-Gear!$C$10,0)</f>
        <v>0</v>
      </c>
    </row>
    <row r="152" spans="20:21" x14ac:dyDescent="0.25">
      <c r="T152" s="9">
        <f>IF(C152&lt;&gt;0,C152-Gear!$C$10,0)</f>
        <v>0</v>
      </c>
      <c r="U152" s="9">
        <f>IF(C152&lt;&gt;0,C152-Gear!$C$10,0)</f>
        <v>0</v>
      </c>
    </row>
    <row r="153" spans="20:21" x14ac:dyDescent="0.25">
      <c r="T153" s="9">
        <f>IF(C153&lt;&gt;0,C153-Gear!$C$10,0)</f>
        <v>0</v>
      </c>
      <c r="U153" s="9">
        <f>IF(C153&lt;&gt;0,C153-Gear!$C$10,0)</f>
        <v>0</v>
      </c>
    </row>
    <row r="154" spans="20:21" x14ac:dyDescent="0.25">
      <c r="T154" s="9">
        <f>IF(C154&lt;&gt;0,C154-Gear!$C$10,0)</f>
        <v>0</v>
      </c>
      <c r="U154" s="9">
        <f>IF(C154&lt;&gt;0,C154-Gear!$C$10,0)</f>
        <v>0</v>
      </c>
    </row>
    <row r="155" spans="20:21" x14ac:dyDescent="0.25">
      <c r="U155" s="9">
        <f>IF(C155&lt;&gt;0,C155-Gear!$C$10,0)</f>
        <v>0</v>
      </c>
    </row>
    <row r="156" spans="20:21" x14ac:dyDescent="0.25">
      <c r="U156" s="9">
        <f>IF(C156&lt;&gt;0,C156-Gear!$C$10,0)</f>
        <v>0</v>
      </c>
    </row>
  </sheetData>
  <conditionalFormatting sqref="U2:U400">
    <cfRule type="cellIs" dxfId="6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EB950-0B8D-44D9-BC15-2095A273EBFD}">
  <sheetPr codeName="Tabelle14"/>
  <dimension ref="A1:U506"/>
  <sheetViews>
    <sheetView showGridLines="0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29.85546875" style="9" bestFit="1" customWidth="1"/>
    <col min="3" max="3" width="12" style="9" bestFit="1" customWidth="1"/>
    <col min="4" max="4" width="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Database'!A23</f>
        <v>23220</v>
      </c>
      <c r="B2" s="9" t="str">
        <f>'Item Database'!B23</f>
        <v>Crystal Webbed Robe</v>
      </c>
      <c r="C2" s="12">
        <f>'Item Database'!C23</f>
        <v>19.810249582586788</v>
      </c>
      <c r="D2" s="9" t="str">
        <f>'Item Database'!D23</f>
        <v>Chest</v>
      </c>
      <c r="E2" s="9">
        <f>'Item Database'!E23</f>
        <v>128</v>
      </c>
      <c r="F2" s="9">
        <f>'Item Database'!F23</f>
        <v>0</v>
      </c>
      <c r="G2" s="9">
        <f>'Item Database'!G23</f>
        <v>25</v>
      </c>
      <c r="H2" s="9">
        <f>'Item Database'!H23</f>
        <v>0</v>
      </c>
      <c r="I2" s="9">
        <f>'Item Database'!I23</f>
        <v>19</v>
      </c>
      <c r="J2" s="9">
        <f>'Item Database'!J23</f>
        <v>0</v>
      </c>
      <c r="K2" s="9">
        <f>'Item Database'!K23</f>
        <v>53</v>
      </c>
      <c r="L2" s="35">
        <f>'Item Database'!L23</f>
        <v>0</v>
      </c>
      <c r="M2" s="35">
        <f>'Item Database'!M23</f>
        <v>0</v>
      </c>
      <c r="N2" s="9">
        <f>'Item Database'!N23</f>
        <v>0</v>
      </c>
      <c r="O2" s="9">
        <f>'Item Database'!O23</f>
        <v>0</v>
      </c>
      <c r="P2" s="9">
        <f>'Item Database'!P23</f>
        <v>0</v>
      </c>
      <c r="Q2" s="9">
        <f>'Item Database'!Q23</f>
        <v>0</v>
      </c>
      <c r="R2" s="9">
        <f>'Item Database'!R23</f>
        <v>0</v>
      </c>
      <c r="S2" s="9">
        <f>'Item Database'!S23</f>
        <v>0</v>
      </c>
      <c r="T2" s="53" t="str">
        <f>HYPERLINK('Item Database'!T23)</f>
        <v>https://classic.wowhead.com/item=23220</v>
      </c>
      <c r="U2" s="9">
        <f>IF(C2&lt;&gt;0,C2-Gear!$C$11,0)</f>
        <v>19.810249582586788</v>
      </c>
    </row>
    <row r="3" spans="1:21" x14ac:dyDescent="0.25">
      <c r="A3" s="24">
        <f>'Item Database'!A45</f>
        <v>21344</v>
      </c>
      <c r="B3" s="9" t="str">
        <f>'Item Database'!B45</f>
        <v>Enigma Boots</v>
      </c>
      <c r="C3" s="12">
        <f>'Item Database'!C45</f>
        <v>13.883569668188407</v>
      </c>
      <c r="D3" s="9" t="str">
        <f>'Item Database'!D45</f>
        <v>Feet</v>
      </c>
      <c r="E3" s="9">
        <f>'Item Database'!E45</f>
        <v>82</v>
      </c>
      <c r="F3" s="9">
        <f>'Item Database'!F45</f>
        <v>0</v>
      </c>
      <c r="G3" s="9">
        <f>'Item Database'!G45</f>
        <v>15</v>
      </c>
      <c r="H3" s="9">
        <f>'Item Database'!H45</f>
        <v>0</v>
      </c>
      <c r="I3" s="9">
        <f>'Item Database'!I45</f>
        <v>15</v>
      </c>
      <c r="J3" s="9">
        <f>'Item Database'!J45</f>
        <v>6</v>
      </c>
      <c r="K3" s="9">
        <f>'Item Database'!K45</f>
        <v>28</v>
      </c>
      <c r="L3" s="35">
        <f>'Item Database'!L45</f>
        <v>0</v>
      </c>
      <c r="M3" s="35">
        <f>'Item Database'!M45</f>
        <v>0.01</v>
      </c>
      <c r="N3" s="9">
        <f>'Item Database'!N45</f>
        <v>4</v>
      </c>
      <c r="O3" s="9">
        <f>'Item Database'!O45</f>
        <v>0</v>
      </c>
      <c r="P3" s="9">
        <f>'Item Database'!P45</f>
        <v>0</v>
      </c>
      <c r="Q3" s="9">
        <f>'Item Database'!Q45</f>
        <v>0</v>
      </c>
      <c r="R3" s="9">
        <f>'Item Database'!R45</f>
        <v>0</v>
      </c>
      <c r="S3" s="9">
        <f>'Item Database'!S45</f>
        <v>0</v>
      </c>
      <c r="T3" s="53" t="str">
        <f>HYPERLINK('Item Database'!T45)</f>
        <v>https://classic.wowhead.com/item=21344</v>
      </c>
      <c r="U3" s="9">
        <f>IF(C3&lt;&gt;0,C3-Gear!$C$11,0)</f>
        <v>13.883569668188407</v>
      </c>
    </row>
    <row r="4" spans="1:21" x14ac:dyDescent="0.25">
      <c r="A4" s="24">
        <f>'Item Database'!A53</f>
        <v>22500</v>
      </c>
      <c r="B4" s="9" t="str">
        <f>'Item Database'!B53</f>
        <v>Frostfire Sandals</v>
      </c>
      <c r="C4" s="12">
        <f>'Item Database'!C53</f>
        <v>13.244379637739494</v>
      </c>
      <c r="D4" s="9" t="str">
        <f>'Item Database'!D53</f>
        <v>Feet</v>
      </c>
      <c r="E4" s="9">
        <f>'Item Database'!E53</f>
        <v>89</v>
      </c>
      <c r="F4" s="9">
        <f>'Item Database'!F53</f>
        <v>0</v>
      </c>
      <c r="G4" s="9">
        <f>'Item Database'!G53</f>
        <v>17</v>
      </c>
      <c r="H4" s="9">
        <f>'Item Database'!H53</f>
        <v>0</v>
      </c>
      <c r="I4" s="9">
        <f>'Item Database'!I53</f>
        <v>18</v>
      </c>
      <c r="J4" s="9">
        <f>'Item Database'!J53</f>
        <v>10</v>
      </c>
      <c r="K4" s="9">
        <f>'Item Database'!K53</f>
        <v>28</v>
      </c>
      <c r="L4" s="35">
        <f>'Item Database'!L53</f>
        <v>0.01</v>
      </c>
      <c r="M4" s="35">
        <f>'Item Database'!M53</f>
        <v>0</v>
      </c>
      <c r="N4" s="9">
        <f>'Item Database'!N53</f>
        <v>0</v>
      </c>
      <c r="O4" s="9">
        <f>'Item Database'!O53</f>
        <v>0</v>
      </c>
      <c r="P4" s="9">
        <f>'Item Database'!P53</f>
        <v>0</v>
      </c>
      <c r="Q4" s="9">
        <f>'Item Database'!Q53</f>
        <v>0</v>
      </c>
      <c r="R4" s="9">
        <f>'Item Database'!R53</f>
        <v>0</v>
      </c>
      <c r="S4" s="9">
        <f>'Item Database'!S53</f>
        <v>0</v>
      </c>
      <c r="T4" s="53" t="str">
        <f>HYPERLINK('Item Database'!T53)</f>
        <v>https://classic.wowhead.com/item=22500</v>
      </c>
      <c r="U4" s="9">
        <f>IF(C4&lt;&gt;0,C4-Gear!$C$11,0)</f>
        <v>13.244379637739494</v>
      </c>
    </row>
    <row r="5" spans="1:21" x14ac:dyDescent="0.25">
      <c r="A5" s="24">
        <f>'Item Database'!A63</f>
        <v>16437</v>
      </c>
      <c r="B5" s="9" t="str">
        <f>'Item Database'!B63</f>
        <v>Marshal's Silk Footwraps</v>
      </c>
      <c r="C5" s="12">
        <f>'Item Database'!C63</f>
        <v>11.329291094780004</v>
      </c>
      <c r="D5" s="9" t="str">
        <f>'Item Database'!D63</f>
        <v>Feet</v>
      </c>
      <c r="E5" s="9">
        <f>'Item Database'!E63</f>
        <v>115</v>
      </c>
      <c r="F5" s="9">
        <f>'Item Database'!F63</f>
        <v>0</v>
      </c>
      <c r="G5" s="9">
        <f>'Item Database'!G63</f>
        <v>23</v>
      </c>
      <c r="H5" s="9">
        <f>'Item Database'!H63</f>
        <v>0</v>
      </c>
      <c r="I5" s="9">
        <f>'Item Database'!I63</f>
        <v>14</v>
      </c>
      <c r="J5" s="9">
        <f>'Item Database'!J63</f>
        <v>6</v>
      </c>
      <c r="K5" s="9">
        <f>'Item Database'!K63</f>
        <v>21</v>
      </c>
      <c r="L5" s="35">
        <f>'Item Database'!L63</f>
        <v>0</v>
      </c>
      <c r="M5" s="35">
        <f>'Item Database'!M63</f>
        <v>0.01</v>
      </c>
      <c r="N5" s="9">
        <f>'Item Database'!N63</f>
        <v>0</v>
      </c>
      <c r="O5" s="9">
        <f>'Item Database'!O63</f>
        <v>0</v>
      </c>
      <c r="P5" s="9">
        <f>'Item Database'!P63</f>
        <v>0</v>
      </c>
      <c r="Q5" s="9">
        <f>'Item Database'!Q63</f>
        <v>0</v>
      </c>
      <c r="R5" s="9">
        <f>'Item Database'!R63</f>
        <v>0</v>
      </c>
      <c r="S5" s="9">
        <f>'Item Database'!S63</f>
        <v>0</v>
      </c>
      <c r="T5" s="53" t="str">
        <f>HYPERLINK('Item Database'!T63)</f>
        <v>https://classic.wowhead.com/item=16437</v>
      </c>
      <c r="U5" s="9">
        <f>IF(C5&lt;&gt;0,C5-Gear!$C$11,0)</f>
        <v>11.329291094780004</v>
      </c>
    </row>
    <row r="6" spans="1:21" x14ac:dyDescent="0.25">
      <c r="A6" s="24">
        <f>'Item Database'!A67</f>
        <v>19400</v>
      </c>
      <c r="B6" s="9" t="str">
        <f>'Item Database'!B67</f>
        <v>Firemaw's Clutch</v>
      </c>
      <c r="C6" s="12">
        <f>'Item Database'!C67</f>
        <v>13.059703852194955</v>
      </c>
      <c r="D6" s="9" t="str">
        <f>'Item Database'!D67</f>
        <v>Waist</v>
      </c>
      <c r="E6" s="9">
        <f>'Item Database'!E67</f>
        <v>64</v>
      </c>
      <c r="F6" s="9">
        <f>'Item Database'!F67</f>
        <v>0</v>
      </c>
      <c r="G6" s="9">
        <f>'Item Database'!G67</f>
        <v>12</v>
      </c>
      <c r="H6" s="9">
        <f>'Item Database'!H67</f>
        <v>0</v>
      </c>
      <c r="I6" s="9">
        <f>'Item Database'!I67</f>
        <v>12</v>
      </c>
      <c r="J6" s="9">
        <f>'Item Database'!J67</f>
        <v>0</v>
      </c>
      <c r="K6" s="9">
        <f>'Item Database'!K67</f>
        <v>35</v>
      </c>
      <c r="L6" s="35">
        <f>'Item Database'!L67</f>
        <v>0</v>
      </c>
      <c r="M6" s="35">
        <f>'Item Database'!M67</f>
        <v>0</v>
      </c>
      <c r="N6" s="9">
        <f>'Item Database'!N67</f>
        <v>5</v>
      </c>
      <c r="O6" s="9">
        <f>'Item Database'!O67</f>
        <v>0</v>
      </c>
      <c r="P6" s="9">
        <f>'Item Database'!P67</f>
        <v>0</v>
      </c>
      <c r="Q6" s="9">
        <f>'Item Database'!Q67</f>
        <v>0</v>
      </c>
      <c r="R6" s="9">
        <f>'Item Database'!R67</f>
        <v>0</v>
      </c>
      <c r="S6" s="9">
        <f>'Item Database'!S67</f>
        <v>0</v>
      </c>
      <c r="T6" s="53" t="str">
        <f>HYPERLINK('Item Database'!T67)</f>
        <v>https://classic.wowhead.com/item=19400</v>
      </c>
      <c r="U6" s="9">
        <f>IF(C6&lt;&gt;0,C6-Gear!$C$11,0)</f>
        <v>13.059703852194955</v>
      </c>
    </row>
    <row r="7" spans="1:21" x14ac:dyDescent="0.25">
      <c r="A7" s="9">
        <f>'Item Database'!A86</f>
        <v>16913</v>
      </c>
      <c r="B7" s="9" t="str">
        <f>'Item Database'!B86</f>
        <v>Netherwind Gloves</v>
      </c>
      <c r="C7" s="12">
        <f>'Item Database'!C86</f>
        <v>10.289900739335653</v>
      </c>
      <c r="D7" s="9" t="str">
        <f>'Item Database'!D86</f>
        <v>Hands</v>
      </c>
      <c r="E7" s="9">
        <f>'Item Database'!E86</f>
        <v>72</v>
      </c>
      <c r="F7" s="9">
        <f>'Item Database'!F86</f>
        <v>0</v>
      </c>
      <c r="G7" s="9">
        <f>'Item Database'!G86</f>
        <v>16</v>
      </c>
      <c r="H7" s="9">
        <f>'Item Database'!H86</f>
        <v>0</v>
      </c>
      <c r="I7" s="9">
        <f>'Item Database'!I86</f>
        <v>16</v>
      </c>
      <c r="J7" s="9">
        <f>'Item Database'!J86</f>
        <v>6</v>
      </c>
      <c r="K7" s="9">
        <f>'Item Database'!K86</f>
        <v>20</v>
      </c>
      <c r="L7" s="35">
        <f>'Item Database'!L86</f>
        <v>0.01</v>
      </c>
      <c r="M7" s="35">
        <f>'Item Database'!M86</f>
        <v>0</v>
      </c>
      <c r="N7" s="9">
        <f>'Item Database'!N86</f>
        <v>0</v>
      </c>
      <c r="O7" s="9">
        <f>'Item Database'!O86</f>
        <v>0</v>
      </c>
      <c r="P7" s="9">
        <f>'Item Database'!P86</f>
        <v>0</v>
      </c>
      <c r="Q7" s="9">
        <f>'Item Database'!Q86</f>
        <v>0</v>
      </c>
      <c r="R7" s="9">
        <f>'Item Database'!R86</f>
        <v>10</v>
      </c>
      <c r="S7" s="9">
        <f>'Item Database'!S86</f>
        <v>0</v>
      </c>
      <c r="T7" s="53" t="str">
        <f>HYPERLINK('Item Database'!T86)</f>
        <v>https://classic.wowhead.com/item=16913</v>
      </c>
      <c r="U7" s="9">
        <f>IF(C7&lt;&gt;0,C7-Gear!$C$11,0)</f>
        <v>10.289900739335653</v>
      </c>
    </row>
    <row r="8" spans="1:21" x14ac:dyDescent="0.25">
      <c r="A8" s="9">
        <f>'Item Database'!A95</f>
        <v>11782</v>
      </c>
      <c r="B8" s="9" t="str">
        <f>'Item Database'!B95</f>
        <v>Boreal Mantle</v>
      </c>
      <c r="C8" s="12">
        <f>'Item Database'!C95</f>
        <v>10.740876469408882</v>
      </c>
      <c r="D8" s="9" t="str">
        <f>'Item Database'!D95</f>
        <v>Shoulder</v>
      </c>
      <c r="E8" s="9">
        <f>'Item Database'!E95</f>
        <v>61</v>
      </c>
      <c r="F8" s="9">
        <f>'Item Database'!F95</f>
        <v>0</v>
      </c>
      <c r="G8" s="9">
        <f>'Item Database'!G95</f>
        <v>5</v>
      </c>
      <c r="H8" s="9">
        <f>'Item Database'!H95</f>
        <v>0</v>
      </c>
      <c r="I8" s="9">
        <f>'Item Database'!I95</f>
        <v>8</v>
      </c>
      <c r="J8" s="9">
        <f>'Item Database'!J95</f>
        <v>0</v>
      </c>
      <c r="K8" s="9">
        <f>'Item Database'!K95</f>
        <v>29</v>
      </c>
      <c r="L8" s="35">
        <f>'Item Database'!L95</f>
        <v>0</v>
      </c>
      <c r="M8" s="35">
        <f>'Item Database'!M95</f>
        <v>0</v>
      </c>
      <c r="N8" s="9">
        <f>'Item Database'!N95</f>
        <v>0</v>
      </c>
      <c r="O8" s="9">
        <f>'Item Database'!O95</f>
        <v>0</v>
      </c>
      <c r="P8" s="9">
        <f>'Item Database'!P95</f>
        <v>0</v>
      </c>
      <c r="Q8" s="9">
        <f>'Item Database'!Q95</f>
        <v>0</v>
      </c>
      <c r="R8" s="9">
        <f>'Item Database'!R95</f>
        <v>0</v>
      </c>
      <c r="S8" s="9">
        <f>'Item Database'!S95</f>
        <v>0</v>
      </c>
      <c r="T8" s="53" t="str">
        <f>HYPERLINK('Item Database'!T95)</f>
        <v>https://classic.wowhead.com/item=11782</v>
      </c>
      <c r="U8" s="9">
        <f>IF(C8&lt;&gt;0,C8-Gear!$C$11,0)</f>
        <v>10.740876469408882</v>
      </c>
    </row>
    <row r="9" spans="1:21" x14ac:dyDescent="0.25">
      <c r="A9" s="9">
        <f>'Item Database'!A97</f>
        <v>16912</v>
      </c>
      <c r="B9" s="9" t="str">
        <f>'Item Database'!B97</f>
        <v>Netherwind Boots</v>
      </c>
      <c r="C9" s="12">
        <f>'Item Database'!C97</f>
        <v>10.352348655350777</v>
      </c>
      <c r="D9" s="9" t="str">
        <f>'Item Database'!D97</f>
        <v>Feet</v>
      </c>
      <c r="E9" s="9">
        <f>'Item Database'!E97</f>
        <v>80</v>
      </c>
      <c r="F9" s="9">
        <f>'Item Database'!F97</f>
        <v>0</v>
      </c>
      <c r="G9" s="9">
        <f>'Item Database'!G97</f>
        <v>13</v>
      </c>
      <c r="H9" s="9">
        <f>'Item Database'!H97</f>
        <v>0</v>
      </c>
      <c r="I9" s="9">
        <f>'Item Database'!I97</f>
        <v>16</v>
      </c>
      <c r="J9" s="9">
        <f>'Item Database'!J97</f>
        <v>10</v>
      </c>
      <c r="K9" s="9">
        <f>'Item Database'!K97</f>
        <v>27</v>
      </c>
      <c r="L9" s="35">
        <f>'Item Database'!L97</f>
        <v>0</v>
      </c>
      <c r="M9" s="35">
        <f>'Item Database'!M97</f>
        <v>0</v>
      </c>
      <c r="N9" s="9">
        <f>'Item Database'!N97</f>
        <v>0</v>
      </c>
      <c r="O9" s="9">
        <f>'Item Database'!O97</f>
        <v>10</v>
      </c>
      <c r="P9" s="9">
        <f>'Item Database'!P97</f>
        <v>0</v>
      </c>
      <c r="Q9" s="9">
        <f>'Item Database'!Q97</f>
        <v>0</v>
      </c>
      <c r="R9" s="9">
        <f>'Item Database'!R97</f>
        <v>0</v>
      </c>
      <c r="S9" s="9">
        <f>'Item Database'!S97</f>
        <v>0</v>
      </c>
      <c r="T9" s="53" t="str">
        <f>HYPERLINK('Item Database'!T97)</f>
        <v>https://classic.wowhead.com/item=16912</v>
      </c>
      <c r="U9" s="9">
        <f>IF(C9&lt;&gt;0,C9-Gear!$C$11,0)</f>
        <v>10.352348655350777</v>
      </c>
    </row>
    <row r="10" spans="1:21" x14ac:dyDescent="0.25">
      <c r="A10" s="9">
        <f>'Item Database'!A121</f>
        <v>21468</v>
      </c>
      <c r="B10" s="9" t="str">
        <f>'Item Database'!B121</f>
        <v>Mantle of Maz'Nadir</v>
      </c>
      <c r="C10" s="12">
        <f>'Item Database'!C121</f>
        <v>8.1570831233445364</v>
      </c>
      <c r="D10" s="9" t="str">
        <f>'Item Database'!D121</f>
        <v>Shoulder</v>
      </c>
      <c r="E10" s="9">
        <f>'Item Database'!E121</f>
        <v>78</v>
      </c>
      <c r="F10" s="9">
        <f>'Item Database'!F121</f>
        <v>0</v>
      </c>
      <c r="G10" s="9">
        <f>'Item Database'!G121</f>
        <v>11</v>
      </c>
      <c r="H10" s="9">
        <f>'Item Database'!H121</f>
        <v>0</v>
      </c>
      <c r="I10" s="9">
        <f>'Item Database'!I121</f>
        <v>15</v>
      </c>
      <c r="J10" s="9">
        <f>'Item Database'!J121</f>
        <v>7</v>
      </c>
      <c r="K10" s="9">
        <f>'Item Database'!K121</f>
        <v>21</v>
      </c>
      <c r="L10" s="35">
        <f>'Item Database'!L121</f>
        <v>0</v>
      </c>
      <c r="M10" s="35">
        <f>'Item Database'!M121</f>
        <v>0</v>
      </c>
      <c r="N10" s="9">
        <f>'Item Database'!N121</f>
        <v>0</v>
      </c>
      <c r="O10" s="9">
        <f>'Item Database'!O121</f>
        <v>0</v>
      </c>
      <c r="P10" s="9">
        <f>'Item Database'!P121</f>
        <v>0</v>
      </c>
      <c r="Q10" s="9">
        <f>'Item Database'!Q121</f>
        <v>0</v>
      </c>
      <c r="R10" s="9">
        <f>'Item Database'!R121</f>
        <v>0</v>
      </c>
      <c r="S10" s="9">
        <f>'Item Database'!S121</f>
        <v>0</v>
      </c>
      <c r="T10" s="53" t="str">
        <f>HYPERLINK('Item Database'!T121)</f>
        <v>https://classic.wowhead.com/item=21468</v>
      </c>
      <c r="U10" s="9">
        <f>IF(C10&lt;&gt;0,C10-Gear!$C$11,0)</f>
        <v>8.1570831233445364</v>
      </c>
    </row>
    <row r="11" spans="1:21" x14ac:dyDescent="0.25">
      <c r="A11" s="24">
        <f>'Item Database'!A130</f>
        <v>18082</v>
      </c>
      <c r="B11" s="9" t="str">
        <f>'Item Database'!B130</f>
        <v>Zum'rah's Vexing Cane</v>
      </c>
      <c r="C11" s="12">
        <f>'Item Database'!C130</f>
        <v>7.9511467053781502</v>
      </c>
      <c r="D11" s="9" t="str">
        <f>'Item Database'!D130</f>
        <v>Two-Hand</v>
      </c>
      <c r="E11" s="9">
        <f>'Item Database'!E130</f>
        <v>0</v>
      </c>
      <c r="F11" s="9">
        <f>'Item Database'!F130</f>
        <v>0</v>
      </c>
      <c r="G11" s="9">
        <f>'Item Database'!G130</f>
        <v>10</v>
      </c>
      <c r="H11" s="9">
        <f>'Item Database'!H130</f>
        <v>0</v>
      </c>
      <c r="I11" s="9">
        <f>'Item Database'!I130</f>
        <v>10</v>
      </c>
      <c r="J11" s="9">
        <f>'Item Database'!J130</f>
        <v>0</v>
      </c>
      <c r="K11" s="9">
        <f>'Item Database'!K130</f>
        <v>21</v>
      </c>
      <c r="L11" s="35">
        <f>'Item Database'!L130</f>
        <v>0</v>
      </c>
      <c r="M11" s="35">
        <f>'Item Database'!M130</f>
        <v>0</v>
      </c>
      <c r="N11" s="9">
        <f>'Item Database'!N130</f>
        <v>0</v>
      </c>
      <c r="O11" s="9">
        <f>'Item Database'!O130</f>
        <v>0</v>
      </c>
      <c r="P11" s="9">
        <f>'Item Database'!P130</f>
        <v>0</v>
      </c>
      <c r="Q11" s="9">
        <f>'Item Database'!Q130</f>
        <v>0</v>
      </c>
      <c r="R11" s="9">
        <f>'Item Database'!R130</f>
        <v>0</v>
      </c>
      <c r="S11" s="9">
        <f>'Item Database'!S130</f>
        <v>0</v>
      </c>
      <c r="T11" s="53" t="str">
        <f>HYPERLINK('Item Database'!T130)</f>
        <v>https://classic.wowhead.com/item=18082</v>
      </c>
      <c r="U11" s="9">
        <f>IF(C11&lt;&gt;0,C11-Gear!$C$11,0)</f>
        <v>7.9511467053781502</v>
      </c>
    </row>
    <row r="12" spans="1:21" x14ac:dyDescent="0.25">
      <c r="A12" s="24">
        <f>'Item Database'!A131</f>
        <v>21648</v>
      </c>
      <c r="B12" s="9" t="str">
        <f>'Item Database'!B131</f>
        <v>Recomposed Boots</v>
      </c>
      <c r="C12" s="12">
        <f>'Item Database'!C131</f>
        <v>7.7156955147558204</v>
      </c>
      <c r="D12" s="9" t="str">
        <f>'Item Database'!D131</f>
        <v>Feet</v>
      </c>
      <c r="E12" s="9">
        <f>'Item Database'!E131</f>
        <v>80</v>
      </c>
      <c r="F12" s="9">
        <f>'Item Database'!F131</f>
        <v>0</v>
      </c>
      <c r="G12" s="9">
        <f>'Item Database'!G131</f>
        <v>21</v>
      </c>
      <c r="H12" s="9">
        <f>'Item Database'!H131</f>
        <v>0</v>
      </c>
      <c r="I12" s="9">
        <f>'Item Database'!I131</f>
        <v>13</v>
      </c>
      <c r="J12" s="9">
        <f>'Item Database'!J131</f>
        <v>0</v>
      </c>
      <c r="K12" s="9">
        <f>'Item Database'!K131</f>
        <v>20</v>
      </c>
      <c r="L12" s="35">
        <f>'Item Database'!L131</f>
        <v>0</v>
      </c>
      <c r="M12" s="35">
        <f>'Item Database'!M131</f>
        <v>0</v>
      </c>
      <c r="N12" s="9">
        <f>'Item Database'!N131</f>
        <v>0</v>
      </c>
      <c r="O12" s="9">
        <f>'Item Database'!O131</f>
        <v>0</v>
      </c>
      <c r="P12" s="9">
        <f>'Item Database'!P131</f>
        <v>0</v>
      </c>
      <c r="Q12" s="9">
        <f>'Item Database'!Q131</f>
        <v>20</v>
      </c>
      <c r="R12" s="9">
        <f>'Item Database'!R131</f>
        <v>0</v>
      </c>
      <c r="S12" s="9">
        <f>'Item Database'!S131</f>
        <v>0</v>
      </c>
      <c r="T12" s="53" t="str">
        <f>HYPERLINK('Item Database'!T131)</f>
        <v>https://classic.wowhead.com/item=21648</v>
      </c>
      <c r="U12" s="9">
        <f>IF(C12&lt;&gt;0,C12-Gear!$C$11,0)</f>
        <v>7.7156955147558204</v>
      </c>
    </row>
    <row r="13" spans="1:21" x14ac:dyDescent="0.25">
      <c r="A13" s="24">
        <f>'Item Database'!A135</f>
        <v>18102</v>
      </c>
      <c r="B13" s="9" t="str">
        <f>'Item Database'!B135</f>
        <v>Dragonrider Boots</v>
      </c>
      <c r="C13" s="12">
        <f>'Item Database'!C135</f>
        <v>7.1212312827313315</v>
      </c>
      <c r="D13" s="9" t="str">
        <f>'Item Database'!D135</f>
        <v>Feet</v>
      </c>
      <c r="E13" s="9">
        <f>'Item Database'!E135</f>
        <v>61</v>
      </c>
      <c r="F13" s="9">
        <f>'Item Database'!F135</f>
        <v>0</v>
      </c>
      <c r="G13" s="9">
        <f>'Item Database'!G135</f>
        <v>5</v>
      </c>
      <c r="H13" s="9">
        <f>'Item Database'!H135</f>
        <v>0</v>
      </c>
      <c r="I13" s="9">
        <f>'Item Database'!I135</f>
        <v>16</v>
      </c>
      <c r="J13" s="9">
        <f>'Item Database'!J135</f>
        <v>0</v>
      </c>
      <c r="K13" s="9">
        <f>'Item Database'!K135</f>
        <v>18</v>
      </c>
      <c r="L13" s="35">
        <f>'Item Database'!L135</f>
        <v>0</v>
      </c>
      <c r="M13" s="35">
        <f>'Item Database'!M135</f>
        <v>0</v>
      </c>
      <c r="N13" s="9">
        <f>'Item Database'!N135</f>
        <v>0</v>
      </c>
      <c r="O13" s="9">
        <f>'Item Database'!O135</f>
        <v>10</v>
      </c>
      <c r="P13" s="9">
        <f>'Item Database'!P135</f>
        <v>0</v>
      </c>
      <c r="Q13" s="9">
        <f>'Item Database'!Q135</f>
        <v>0</v>
      </c>
      <c r="R13" s="9">
        <f>'Item Database'!R135</f>
        <v>0</v>
      </c>
      <c r="S13" s="9">
        <f>'Item Database'!S135</f>
        <v>0</v>
      </c>
      <c r="T13" s="53" t="str">
        <f>HYPERLINK('Item Database'!T135)</f>
        <v>https://classic.wowhead.com/item=18102</v>
      </c>
      <c r="U13" s="9">
        <f>IF(C13&lt;&gt;0,C13-Gear!$C$11,0)</f>
        <v>7.1212312827313315</v>
      </c>
    </row>
    <row r="14" spans="1:21" x14ac:dyDescent="0.25">
      <c r="A14" s="24">
        <f>'Item Database'!A146</f>
        <v>21489</v>
      </c>
      <c r="B14" s="9" t="str">
        <f>'Item Database'!B146</f>
        <v>Quicksand Waders</v>
      </c>
      <c r="C14" s="12">
        <f>'Item Database'!C146</f>
        <v>6.3208306327404546</v>
      </c>
      <c r="D14" s="9" t="str">
        <f>'Item Database'!D146</f>
        <v>Feet</v>
      </c>
      <c r="E14" s="9">
        <f>'Item Database'!E146</f>
        <v>70</v>
      </c>
      <c r="F14" s="9">
        <f>'Item Database'!F146</f>
        <v>0</v>
      </c>
      <c r="G14" s="9">
        <f>'Item Database'!G146</f>
        <v>14</v>
      </c>
      <c r="H14" s="9">
        <f>'Item Database'!H146</f>
        <v>0</v>
      </c>
      <c r="I14" s="9">
        <f>'Item Database'!I146</f>
        <v>14</v>
      </c>
      <c r="J14" s="9">
        <f>'Item Database'!J146</f>
        <v>11</v>
      </c>
      <c r="K14" s="9">
        <f>'Item Database'!K146</f>
        <v>16</v>
      </c>
      <c r="L14" s="35">
        <f>'Item Database'!L146</f>
        <v>0</v>
      </c>
      <c r="M14" s="35">
        <f>'Item Database'!M146</f>
        <v>0</v>
      </c>
      <c r="N14" s="9">
        <f>'Item Database'!N146</f>
        <v>0</v>
      </c>
      <c r="O14" s="9">
        <f>'Item Database'!O146</f>
        <v>0</v>
      </c>
      <c r="P14" s="9">
        <f>'Item Database'!P146</f>
        <v>0</v>
      </c>
      <c r="Q14" s="9">
        <f>'Item Database'!Q146</f>
        <v>0</v>
      </c>
      <c r="R14" s="9">
        <f>'Item Database'!R146</f>
        <v>0</v>
      </c>
      <c r="S14" s="9">
        <f>'Item Database'!S146</f>
        <v>0</v>
      </c>
      <c r="T14" s="53" t="str">
        <f>HYPERLINK('Item Database'!T146)</f>
        <v>https://classic.wowhead.com/item=21489</v>
      </c>
      <c r="U14" s="9">
        <f>IF(C14&lt;&gt;0,C14-Gear!$C$11,0)</f>
        <v>6.3208306327404546</v>
      </c>
    </row>
    <row r="15" spans="1:21" x14ac:dyDescent="0.25">
      <c r="A15" s="9">
        <f>'Item Database'!A162</f>
        <v>19108</v>
      </c>
      <c r="B15" s="9" t="str">
        <f>'Item Database'!B162</f>
        <v>Wand of Biting Cold</v>
      </c>
      <c r="C15" s="12">
        <f>'Item Database'!C162</f>
        <v>5.7442086624345725</v>
      </c>
      <c r="D15" s="9" t="str">
        <f>'Item Database'!D162</f>
        <v>Wand</v>
      </c>
      <c r="E15" s="9">
        <f>'Item Database'!E162</f>
        <v>0</v>
      </c>
      <c r="F15" s="9">
        <f>'Item Database'!F162</f>
        <v>0</v>
      </c>
      <c r="G15" s="9">
        <f>'Item Database'!G162</f>
        <v>0</v>
      </c>
      <c r="H15" s="9">
        <f>'Item Database'!H162</f>
        <v>0</v>
      </c>
      <c r="I15" s="9">
        <f>'Item Database'!I162</f>
        <v>0</v>
      </c>
      <c r="J15" s="9">
        <f>'Item Database'!J162</f>
        <v>0</v>
      </c>
      <c r="K15" s="9">
        <f>'Item Database'!K162</f>
        <v>16</v>
      </c>
      <c r="L15" s="35">
        <f>'Item Database'!L162</f>
        <v>0</v>
      </c>
      <c r="M15" s="35">
        <f>'Item Database'!M162</f>
        <v>0</v>
      </c>
      <c r="N15" s="9">
        <f>'Item Database'!N162</f>
        <v>0</v>
      </c>
      <c r="O15" s="9">
        <f>'Item Database'!O162</f>
        <v>0</v>
      </c>
      <c r="P15" s="9">
        <f>'Item Database'!P162</f>
        <v>0</v>
      </c>
      <c r="Q15" s="9">
        <f>'Item Database'!Q162</f>
        <v>0</v>
      </c>
      <c r="R15" s="9">
        <f>'Item Database'!R162</f>
        <v>0</v>
      </c>
      <c r="S15" s="9">
        <f>'Item Database'!S162</f>
        <v>0</v>
      </c>
      <c r="T15" s="53" t="str">
        <f>HYPERLINK('Item Database'!T162)</f>
        <v>https://classic.wowhead.com/item=19108</v>
      </c>
      <c r="U15" s="9">
        <f>IF(C15&lt;&gt;0,C15-Gear!$C$11,0)</f>
        <v>5.7442086624345725</v>
      </c>
    </row>
    <row r="16" spans="1:21" x14ac:dyDescent="0.25">
      <c r="A16" s="9">
        <f>'Item Database'!A177</f>
        <v>7060</v>
      </c>
      <c r="B16" s="9" t="str">
        <f>'Item Database'!B177</f>
        <v>Azure Shoulders</v>
      </c>
      <c r="C16" s="12">
        <f>'Item Database'!C177</f>
        <v>4.66716953822809</v>
      </c>
      <c r="D16" s="9" t="str">
        <f>'Item Database'!D177</f>
        <v>Shoulder</v>
      </c>
      <c r="E16" s="9">
        <f>'Item Database'!E177</f>
        <v>38</v>
      </c>
      <c r="F16" s="9">
        <f>'Item Database'!F177</f>
        <v>0</v>
      </c>
      <c r="G16" s="9">
        <f>'Item Database'!G177</f>
        <v>5</v>
      </c>
      <c r="H16" s="9">
        <f>'Item Database'!H177</f>
        <v>0</v>
      </c>
      <c r="I16" s="9">
        <f>'Item Database'!I177</f>
        <v>0</v>
      </c>
      <c r="J16" s="9">
        <f>'Item Database'!J177</f>
        <v>0</v>
      </c>
      <c r="K16" s="9">
        <f>'Item Database'!K177</f>
        <v>13</v>
      </c>
      <c r="L16" s="35">
        <f>'Item Database'!L177</f>
        <v>0</v>
      </c>
      <c r="M16" s="35">
        <f>'Item Database'!M177</f>
        <v>0</v>
      </c>
      <c r="N16" s="9">
        <f>'Item Database'!N177</f>
        <v>0</v>
      </c>
      <c r="O16" s="9">
        <f>'Item Database'!O177</f>
        <v>0</v>
      </c>
      <c r="P16" s="9">
        <f>'Item Database'!P177</f>
        <v>0</v>
      </c>
      <c r="Q16" s="9">
        <f>'Item Database'!Q177</f>
        <v>0</v>
      </c>
      <c r="R16" s="9">
        <f>'Item Database'!R177</f>
        <v>0</v>
      </c>
      <c r="S16" s="9">
        <f>'Item Database'!S177</f>
        <v>0</v>
      </c>
      <c r="T16" s="53" t="str">
        <f>HYPERLINK('Item Database'!T177)</f>
        <v>https://classic.wowhead.com/item=7060</v>
      </c>
      <c r="U16" s="9">
        <f>IF(C16&lt;&gt;0,C16-Gear!$C$11,0)</f>
        <v>4.66716953822809</v>
      </c>
    </row>
    <row r="17" spans="1:21" x14ac:dyDescent="0.25">
      <c r="A17" s="9">
        <f>'Item Database'!A232</f>
        <v>16682</v>
      </c>
      <c r="B17" s="9" t="str">
        <f>'Item Database'!B232</f>
        <v>Magister's Boots</v>
      </c>
      <c r="C17" s="12">
        <f>'Item Database'!C232</f>
        <v>0.57662197030588236</v>
      </c>
      <c r="D17" s="9" t="str">
        <f>'Item Database'!D232</f>
        <v>Feet</v>
      </c>
      <c r="E17" s="9">
        <f>'Item Database'!E232</f>
        <v>58</v>
      </c>
      <c r="F17" s="9">
        <f>'Item Database'!F232</f>
        <v>0</v>
      </c>
      <c r="G17" s="9">
        <f>'Item Database'!G232</f>
        <v>9</v>
      </c>
      <c r="H17" s="9">
        <f>'Item Database'!H232</f>
        <v>0</v>
      </c>
      <c r="I17" s="9">
        <f>'Item Database'!I232</f>
        <v>14</v>
      </c>
      <c r="J17" s="9">
        <f>'Item Database'!J232</f>
        <v>14</v>
      </c>
      <c r="K17" s="9">
        <f>'Item Database'!K232</f>
        <v>0</v>
      </c>
      <c r="L17" s="35">
        <f>'Item Database'!L232</f>
        <v>0</v>
      </c>
      <c r="M17" s="35">
        <f>'Item Database'!M232</f>
        <v>0</v>
      </c>
      <c r="N17" s="9">
        <f>'Item Database'!N232</f>
        <v>0</v>
      </c>
      <c r="O17" s="9">
        <f>'Item Database'!O232</f>
        <v>0</v>
      </c>
      <c r="P17" s="9">
        <f>'Item Database'!P232</f>
        <v>0</v>
      </c>
      <c r="Q17" s="9">
        <f>'Item Database'!Q232</f>
        <v>0</v>
      </c>
      <c r="R17" s="9">
        <f>'Item Database'!R232</f>
        <v>0</v>
      </c>
      <c r="S17" s="9">
        <f>'Item Database'!S232</f>
        <v>0</v>
      </c>
      <c r="T17" s="53" t="str">
        <f>HYPERLINK('Item Database'!T232)</f>
        <v>https://classic.wowhead.com/item=16682</v>
      </c>
      <c r="U17" s="9">
        <f>IF(C17&lt;&gt;0,C17-Gear!$C$11,0)</f>
        <v>0.57662197030588236</v>
      </c>
    </row>
    <row r="18" spans="1:21" x14ac:dyDescent="0.25">
      <c r="A18" s="9">
        <f>'Item Database'!A235</f>
        <v>18697</v>
      </c>
      <c r="B18" s="9" t="str">
        <f>'Item Database'!B235</f>
        <v>Coldstone Slippers</v>
      </c>
      <c r="C18" s="12">
        <f>'Item Database'!C235</f>
        <v>0.57662197030588236</v>
      </c>
      <c r="D18" s="9" t="str">
        <f>'Item Database'!D235</f>
        <v>Feet</v>
      </c>
      <c r="E18" s="9">
        <f>'Item Database'!E235</f>
        <v>54</v>
      </c>
      <c r="F18" s="9">
        <f>'Item Database'!F235</f>
        <v>0</v>
      </c>
      <c r="G18" s="9">
        <f>'Item Database'!G235</f>
        <v>9</v>
      </c>
      <c r="H18" s="9">
        <f>'Item Database'!H235</f>
        <v>0</v>
      </c>
      <c r="I18" s="9">
        <f>'Item Database'!I235</f>
        <v>14</v>
      </c>
      <c r="J18" s="9">
        <f>'Item Database'!J235</f>
        <v>0</v>
      </c>
      <c r="K18" s="9">
        <f>'Item Database'!K235</f>
        <v>0</v>
      </c>
      <c r="L18" s="35">
        <f>'Item Database'!L235</f>
        <v>0</v>
      </c>
      <c r="M18" s="35">
        <f>'Item Database'!M235</f>
        <v>0</v>
      </c>
      <c r="N18" s="9">
        <f>'Item Database'!N235</f>
        <v>4</v>
      </c>
      <c r="O18" s="9">
        <f>'Item Database'!O235</f>
        <v>0</v>
      </c>
      <c r="P18" s="9">
        <f>'Item Database'!P235</f>
        <v>0</v>
      </c>
      <c r="Q18" s="9">
        <f>'Item Database'!Q235</f>
        <v>0</v>
      </c>
      <c r="R18" s="9">
        <f>'Item Database'!R235</f>
        <v>0</v>
      </c>
      <c r="S18" s="9">
        <f>'Item Database'!S235</f>
        <v>0</v>
      </c>
      <c r="T18" s="53" t="str">
        <f>HYPERLINK('Item Database'!T235)</f>
        <v>https://classic.wowhead.com/item=18697</v>
      </c>
      <c r="U18" s="9">
        <f>IF(C18&lt;&gt;0,C18-Gear!$C$11,0)</f>
        <v>0.57662197030588236</v>
      </c>
    </row>
    <row r="19" spans="1:21" x14ac:dyDescent="0.25">
      <c r="A19" s="9">
        <f>'Item Database'!A241</f>
        <v>13282</v>
      </c>
      <c r="B19" s="9" t="str">
        <f>'Item Database'!B241</f>
        <v>Ogreseer Tower Boots</v>
      </c>
      <c r="C19" s="12">
        <f>'Item Database'!C241</f>
        <v>0.53543468671260497</v>
      </c>
      <c r="D19" s="9" t="str">
        <f>'Item Database'!D241</f>
        <v>Feet</v>
      </c>
      <c r="E19" s="9">
        <f>'Item Database'!E241</f>
        <v>58</v>
      </c>
      <c r="F19" s="9">
        <f>'Item Database'!F241</f>
        <v>0</v>
      </c>
      <c r="G19" s="9">
        <f>'Item Database'!G241</f>
        <v>13</v>
      </c>
      <c r="H19" s="9">
        <f>'Item Database'!H241</f>
        <v>0</v>
      </c>
      <c r="I19" s="9">
        <f>'Item Database'!I241</f>
        <v>13</v>
      </c>
      <c r="J19" s="9">
        <f>'Item Database'!J241</f>
        <v>13</v>
      </c>
      <c r="K19" s="9">
        <f>'Item Database'!K241</f>
        <v>0</v>
      </c>
      <c r="L19" s="35">
        <f>'Item Database'!L241</f>
        <v>0</v>
      </c>
      <c r="M19" s="35">
        <f>'Item Database'!M241</f>
        <v>0</v>
      </c>
      <c r="N19" s="9">
        <f>'Item Database'!N241</f>
        <v>0</v>
      </c>
      <c r="O19" s="9">
        <f>'Item Database'!O241</f>
        <v>0</v>
      </c>
      <c r="P19" s="9">
        <f>'Item Database'!P241</f>
        <v>0</v>
      </c>
      <c r="Q19" s="9">
        <f>'Item Database'!Q241</f>
        <v>0</v>
      </c>
      <c r="R19" s="9">
        <f>'Item Database'!R241</f>
        <v>0</v>
      </c>
      <c r="S19" s="9">
        <f>'Item Database'!S241</f>
        <v>0</v>
      </c>
      <c r="T19" s="53" t="str">
        <f>HYPERLINK('Item Database'!T241)</f>
        <v>https://classic.wowhead.com/item=13282</v>
      </c>
      <c r="U19" s="9">
        <f>IF(C19&lt;&gt;0,C19-Gear!$C$11,0)</f>
        <v>0.53543468671260497</v>
      </c>
    </row>
    <row r="20" spans="1:21" x14ac:dyDescent="0.25">
      <c r="A20" s="9">
        <f>'Item Database'!A244</f>
        <v>17748</v>
      </c>
      <c r="B20" s="9" t="str">
        <f>'Item Database'!B244</f>
        <v>Vinerot Sandals</v>
      </c>
      <c r="C20" s="12">
        <f>'Item Database'!C244</f>
        <v>0.49424740311932769</v>
      </c>
      <c r="D20" s="9" t="str">
        <f>'Item Database'!D244</f>
        <v>Feet</v>
      </c>
      <c r="E20" s="9">
        <f>'Item Database'!E244</f>
        <v>50</v>
      </c>
      <c r="F20" s="9">
        <f>'Item Database'!F244</f>
        <v>0</v>
      </c>
      <c r="G20" s="9">
        <f>'Item Database'!G244</f>
        <v>0</v>
      </c>
      <c r="H20" s="9">
        <f>'Item Database'!H244</f>
        <v>0</v>
      </c>
      <c r="I20" s="9">
        <f>'Item Database'!I244</f>
        <v>12</v>
      </c>
      <c r="J20" s="9">
        <f>'Item Database'!J244</f>
        <v>12</v>
      </c>
      <c r="K20" s="9">
        <f>'Item Database'!K244</f>
        <v>0</v>
      </c>
      <c r="L20" s="35">
        <f>'Item Database'!L244</f>
        <v>0</v>
      </c>
      <c r="M20" s="35">
        <f>'Item Database'!M244</f>
        <v>0</v>
      </c>
      <c r="N20" s="9">
        <f>'Item Database'!N244</f>
        <v>0</v>
      </c>
      <c r="O20" s="9">
        <f>'Item Database'!O244</f>
        <v>0</v>
      </c>
      <c r="P20" s="9">
        <f>'Item Database'!P244</f>
        <v>0</v>
      </c>
      <c r="Q20" s="9">
        <f>'Item Database'!Q244</f>
        <v>12</v>
      </c>
      <c r="R20" s="9">
        <f>'Item Database'!R244</f>
        <v>0</v>
      </c>
      <c r="S20" s="9">
        <f>'Item Database'!S244</f>
        <v>0</v>
      </c>
      <c r="T20" s="53" t="str">
        <f>HYPERLINK('Item Database'!T244)</f>
        <v>https://classic.wowhead.com/item=17748</v>
      </c>
      <c r="U20" s="9">
        <f>IF(C20&lt;&gt;0,C20-Gear!$C$11,0)</f>
        <v>0.49424740311932769</v>
      </c>
    </row>
    <row r="21" spans="1:21" x14ac:dyDescent="0.25">
      <c r="A21" s="24">
        <f>'Item Database'!A259</f>
        <v>16704</v>
      </c>
      <c r="B21" s="9" t="str">
        <f>'Item Database'!B259</f>
        <v>Dreadmist Sandals</v>
      </c>
      <c r="C21" s="12">
        <f>'Item Database'!C259</f>
        <v>0.37068555233949574</v>
      </c>
      <c r="D21" s="9" t="str">
        <f>'Item Database'!D259</f>
        <v>Feet</v>
      </c>
      <c r="E21" s="9">
        <f>'Item Database'!E259</f>
        <v>58</v>
      </c>
      <c r="F21" s="9">
        <f>'Item Database'!F259</f>
        <v>0</v>
      </c>
      <c r="G21" s="9">
        <f>'Item Database'!G259</f>
        <v>17</v>
      </c>
      <c r="H21" s="9">
        <f>'Item Database'!H259</f>
        <v>0</v>
      </c>
      <c r="I21" s="9">
        <f>'Item Database'!I259</f>
        <v>9</v>
      </c>
      <c r="J21" s="9">
        <f>'Item Database'!J259</f>
        <v>10</v>
      </c>
      <c r="K21" s="9">
        <f>'Item Database'!K259</f>
        <v>0</v>
      </c>
      <c r="L21" s="35">
        <f>'Item Database'!L259</f>
        <v>0</v>
      </c>
      <c r="M21" s="35">
        <f>'Item Database'!M259</f>
        <v>0</v>
      </c>
      <c r="N21" s="9">
        <f>'Item Database'!N259</f>
        <v>0</v>
      </c>
      <c r="O21" s="9">
        <f>'Item Database'!O259</f>
        <v>0</v>
      </c>
      <c r="P21" s="9">
        <f>'Item Database'!P259</f>
        <v>0</v>
      </c>
      <c r="Q21" s="9">
        <f>'Item Database'!Q259</f>
        <v>0</v>
      </c>
      <c r="R21" s="9">
        <f>'Item Database'!R259</f>
        <v>0</v>
      </c>
      <c r="S21" s="9">
        <f>'Item Database'!S259</f>
        <v>0</v>
      </c>
      <c r="T21" s="53" t="str">
        <f>HYPERLINK('Item Database'!T259)</f>
        <v>https://classic.wowhead.com/item=16704</v>
      </c>
      <c r="U21" s="9">
        <f>IF(C21&lt;&gt;0,C21-Gear!$C$11,0)</f>
        <v>0.37068555233949574</v>
      </c>
    </row>
    <row r="22" spans="1:21" x14ac:dyDescent="0.25">
      <c r="A22" s="24">
        <f>'Item Database'!A263</f>
        <v>22245</v>
      </c>
      <c r="B22" s="9" t="str">
        <f>'Item Database'!B263</f>
        <v>Soot Encrusted Footwear</v>
      </c>
      <c r="C22" s="12">
        <f>'Item Database'!C263</f>
        <v>0.37068555233949574</v>
      </c>
      <c r="D22" s="9" t="str">
        <f>'Item Database'!D263</f>
        <v>Feet</v>
      </c>
      <c r="E22" s="9">
        <f>'Item Database'!E263</f>
        <v>55</v>
      </c>
      <c r="F22" s="9">
        <f>'Item Database'!F263</f>
        <v>0</v>
      </c>
      <c r="G22" s="9">
        <f>'Item Database'!G263</f>
        <v>8</v>
      </c>
      <c r="H22" s="9">
        <f>'Item Database'!H263</f>
        <v>0</v>
      </c>
      <c r="I22" s="9">
        <f>'Item Database'!I263</f>
        <v>9</v>
      </c>
      <c r="J22" s="9">
        <f>'Item Database'!J263</f>
        <v>14</v>
      </c>
      <c r="K22" s="9">
        <f>'Item Database'!K263</f>
        <v>0</v>
      </c>
      <c r="L22" s="35">
        <f>'Item Database'!L263</f>
        <v>0</v>
      </c>
      <c r="M22" s="35">
        <f>'Item Database'!M263</f>
        <v>0</v>
      </c>
      <c r="N22" s="9">
        <f>'Item Database'!N263</f>
        <v>0</v>
      </c>
      <c r="O22" s="9">
        <f>'Item Database'!O263</f>
        <v>0</v>
      </c>
      <c r="P22" s="9">
        <f>'Item Database'!P263</f>
        <v>0</v>
      </c>
      <c r="Q22" s="9">
        <f>'Item Database'!Q263</f>
        <v>0</v>
      </c>
      <c r="R22" s="9">
        <f>'Item Database'!R263</f>
        <v>0</v>
      </c>
      <c r="S22" s="9">
        <f>'Item Database'!S263</f>
        <v>0</v>
      </c>
      <c r="T22" s="53" t="str">
        <f>HYPERLINK('Item Database'!T263)</f>
        <v>https://classic.wowhead.com/item=22245</v>
      </c>
      <c r="U22" s="9">
        <f>IF(C22&lt;&gt;0,C22-Gear!$C$11,0)</f>
        <v>0.37068555233949574</v>
      </c>
    </row>
    <row r="23" spans="1:21" x14ac:dyDescent="0.25">
      <c r="A23" s="9">
        <f>'Item Database'!A275</f>
        <v>14653</v>
      </c>
      <c r="B23" s="9" t="str">
        <f>'Item Database'!B275</f>
        <v>Scorpashi Slippers</v>
      </c>
      <c r="C23" s="12">
        <f>'Item Database'!C275</f>
        <v>0</v>
      </c>
      <c r="D23" s="9" t="str">
        <f>'Item Database'!D275</f>
        <v>Feet</v>
      </c>
      <c r="E23" s="9">
        <f>'Item Database'!E275</f>
        <v>85</v>
      </c>
      <c r="F23" s="9">
        <f>'Item Database'!F275</f>
        <v>0</v>
      </c>
      <c r="G23" s="9">
        <f>'Item Database'!G275</f>
        <v>3</v>
      </c>
      <c r="H23" s="9">
        <f>'Item Database'!H275</f>
        <v>0</v>
      </c>
      <c r="I23" s="9">
        <f>'Item Database'!I275</f>
        <v>0</v>
      </c>
      <c r="J23" s="9">
        <f>'Item Database'!J275</f>
        <v>0</v>
      </c>
      <c r="K23" s="9">
        <f>'Item Database'!K275</f>
        <v>0</v>
      </c>
      <c r="L23" s="35">
        <f>'Item Database'!L275</f>
        <v>0</v>
      </c>
      <c r="M23" s="35">
        <f>'Item Database'!M275</f>
        <v>0</v>
      </c>
      <c r="N23" s="9">
        <f>'Item Database'!N275</f>
        <v>0</v>
      </c>
      <c r="O23" s="9">
        <f>'Item Database'!O275</f>
        <v>0</v>
      </c>
      <c r="P23" s="9">
        <f>'Item Database'!P275</f>
        <v>0</v>
      </c>
      <c r="Q23" s="9">
        <f>'Item Database'!Q275</f>
        <v>0</v>
      </c>
      <c r="R23" s="9">
        <f>'Item Database'!R275</f>
        <v>0</v>
      </c>
      <c r="S23" s="9">
        <f>'Item Database'!S275</f>
        <v>0</v>
      </c>
      <c r="T23" s="53" t="str">
        <f>HYPERLINK('Item Database'!T275)</f>
        <v>https://classic.wowhead.com/item=14653</v>
      </c>
      <c r="U23" s="9">
        <f>IF(C23&lt;&gt;0,C23-Gear!$C$11,0)</f>
        <v>0</v>
      </c>
    </row>
    <row r="24" spans="1:21" x14ac:dyDescent="0.25">
      <c r="U24" s="9">
        <f>IF(C24&lt;&gt;0,C24-Gear!$C$11,0)</f>
        <v>0</v>
      </c>
    </row>
    <row r="25" spans="1:21" x14ac:dyDescent="0.25">
      <c r="U25" s="9">
        <f>IF(C25&lt;&gt;0,C25-Gear!$C$11,0)</f>
        <v>0</v>
      </c>
    </row>
    <row r="26" spans="1:21" x14ac:dyDescent="0.25">
      <c r="U26" s="9">
        <f>IF(C26&lt;&gt;0,C26-Gear!$C$11,0)</f>
        <v>0</v>
      </c>
    </row>
    <row r="27" spans="1:21" x14ac:dyDescent="0.25">
      <c r="U27" s="9">
        <f>IF(C27&lt;&gt;0,C27-Gear!$C$11,0)</f>
        <v>0</v>
      </c>
    </row>
    <row r="28" spans="1:21" x14ac:dyDescent="0.25">
      <c r="U28" s="9">
        <f>IF(C28&lt;&gt;0,C28-Gear!$C$11,0)</f>
        <v>0</v>
      </c>
    </row>
    <row r="29" spans="1:21" x14ac:dyDescent="0.25">
      <c r="U29" s="9">
        <f>IF(C29&lt;&gt;0,C29-Gear!$C$11,0)</f>
        <v>0</v>
      </c>
    </row>
    <row r="30" spans="1:21" x14ac:dyDescent="0.25">
      <c r="U30" s="9">
        <f>IF(C30&lt;&gt;0,C30-Gear!$C$11,0)</f>
        <v>0</v>
      </c>
    </row>
    <row r="31" spans="1:21" x14ac:dyDescent="0.25">
      <c r="U31" s="9">
        <f>IF(C31&lt;&gt;0,C31-Gear!$C$11,0)</f>
        <v>0</v>
      </c>
    </row>
    <row r="32" spans="1:21" x14ac:dyDescent="0.25">
      <c r="U32" s="9">
        <f>IF(C32&lt;&gt;0,C32-Gear!$C$11,0)</f>
        <v>0</v>
      </c>
    </row>
    <row r="33" spans="20:21" x14ac:dyDescent="0.25">
      <c r="T33" s="9">
        <f>IF(C33&lt;&gt;0,C33-Gear!$C$11,0)</f>
        <v>0</v>
      </c>
      <c r="U33" s="9">
        <f>IF(C33&lt;&gt;0,C33-Gear!$C$11,0)</f>
        <v>0</v>
      </c>
    </row>
    <row r="34" spans="20:21" x14ac:dyDescent="0.25">
      <c r="T34" s="9">
        <f>IF(C34&lt;&gt;0,C34-Gear!$C$11,0)</f>
        <v>0</v>
      </c>
      <c r="U34" s="9">
        <f>IF(C34&lt;&gt;0,C34-Gear!$C$11,0)</f>
        <v>0</v>
      </c>
    </row>
    <row r="35" spans="20:21" x14ac:dyDescent="0.25">
      <c r="T35" s="9">
        <f>IF(C35&lt;&gt;0,C35-Gear!$C$11,0)</f>
        <v>0</v>
      </c>
      <c r="U35" s="9">
        <f>IF(C35&lt;&gt;0,C35-Gear!$C$11,0)</f>
        <v>0</v>
      </c>
    </row>
    <row r="36" spans="20:21" x14ac:dyDescent="0.25">
      <c r="T36" s="9">
        <f>IF(C36&lt;&gt;0,C36-Gear!$C$11,0)</f>
        <v>0</v>
      </c>
      <c r="U36" s="9">
        <f>IF(C36&lt;&gt;0,C36-Gear!$C$11,0)</f>
        <v>0</v>
      </c>
    </row>
    <row r="37" spans="20:21" x14ac:dyDescent="0.25">
      <c r="T37" s="9">
        <f>IF(C37&lt;&gt;0,C37-Gear!$C$11,0)</f>
        <v>0</v>
      </c>
      <c r="U37" s="9">
        <f>IF(C37&lt;&gt;0,C37-Gear!$C$11,0)</f>
        <v>0</v>
      </c>
    </row>
    <row r="38" spans="20:21" x14ac:dyDescent="0.25">
      <c r="T38" s="9">
        <f>IF(C38&lt;&gt;0,C38-Gear!$C$11,0)</f>
        <v>0</v>
      </c>
      <c r="U38" s="9">
        <f>IF(C38&lt;&gt;0,C38-Gear!$C$11,0)</f>
        <v>0</v>
      </c>
    </row>
    <row r="39" spans="20:21" x14ac:dyDescent="0.25">
      <c r="T39" s="9">
        <f>IF(C39&lt;&gt;0,C39-Gear!$C$11,0)</f>
        <v>0</v>
      </c>
      <c r="U39" s="9">
        <f>IF(C39&lt;&gt;0,C39-Gear!$C$11,0)</f>
        <v>0</v>
      </c>
    </row>
    <row r="40" spans="20:21" x14ac:dyDescent="0.25">
      <c r="T40" s="9">
        <f>IF(C40&lt;&gt;0,C40-Gear!$C$11,0)</f>
        <v>0</v>
      </c>
      <c r="U40" s="9">
        <f>IF(C40&lt;&gt;0,C40-Gear!$C$11,0)</f>
        <v>0</v>
      </c>
    </row>
    <row r="41" spans="20:21" x14ac:dyDescent="0.25">
      <c r="T41" s="9">
        <f>IF(C41&lt;&gt;0,C41-Gear!$C$11,0)</f>
        <v>0</v>
      </c>
      <c r="U41" s="9">
        <f>IF(C41&lt;&gt;0,C41-Gear!$C$11,0)</f>
        <v>0</v>
      </c>
    </row>
    <row r="42" spans="20:21" x14ac:dyDescent="0.25">
      <c r="T42" s="9">
        <f>IF(C42&lt;&gt;0,C42-Gear!$C$11,0)</f>
        <v>0</v>
      </c>
      <c r="U42" s="9">
        <f>IF(C42&lt;&gt;0,C42-Gear!$C$11,0)</f>
        <v>0</v>
      </c>
    </row>
    <row r="43" spans="20:21" x14ac:dyDescent="0.25">
      <c r="T43" s="9">
        <f>IF(C43&lt;&gt;0,C43-Gear!$C$11,0)</f>
        <v>0</v>
      </c>
      <c r="U43" s="9">
        <f>IF(C43&lt;&gt;0,C43-Gear!$C$11,0)</f>
        <v>0</v>
      </c>
    </row>
    <row r="44" spans="20:21" x14ac:dyDescent="0.25">
      <c r="T44" s="9">
        <f>IF(C44&lt;&gt;0,C44-Gear!$C$11,0)</f>
        <v>0</v>
      </c>
      <c r="U44" s="9">
        <f>IF(C44&lt;&gt;0,C44-Gear!$C$11,0)</f>
        <v>0</v>
      </c>
    </row>
    <row r="45" spans="20:21" x14ac:dyDescent="0.25">
      <c r="T45" s="9">
        <f>IF(C45&lt;&gt;0,C45-Gear!$C$11,0)</f>
        <v>0</v>
      </c>
      <c r="U45" s="9">
        <f>IF(C45&lt;&gt;0,C45-Gear!$C$11,0)</f>
        <v>0</v>
      </c>
    </row>
    <row r="46" spans="20:21" x14ac:dyDescent="0.25">
      <c r="T46" s="9">
        <f>IF(C46&lt;&gt;0,C46-Gear!$C$11,0)</f>
        <v>0</v>
      </c>
      <c r="U46" s="9">
        <f>IF(C46&lt;&gt;0,C46-Gear!$C$11,0)</f>
        <v>0</v>
      </c>
    </row>
    <row r="47" spans="20:21" x14ac:dyDescent="0.25">
      <c r="T47" s="9">
        <f>IF(C47&lt;&gt;0,C47-Gear!$C$11,0)</f>
        <v>0</v>
      </c>
      <c r="U47" s="9">
        <f>IF(C47&lt;&gt;0,C47-Gear!$C$11,0)</f>
        <v>0</v>
      </c>
    </row>
    <row r="48" spans="20:21" x14ac:dyDescent="0.25">
      <c r="T48" s="9">
        <f>IF(C48&lt;&gt;0,C48-Gear!$C$11,0)</f>
        <v>0</v>
      </c>
      <c r="U48" s="9">
        <f>IF(C48&lt;&gt;0,C48-Gear!$C$11,0)</f>
        <v>0</v>
      </c>
    </row>
    <row r="49" spans="20:21" x14ac:dyDescent="0.25">
      <c r="T49" s="9">
        <f>IF(C49&lt;&gt;0,C49-Gear!$C$11,0)</f>
        <v>0</v>
      </c>
      <c r="U49" s="9">
        <f>IF(C49&lt;&gt;0,C49-Gear!$C$11,0)</f>
        <v>0</v>
      </c>
    </row>
    <row r="50" spans="20:21" x14ac:dyDescent="0.25">
      <c r="T50" s="9">
        <f>IF(C50&lt;&gt;0,C50-Gear!$C$11,0)</f>
        <v>0</v>
      </c>
      <c r="U50" s="9">
        <f>IF(C50&lt;&gt;0,C50-Gear!$C$11,0)</f>
        <v>0</v>
      </c>
    </row>
    <row r="51" spans="20:21" x14ac:dyDescent="0.25">
      <c r="T51" s="9">
        <f>IF(C51&lt;&gt;0,C51-Gear!$C$11,0)</f>
        <v>0</v>
      </c>
      <c r="U51" s="9">
        <f>IF(C51&lt;&gt;0,C51-Gear!$C$11,0)</f>
        <v>0</v>
      </c>
    </row>
    <row r="52" spans="20:21" x14ac:dyDescent="0.25">
      <c r="T52" s="9">
        <f>IF(C52&lt;&gt;0,C52-Gear!$C$11,0)</f>
        <v>0</v>
      </c>
      <c r="U52" s="9">
        <f>IF(C52&lt;&gt;0,C52-Gear!$C$11,0)</f>
        <v>0</v>
      </c>
    </row>
    <row r="53" spans="20:21" x14ac:dyDescent="0.25">
      <c r="T53" s="9">
        <f>IF(C53&lt;&gt;0,C53-Gear!$C$11,0)</f>
        <v>0</v>
      </c>
      <c r="U53" s="9">
        <f>IF(C53&lt;&gt;0,C53-Gear!$C$11,0)</f>
        <v>0</v>
      </c>
    </row>
    <row r="54" spans="20:21" x14ac:dyDescent="0.25">
      <c r="T54" s="9">
        <f>IF(C54&lt;&gt;0,C54-Gear!$C$11,0)</f>
        <v>0</v>
      </c>
      <c r="U54" s="9">
        <f>IF(C54&lt;&gt;0,C54-Gear!$C$11,0)</f>
        <v>0</v>
      </c>
    </row>
    <row r="55" spans="20:21" x14ac:dyDescent="0.25">
      <c r="T55" s="9">
        <f>IF(C55&lt;&gt;0,C55-Gear!$C$11,0)</f>
        <v>0</v>
      </c>
      <c r="U55" s="9">
        <f>IF(C55&lt;&gt;0,C55-Gear!$C$11,0)</f>
        <v>0</v>
      </c>
    </row>
    <row r="56" spans="20:21" x14ac:dyDescent="0.25">
      <c r="T56" s="9">
        <f>IF(C56&lt;&gt;0,C56-Gear!$C$11,0)</f>
        <v>0</v>
      </c>
      <c r="U56" s="9">
        <f>IF(C56&lt;&gt;0,C56-Gear!$C$11,0)</f>
        <v>0</v>
      </c>
    </row>
    <row r="57" spans="20:21" x14ac:dyDescent="0.25">
      <c r="T57" s="9">
        <f>IF(C57&lt;&gt;0,C57-Gear!$C$11,0)</f>
        <v>0</v>
      </c>
      <c r="U57" s="9">
        <f>IF(C57&lt;&gt;0,C57-Gear!$C$11,0)</f>
        <v>0</v>
      </c>
    </row>
    <row r="58" spans="20:21" x14ac:dyDescent="0.25">
      <c r="T58" s="9">
        <f>IF(C58&lt;&gt;0,C58-Gear!$C$11,0)</f>
        <v>0</v>
      </c>
      <c r="U58" s="9">
        <f>IF(C58&lt;&gt;0,C58-Gear!$C$11,0)</f>
        <v>0</v>
      </c>
    </row>
    <row r="59" spans="20:21" x14ac:dyDescent="0.25">
      <c r="T59" s="9">
        <f>IF(C59&lt;&gt;0,C59-Gear!$C$11,0)</f>
        <v>0</v>
      </c>
      <c r="U59" s="9">
        <f>IF(C59&lt;&gt;0,C59-Gear!$C$11,0)</f>
        <v>0</v>
      </c>
    </row>
    <row r="60" spans="20:21" x14ac:dyDescent="0.25">
      <c r="T60" s="9">
        <f>IF(C60&lt;&gt;0,C60-Gear!$C$11,0)</f>
        <v>0</v>
      </c>
      <c r="U60" s="9">
        <f>IF(C60&lt;&gt;0,C60-Gear!$C$11,0)</f>
        <v>0</v>
      </c>
    </row>
    <row r="61" spans="20:21" x14ac:dyDescent="0.25">
      <c r="T61" s="9">
        <f>IF(C61&lt;&gt;0,C61-Gear!$C$11,0)</f>
        <v>0</v>
      </c>
      <c r="U61" s="9">
        <f>IF(C61&lt;&gt;0,C61-Gear!$C$11,0)</f>
        <v>0</v>
      </c>
    </row>
    <row r="62" spans="20:21" x14ac:dyDescent="0.25">
      <c r="T62" s="9">
        <f>IF(C62&lt;&gt;0,C62-Gear!$C$11,0)</f>
        <v>0</v>
      </c>
      <c r="U62" s="9">
        <f>IF(C62&lt;&gt;0,C62-Gear!$C$11,0)</f>
        <v>0</v>
      </c>
    </row>
    <row r="63" spans="20:21" x14ac:dyDescent="0.25">
      <c r="T63" s="9">
        <f>IF(C63&lt;&gt;0,C63-Gear!$C$11,0)</f>
        <v>0</v>
      </c>
      <c r="U63" s="9">
        <f>IF(C63&lt;&gt;0,C63-Gear!$C$11,0)</f>
        <v>0</v>
      </c>
    </row>
    <row r="64" spans="20:21" x14ac:dyDescent="0.25">
      <c r="T64" s="9">
        <f>IF(C64&lt;&gt;0,C64-Gear!$C$11,0)</f>
        <v>0</v>
      </c>
      <c r="U64" s="9">
        <f>IF(C64&lt;&gt;0,C64-Gear!$C$11,0)</f>
        <v>0</v>
      </c>
    </row>
    <row r="65" spans="20:21" x14ac:dyDescent="0.25">
      <c r="T65" s="9">
        <f>IF(C65&lt;&gt;0,C65-Gear!$C$11,0)</f>
        <v>0</v>
      </c>
      <c r="U65" s="9">
        <f>IF(C65&lt;&gt;0,C65-Gear!$C$11,0)</f>
        <v>0</v>
      </c>
    </row>
    <row r="66" spans="20:21" x14ac:dyDescent="0.25">
      <c r="T66" s="9">
        <f>IF(C66&lt;&gt;0,C66-Gear!$C$11,0)</f>
        <v>0</v>
      </c>
      <c r="U66" s="9">
        <f>IF(C66&lt;&gt;0,C66-Gear!$C$11,0)</f>
        <v>0</v>
      </c>
    </row>
    <row r="67" spans="20:21" x14ac:dyDescent="0.25">
      <c r="T67" s="9">
        <f>IF(C67&lt;&gt;0,C67-Gear!$C$11,0)</f>
        <v>0</v>
      </c>
      <c r="U67" s="9">
        <f>IF(C67&lt;&gt;0,C67-Gear!$C$11,0)</f>
        <v>0</v>
      </c>
    </row>
    <row r="68" spans="20:21" x14ac:dyDescent="0.25">
      <c r="T68" s="9">
        <f>IF(C68&lt;&gt;0,C68-Gear!$C$11,0)</f>
        <v>0</v>
      </c>
      <c r="U68" s="9">
        <f>IF(C68&lt;&gt;0,C68-Gear!$C$11,0)</f>
        <v>0</v>
      </c>
    </row>
    <row r="69" spans="20:21" x14ac:dyDescent="0.25">
      <c r="T69" s="9">
        <f>IF(C69&lt;&gt;0,C69-Gear!$C$11,0)</f>
        <v>0</v>
      </c>
      <c r="U69" s="9">
        <f>IF(C69&lt;&gt;0,C69-Gear!$C$11,0)</f>
        <v>0</v>
      </c>
    </row>
    <row r="70" spans="20:21" x14ac:dyDescent="0.25">
      <c r="T70" s="9">
        <f>IF(C70&lt;&gt;0,C70-Gear!$C$11,0)</f>
        <v>0</v>
      </c>
      <c r="U70" s="9">
        <f>IF(C70&lt;&gt;0,C70-Gear!$C$11,0)</f>
        <v>0</v>
      </c>
    </row>
    <row r="71" spans="20:21" x14ac:dyDescent="0.25">
      <c r="T71" s="9">
        <f>IF(C71&lt;&gt;0,C71-Gear!$C$11,0)</f>
        <v>0</v>
      </c>
      <c r="U71" s="9">
        <f>IF(C71&lt;&gt;0,C71-Gear!$C$11,0)</f>
        <v>0</v>
      </c>
    </row>
    <row r="72" spans="20:21" x14ac:dyDescent="0.25">
      <c r="T72" s="9">
        <f>IF(C72&lt;&gt;0,C72-Gear!$C$11,0)</f>
        <v>0</v>
      </c>
      <c r="U72" s="9">
        <f>IF(C72&lt;&gt;0,C72-Gear!$C$11,0)</f>
        <v>0</v>
      </c>
    </row>
    <row r="73" spans="20:21" x14ac:dyDescent="0.25">
      <c r="T73" s="9">
        <f>IF(C73&lt;&gt;0,C73-Gear!$C$11,0)</f>
        <v>0</v>
      </c>
      <c r="U73" s="9">
        <f>IF(C73&lt;&gt;0,C73-Gear!$C$11,0)</f>
        <v>0</v>
      </c>
    </row>
    <row r="74" spans="20:21" x14ac:dyDescent="0.25">
      <c r="T74" s="9">
        <f>IF(C74&lt;&gt;0,C74-Gear!$C$11,0)</f>
        <v>0</v>
      </c>
      <c r="U74" s="9">
        <f>IF(C74&lt;&gt;0,C74-Gear!$C$11,0)</f>
        <v>0</v>
      </c>
    </row>
    <row r="75" spans="20:21" x14ac:dyDescent="0.25">
      <c r="T75" s="9">
        <f>IF(C75&lt;&gt;0,C75-Gear!$C$11,0)</f>
        <v>0</v>
      </c>
      <c r="U75" s="9">
        <f>IF(C75&lt;&gt;0,C75-Gear!$C$11,0)</f>
        <v>0</v>
      </c>
    </row>
    <row r="76" spans="20:21" x14ac:dyDescent="0.25">
      <c r="T76" s="9">
        <f>IF(C76&lt;&gt;0,C76-Gear!$C$11,0)</f>
        <v>0</v>
      </c>
      <c r="U76" s="9">
        <f>IF(C76&lt;&gt;0,C76-Gear!$C$11,0)</f>
        <v>0</v>
      </c>
    </row>
    <row r="77" spans="20:21" x14ac:dyDescent="0.25">
      <c r="T77" s="9">
        <f>IF(C77&lt;&gt;0,C77-Gear!$C$11,0)</f>
        <v>0</v>
      </c>
      <c r="U77" s="9">
        <f>IF(C77&lt;&gt;0,C77-Gear!$C$11,0)</f>
        <v>0</v>
      </c>
    </row>
    <row r="78" spans="20:21" x14ac:dyDescent="0.25">
      <c r="T78" s="9">
        <f>IF(C78&lt;&gt;0,C78-Gear!$C$11,0)</f>
        <v>0</v>
      </c>
      <c r="U78" s="9">
        <f>IF(C78&lt;&gt;0,C78-Gear!$C$11,0)</f>
        <v>0</v>
      </c>
    </row>
    <row r="79" spans="20:21" x14ac:dyDescent="0.25">
      <c r="T79" s="9">
        <f>IF(C79&lt;&gt;0,C79-Gear!$C$11,0)</f>
        <v>0</v>
      </c>
      <c r="U79" s="9">
        <f>IF(C79&lt;&gt;0,C79-Gear!$C$11,0)</f>
        <v>0</v>
      </c>
    </row>
    <row r="80" spans="20:21" x14ac:dyDescent="0.25">
      <c r="T80" s="9">
        <f>IF(C80&lt;&gt;0,C80-Gear!$C$11,0)</f>
        <v>0</v>
      </c>
      <c r="U80" s="9">
        <f>IF(C80&lt;&gt;0,C80-Gear!$C$11,0)</f>
        <v>0</v>
      </c>
    </row>
    <row r="81" spans="20:21" x14ac:dyDescent="0.25">
      <c r="T81" s="9">
        <f>IF(C81&lt;&gt;0,C81-Gear!$C$11,0)</f>
        <v>0</v>
      </c>
      <c r="U81" s="9">
        <f>IF(C81&lt;&gt;0,C81-Gear!$C$11,0)</f>
        <v>0</v>
      </c>
    </row>
    <row r="82" spans="20:21" x14ac:dyDescent="0.25">
      <c r="T82" s="9">
        <f>IF(C82&lt;&gt;0,C82-Gear!$C$11,0)</f>
        <v>0</v>
      </c>
      <c r="U82" s="9">
        <f>IF(C82&lt;&gt;0,C82-Gear!$C$11,0)</f>
        <v>0</v>
      </c>
    </row>
    <row r="83" spans="20:21" x14ac:dyDescent="0.25">
      <c r="T83" s="9">
        <f>IF(C83&lt;&gt;0,C83-Gear!$C$11,0)</f>
        <v>0</v>
      </c>
      <c r="U83" s="9">
        <f>IF(C83&lt;&gt;0,C83-Gear!$C$11,0)</f>
        <v>0</v>
      </c>
    </row>
    <row r="84" spans="20:21" x14ac:dyDescent="0.25">
      <c r="T84" s="9">
        <f>IF(C84&lt;&gt;0,C84-Gear!$C$11,0)</f>
        <v>0</v>
      </c>
      <c r="U84" s="9">
        <f>IF(C84&lt;&gt;0,C84-Gear!$C$11,0)</f>
        <v>0</v>
      </c>
    </row>
    <row r="85" spans="20:21" x14ac:dyDescent="0.25">
      <c r="T85" s="9">
        <f>IF(C85&lt;&gt;0,C85-Gear!$C$11,0)</f>
        <v>0</v>
      </c>
      <c r="U85" s="9">
        <f>IF(C85&lt;&gt;0,C85-Gear!$C$11,0)</f>
        <v>0</v>
      </c>
    </row>
    <row r="86" spans="20:21" x14ac:dyDescent="0.25">
      <c r="T86" s="9">
        <f>IF(C86&lt;&gt;0,C86-Gear!$C$11,0)</f>
        <v>0</v>
      </c>
      <c r="U86" s="9">
        <f>IF(C86&lt;&gt;0,C86-Gear!$C$11,0)</f>
        <v>0</v>
      </c>
    </row>
    <row r="87" spans="20:21" x14ac:dyDescent="0.25">
      <c r="T87" s="9">
        <f>IF(C87&lt;&gt;0,C87-Gear!$C$11,0)</f>
        <v>0</v>
      </c>
      <c r="U87" s="9">
        <f>IF(C87&lt;&gt;0,C87-Gear!$C$11,0)</f>
        <v>0</v>
      </c>
    </row>
    <row r="88" spans="20:21" x14ac:dyDescent="0.25">
      <c r="T88" s="9">
        <f>IF(C88&lt;&gt;0,C88-Gear!$C$11,0)</f>
        <v>0</v>
      </c>
      <c r="U88" s="9">
        <f>IF(C88&lt;&gt;0,C88-Gear!$C$11,0)</f>
        <v>0</v>
      </c>
    </row>
    <row r="89" spans="20:21" x14ac:dyDescent="0.25">
      <c r="T89" s="9">
        <f>IF(C89&lt;&gt;0,C89-Gear!$C$11,0)</f>
        <v>0</v>
      </c>
      <c r="U89" s="9">
        <f>IF(C89&lt;&gt;0,C89-Gear!$C$11,0)</f>
        <v>0</v>
      </c>
    </row>
    <row r="90" spans="20:21" x14ac:dyDescent="0.25">
      <c r="T90" s="9">
        <f>IF(C90&lt;&gt;0,C90-Gear!$C$11,0)</f>
        <v>0</v>
      </c>
      <c r="U90" s="9">
        <f>IF(C90&lt;&gt;0,C90-Gear!$C$11,0)</f>
        <v>0</v>
      </c>
    </row>
    <row r="91" spans="20:21" x14ac:dyDescent="0.25">
      <c r="T91" s="9">
        <f>IF(C91&lt;&gt;0,C91-Gear!$C$11,0)</f>
        <v>0</v>
      </c>
      <c r="U91" s="9">
        <f>IF(C91&lt;&gt;0,C91-Gear!$C$11,0)</f>
        <v>0</v>
      </c>
    </row>
    <row r="92" spans="20:21" x14ac:dyDescent="0.25">
      <c r="T92" s="9">
        <f>IF(C92&lt;&gt;0,C92-Gear!$C$11,0)</f>
        <v>0</v>
      </c>
      <c r="U92" s="9">
        <f>IF(C92&lt;&gt;0,C92-Gear!$C$11,0)</f>
        <v>0</v>
      </c>
    </row>
    <row r="93" spans="20:21" x14ac:dyDescent="0.25">
      <c r="T93" s="9">
        <f>IF(C93&lt;&gt;0,C93-Gear!$C$11,0)</f>
        <v>0</v>
      </c>
      <c r="U93" s="9">
        <f>IF(C93&lt;&gt;0,C93-Gear!$C$11,0)</f>
        <v>0</v>
      </c>
    </row>
    <row r="94" spans="20:21" x14ac:dyDescent="0.25">
      <c r="T94" s="9">
        <f>IF(C94&lt;&gt;0,C94-Gear!$C$11,0)</f>
        <v>0</v>
      </c>
      <c r="U94" s="9">
        <f>IF(C94&lt;&gt;0,C94-Gear!$C$11,0)</f>
        <v>0</v>
      </c>
    </row>
    <row r="95" spans="20:21" x14ac:dyDescent="0.25">
      <c r="T95" s="9">
        <f>IF(C95&lt;&gt;0,C95-Gear!$C$11,0)</f>
        <v>0</v>
      </c>
      <c r="U95" s="9">
        <f>IF(C95&lt;&gt;0,C95-Gear!$C$11,0)</f>
        <v>0</v>
      </c>
    </row>
    <row r="96" spans="20:21" x14ac:dyDescent="0.25">
      <c r="T96" s="9">
        <f>IF(C96&lt;&gt;0,C96-Gear!$C$11,0)</f>
        <v>0</v>
      </c>
      <c r="U96" s="9">
        <f>IF(C96&lt;&gt;0,C96-Gear!$C$11,0)</f>
        <v>0</v>
      </c>
    </row>
    <row r="97" spans="20:21" x14ac:dyDescent="0.25">
      <c r="T97" s="9">
        <f>IF(C97&lt;&gt;0,C97-Gear!$C$11,0)</f>
        <v>0</v>
      </c>
      <c r="U97" s="9">
        <f>IF(C97&lt;&gt;0,C97-Gear!$C$11,0)</f>
        <v>0</v>
      </c>
    </row>
    <row r="98" spans="20:21" x14ac:dyDescent="0.25">
      <c r="T98" s="9">
        <f>IF(C98&lt;&gt;0,C98-Gear!$C$11,0)</f>
        <v>0</v>
      </c>
      <c r="U98" s="9">
        <f>IF(C98&lt;&gt;0,C98-Gear!$C$11,0)</f>
        <v>0</v>
      </c>
    </row>
    <row r="99" spans="20:21" x14ac:dyDescent="0.25">
      <c r="T99" s="9">
        <f>IF(C99&lt;&gt;0,C99-Gear!$C$11,0)</f>
        <v>0</v>
      </c>
      <c r="U99" s="9">
        <f>IF(C99&lt;&gt;0,C99-Gear!$C$11,0)</f>
        <v>0</v>
      </c>
    </row>
    <row r="100" spans="20:21" x14ac:dyDescent="0.25">
      <c r="T100" s="9">
        <f>IF(C100&lt;&gt;0,C100-Gear!$C$11,0)</f>
        <v>0</v>
      </c>
      <c r="U100" s="9">
        <f>IF(C100&lt;&gt;0,C100-Gear!$C$11,0)</f>
        <v>0</v>
      </c>
    </row>
    <row r="101" spans="20:21" x14ac:dyDescent="0.25">
      <c r="T101" s="9">
        <f>IF(C101&lt;&gt;0,C101-Gear!$C$11,0)</f>
        <v>0</v>
      </c>
      <c r="U101" s="9">
        <f>IF(C101&lt;&gt;0,C101-Gear!$C$11,0)</f>
        <v>0</v>
      </c>
    </row>
    <row r="102" spans="20:21" x14ac:dyDescent="0.25">
      <c r="T102" s="9">
        <f>IF(C102&lt;&gt;0,C102-Gear!$C$11,0)</f>
        <v>0</v>
      </c>
      <c r="U102" s="9">
        <f>IF(C102&lt;&gt;0,C102-Gear!$C$11,0)</f>
        <v>0</v>
      </c>
    </row>
    <row r="103" spans="20:21" x14ac:dyDescent="0.25">
      <c r="T103" s="9">
        <f>IF(C103&lt;&gt;0,C103-Gear!$C$11,0)</f>
        <v>0</v>
      </c>
      <c r="U103" s="9">
        <f>IF(C103&lt;&gt;0,C103-Gear!$C$11,0)</f>
        <v>0</v>
      </c>
    </row>
    <row r="104" spans="20:21" x14ac:dyDescent="0.25">
      <c r="T104" s="9">
        <f>IF(C104&lt;&gt;0,C104-Gear!$C$11,0)</f>
        <v>0</v>
      </c>
      <c r="U104" s="9">
        <f>IF(C104&lt;&gt;0,C104-Gear!$C$11,0)</f>
        <v>0</v>
      </c>
    </row>
    <row r="105" spans="20:21" x14ac:dyDescent="0.25">
      <c r="T105" s="9">
        <f>IF(C105&lt;&gt;0,C105-Gear!$C$11,0)</f>
        <v>0</v>
      </c>
      <c r="U105" s="9">
        <f>IF(C105&lt;&gt;0,C105-Gear!$C$11,0)</f>
        <v>0</v>
      </c>
    </row>
    <row r="106" spans="20:21" x14ac:dyDescent="0.25">
      <c r="T106" s="9">
        <f>IF(C106&lt;&gt;0,C106-Gear!$C$11,0)</f>
        <v>0</v>
      </c>
      <c r="U106" s="9">
        <f>IF(C106&lt;&gt;0,C106-Gear!$C$11,0)</f>
        <v>0</v>
      </c>
    </row>
    <row r="107" spans="20:21" x14ac:dyDescent="0.25">
      <c r="T107" s="9">
        <f>IF(C107&lt;&gt;0,C107-Gear!$C$11,0)</f>
        <v>0</v>
      </c>
      <c r="U107" s="9">
        <f>IF(C107&lt;&gt;0,C107-Gear!$C$11,0)</f>
        <v>0</v>
      </c>
    </row>
    <row r="108" spans="20:21" x14ac:dyDescent="0.25">
      <c r="T108" s="9">
        <f>IF(C108&lt;&gt;0,C108-Gear!$C$11,0)</f>
        <v>0</v>
      </c>
      <c r="U108" s="9">
        <f>IF(C108&lt;&gt;0,C108-Gear!$C$11,0)</f>
        <v>0</v>
      </c>
    </row>
    <row r="109" spans="20:21" x14ac:dyDescent="0.25">
      <c r="T109" s="9">
        <f>IF(C109&lt;&gt;0,C109-Gear!$C$11,0)</f>
        <v>0</v>
      </c>
      <c r="U109" s="9">
        <f>IF(C109&lt;&gt;0,C109-Gear!$C$11,0)</f>
        <v>0</v>
      </c>
    </row>
    <row r="110" spans="20:21" x14ac:dyDescent="0.25">
      <c r="T110" s="9">
        <f>IF(C110&lt;&gt;0,C110-Gear!$C$11,0)</f>
        <v>0</v>
      </c>
      <c r="U110" s="9">
        <f>IF(C110&lt;&gt;0,C110-Gear!$C$11,0)</f>
        <v>0</v>
      </c>
    </row>
    <row r="111" spans="20:21" x14ac:dyDescent="0.25">
      <c r="T111" s="9">
        <f>IF(C111&lt;&gt;0,C111-Gear!$C$11,0)</f>
        <v>0</v>
      </c>
      <c r="U111" s="9">
        <f>IF(C111&lt;&gt;0,C111-Gear!$C$11,0)</f>
        <v>0</v>
      </c>
    </row>
    <row r="112" spans="20:21" x14ac:dyDescent="0.25">
      <c r="T112" s="9">
        <f>IF(C112&lt;&gt;0,C112-Gear!$C$11,0)</f>
        <v>0</v>
      </c>
      <c r="U112" s="9">
        <f>IF(C112&lt;&gt;0,C112-Gear!$C$11,0)</f>
        <v>0</v>
      </c>
    </row>
    <row r="113" spans="20:21" x14ac:dyDescent="0.25">
      <c r="T113" s="9">
        <f>IF(C113&lt;&gt;0,C113-Gear!$C$11,0)</f>
        <v>0</v>
      </c>
      <c r="U113" s="9">
        <f>IF(C113&lt;&gt;0,C113-Gear!$C$11,0)</f>
        <v>0</v>
      </c>
    </row>
    <row r="114" spans="20:21" x14ac:dyDescent="0.25">
      <c r="T114" s="9">
        <f>IF(C114&lt;&gt;0,C114-Gear!$C$11,0)</f>
        <v>0</v>
      </c>
      <c r="U114" s="9">
        <f>IF(C114&lt;&gt;0,C114-Gear!$C$11,0)</f>
        <v>0</v>
      </c>
    </row>
    <row r="115" spans="20:21" x14ac:dyDescent="0.25">
      <c r="T115" s="9">
        <f>IF(C115&lt;&gt;0,C115-Gear!$C$11,0)</f>
        <v>0</v>
      </c>
      <c r="U115" s="9">
        <f>IF(C115&lt;&gt;0,C115-Gear!$C$11,0)</f>
        <v>0</v>
      </c>
    </row>
    <row r="116" spans="20:21" x14ac:dyDescent="0.25">
      <c r="T116" s="9">
        <f>IF(C116&lt;&gt;0,C116-Gear!$C$11,0)</f>
        <v>0</v>
      </c>
      <c r="U116" s="9">
        <f>IF(C116&lt;&gt;0,C116-Gear!$C$11,0)</f>
        <v>0</v>
      </c>
    </row>
    <row r="117" spans="20:21" x14ac:dyDescent="0.25">
      <c r="T117" s="9">
        <f>IF(C117&lt;&gt;0,C117-Gear!$C$11,0)</f>
        <v>0</v>
      </c>
      <c r="U117" s="9">
        <f>IF(C117&lt;&gt;0,C117-Gear!$C$11,0)</f>
        <v>0</v>
      </c>
    </row>
    <row r="118" spans="20:21" x14ac:dyDescent="0.25">
      <c r="T118" s="9">
        <f>IF(C118&lt;&gt;0,C118-Gear!$C$11,0)</f>
        <v>0</v>
      </c>
      <c r="U118" s="9">
        <f>IF(C118&lt;&gt;0,C118-Gear!$C$11,0)</f>
        <v>0</v>
      </c>
    </row>
    <row r="119" spans="20:21" x14ac:dyDescent="0.25">
      <c r="T119" s="9">
        <f>IF(C119&lt;&gt;0,C119-Gear!$C$11,0)</f>
        <v>0</v>
      </c>
      <c r="U119" s="9">
        <f>IF(C119&lt;&gt;0,C119-Gear!$C$11,0)</f>
        <v>0</v>
      </c>
    </row>
    <row r="120" spans="20:21" x14ac:dyDescent="0.25">
      <c r="T120" s="9">
        <f>IF(C120&lt;&gt;0,C120-Gear!$C$11,0)</f>
        <v>0</v>
      </c>
      <c r="U120" s="9">
        <f>IF(C120&lt;&gt;0,C120-Gear!$C$11,0)</f>
        <v>0</v>
      </c>
    </row>
    <row r="121" spans="20:21" x14ac:dyDescent="0.25">
      <c r="T121" s="9">
        <f>IF(C121&lt;&gt;0,C121-Gear!$C$11,0)</f>
        <v>0</v>
      </c>
      <c r="U121" s="9">
        <f>IF(C121&lt;&gt;0,C121-Gear!$C$11,0)</f>
        <v>0</v>
      </c>
    </row>
    <row r="122" spans="20:21" x14ac:dyDescent="0.25">
      <c r="T122" s="9">
        <f>IF(C122&lt;&gt;0,C122-Gear!$C$11,0)</f>
        <v>0</v>
      </c>
      <c r="U122" s="9">
        <f>IF(C122&lt;&gt;0,C122-Gear!$C$11,0)</f>
        <v>0</v>
      </c>
    </row>
    <row r="123" spans="20:21" x14ac:dyDescent="0.25">
      <c r="T123" s="9">
        <f>IF(C123&lt;&gt;0,C123-Gear!$C$11,0)</f>
        <v>0</v>
      </c>
      <c r="U123" s="9">
        <f>IF(C123&lt;&gt;0,C123-Gear!$C$11,0)</f>
        <v>0</v>
      </c>
    </row>
    <row r="124" spans="20:21" x14ac:dyDescent="0.25">
      <c r="T124" s="9">
        <f>IF(C124&lt;&gt;0,C124-Gear!$C$11,0)</f>
        <v>0</v>
      </c>
      <c r="U124" s="9">
        <f>IF(C124&lt;&gt;0,C124-Gear!$C$11,0)</f>
        <v>0</v>
      </c>
    </row>
    <row r="125" spans="20:21" x14ac:dyDescent="0.25">
      <c r="T125" s="9">
        <f>IF(C125&lt;&gt;0,C125-Gear!$C$11,0)</f>
        <v>0</v>
      </c>
      <c r="U125" s="9">
        <f>IF(C125&lt;&gt;0,C125-Gear!$C$11,0)</f>
        <v>0</v>
      </c>
    </row>
    <row r="126" spans="20:21" x14ac:dyDescent="0.25">
      <c r="T126" s="9">
        <f>IF(C126&lt;&gt;0,C126-Gear!$C$11,0)</f>
        <v>0</v>
      </c>
      <c r="U126" s="9">
        <f>IF(C126&lt;&gt;0,C126-Gear!$C$11,0)</f>
        <v>0</v>
      </c>
    </row>
    <row r="127" spans="20:21" x14ac:dyDescent="0.25">
      <c r="T127" s="9">
        <f>IF(C127&lt;&gt;0,C127-Gear!$C$11,0)</f>
        <v>0</v>
      </c>
      <c r="U127" s="9">
        <f>IF(C127&lt;&gt;0,C127-Gear!$C$11,0)</f>
        <v>0</v>
      </c>
    </row>
    <row r="128" spans="20:21" x14ac:dyDescent="0.25">
      <c r="T128" s="9">
        <f>IF(C128&lt;&gt;0,C128-Gear!$C$11,0)</f>
        <v>0</v>
      </c>
      <c r="U128" s="9">
        <f>IF(C128&lt;&gt;0,C128-Gear!$C$11,0)</f>
        <v>0</v>
      </c>
    </row>
    <row r="129" spans="20:21" x14ac:dyDescent="0.25">
      <c r="T129" s="9">
        <f>IF(C129&lt;&gt;0,C129-Gear!$C$11,0)</f>
        <v>0</v>
      </c>
      <c r="U129" s="9">
        <f>IF(C129&lt;&gt;0,C129-Gear!$C$11,0)</f>
        <v>0</v>
      </c>
    </row>
    <row r="130" spans="20:21" x14ac:dyDescent="0.25">
      <c r="T130" s="9">
        <f>IF(C130&lt;&gt;0,C130-Gear!$C$11,0)</f>
        <v>0</v>
      </c>
      <c r="U130" s="9">
        <f>IF(C130&lt;&gt;0,C130-Gear!$C$11,0)</f>
        <v>0</v>
      </c>
    </row>
    <row r="131" spans="20:21" x14ac:dyDescent="0.25">
      <c r="T131" s="9">
        <f>IF(C131&lt;&gt;0,C131-Gear!$C$11,0)</f>
        <v>0</v>
      </c>
      <c r="U131" s="9">
        <f>IF(C131&lt;&gt;0,C131-Gear!$C$11,0)</f>
        <v>0</v>
      </c>
    </row>
    <row r="132" spans="20:21" x14ac:dyDescent="0.25">
      <c r="T132" s="9">
        <f>IF(C132&lt;&gt;0,C132-Gear!$C$11,0)</f>
        <v>0</v>
      </c>
      <c r="U132" s="9">
        <f>IF(C132&lt;&gt;0,C132-Gear!$C$11,0)</f>
        <v>0</v>
      </c>
    </row>
    <row r="133" spans="20:21" x14ac:dyDescent="0.25">
      <c r="T133" s="9">
        <f>IF(C133&lt;&gt;0,C133-Gear!$C$11,0)</f>
        <v>0</v>
      </c>
      <c r="U133" s="9">
        <f>IF(C133&lt;&gt;0,C133-Gear!$C$11,0)</f>
        <v>0</v>
      </c>
    </row>
    <row r="134" spans="20:21" x14ac:dyDescent="0.25">
      <c r="T134" s="9">
        <f>IF(C134&lt;&gt;0,C134-Gear!$C$11,0)</f>
        <v>0</v>
      </c>
      <c r="U134" s="9">
        <f>IF(C134&lt;&gt;0,C134-Gear!$C$11,0)</f>
        <v>0</v>
      </c>
    </row>
    <row r="135" spans="20:21" x14ac:dyDescent="0.25">
      <c r="T135" s="9">
        <f>IF(C135&lt;&gt;0,C135-Gear!$C$11,0)</f>
        <v>0</v>
      </c>
      <c r="U135" s="9">
        <f>IF(C135&lt;&gt;0,C135-Gear!$C$11,0)</f>
        <v>0</v>
      </c>
    </row>
    <row r="136" spans="20:21" x14ac:dyDescent="0.25">
      <c r="T136" s="9">
        <f>IF(C136&lt;&gt;0,C136-Gear!$C$11,0)</f>
        <v>0</v>
      </c>
      <c r="U136" s="9">
        <f>IF(C136&lt;&gt;0,C136-Gear!$C$11,0)</f>
        <v>0</v>
      </c>
    </row>
    <row r="137" spans="20:21" x14ac:dyDescent="0.25">
      <c r="T137" s="9">
        <f>IF(C137&lt;&gt;0,C137-Gear!$C$11,0)</f>
        <v>0</v>
      </c>
      <c r="U137" s="9">
        <f>IF(C137&lt;&gt;0,C137-Gear!$C$11,0)</f>
        <v>0</v>
      </c>
    </row>
    <row r="138" spans="20:21" x14ac:dyDescent="0.25">
      <c r="T138" s="9">
        <f>IF(C138&lt;&gt;0,C138-Gear!$C$11,0)</f>
        <v>0</v>
      </c>
      <c r="U138" s="9">
        <f>IF(C138&lt;&gt;0,C138-Gear!$C$11,0)</f>
        <v>0</v>
      </c>
    </row>
    <row r="139" spans="20:21" x14ac:dyDescent="0.25">
      <c r="T139" s="9">
        <f>IF(C139&lt;&gt;0,C139-Gear!$C$11,0)</f>
        <v>0</v>
      </c>
      <c r="U139" s="9">
        <f>IF(C139&lt;&gt;0,C139-Gear!$C$11,0)</f>
        <v>0</v>
      </c>
    </row>
    <row r="140" spans="20:21" x14ac:dyDescent="0.25">
      <c r="T140" s="9">
        <f>IF(C140&lt;&gt;0,C140-Gear!$C$11,0)</f>
        <v>0</v>
      </c>
      <c r="U140" s="9">
        <f>IF(C140&lt;&gt;0,C140-Gear!$C$11,0)</f>
        <v>0</v>
      </c>
    </row>
    <row r="141" spans="20:21" x14ac:dyDescent="0.25">
      <c r="T141" s="9">
        <f>IF(C141&lt;&gt;0,C141-Gear!$C$11,0)</f>
        <v>0</v>
      </c>
      <c r="U141" s="9">
        <f>IF(C141&lt;&gt;0,C141-Gear!$C$11,0)</f>
        <v>0</v>
      </c>
    </row>
    <row r="142" spans="20:21" x14ac:dyDescent="0.25">
      <c r="T142" s="9">
        <f>IF(C142&lt;&gt;0,C142-Gear!$C$11,0)</f>
        <v>0</v>
      </c>
      <c r="U142" s="9">
        <f>IF(C142&lt;&gt;0,C142-Gear!$C$11,0)</f>
        <v>0</v>
      </c>
    </row>
    <row r="143" spans="20:21" x14ac:dyDescent="0.25">
      <c r="T143" s="9">
        <f>IF(C143&lt;&gt;0,C143-Gear!$C$11,0)</f>
        <v>0</v>
      </c>
      <c r="U143" s="9">
        <f>IF(C143&lt;&gt;0,C143-Gear!$C$11,0)</f>
        <v>0</v>
      </c>
    </row>
    <row r="144" spans="20:21" x14ac:dyDescent="0.25">
      <c r="T144" s="9">
        <f>IF(C144&lt;&gt;0,C144-Gear!$C$11,0)</f>
        <v>0</v>
      </c>
      <c r="U144" s="9">
        <f>IF(C144&lt;&gt;0,C144-Gear!$C$11,0)</f>
        <v>0</v>
      </c>
    </row>
    <row r="145" spans="20:21" x14ac:dyDescent="0.25">
      <c r="T145" s="9">
        <f>IF(C145&lt;&gt;0,C145-Gear!$C$11,0)</f>
        <v>0</v>
      </c>
      <c r="U145" s="9">
        <f>IF(C145&lt;&gt;0,C145-Gear!$C$11,0)</f>
        <v>0</v>
      </c>
    </row>
    <row r="146" spans="20:21" x14ac:dyDescent="0.25">
      <c r="T146" s="9">
        <f>IF(C146&lt;&gt;0,C146-Gear!$C$11,0)</f>
        <v>0</v>
      </c>
      <c r="U146" s="9">
        <f>IF(C146&lt;&gt;0,C146-Gear!$C$11,0)</f>
        <v>0</v>
      </c>
    </row>
    <row r="147" spans="20:21" x14ac:dyDescent="0.25">
      <c r="T147" s="9">
        <f>IF(C147&lt;&gt;0,C147-Gear!$C$11,0)</f>
        <v>0</v>
      </c>
      <c r="U147" s="9">
        <f>IF(C147&lt;&gt;0,C147-Gear!$C$11,0)</f>
        <v>0</v>
      </c>
    </row>
    <row r="148" spans="20:21" x14ac:dyDescent="0.25">
      <c r="T148" s="9">
        <f>IF(C148&lt;&gt;0,C148-Gear!$C$11,0)</f>
        <v>0</v>
      </c>
      <c r="U148" s="9">
        <f>IF(C148&lt;&gt;0,C148-Gear!$C$11,0)</f>
        <v>0</v>
      </c>
    </row>
    <row r="149" spans="20:21" x14ac:dyDescent="0.25">
      <c r="T149" s="9">
        <f>IF(C149&lt;&gt;0,C149-Gear!$C$11,0)</f>
        <v>0</v>
      </c>
      <c r="U149" s="9">
        <f>IF(C149&lt;&gt;0,C149-Gear!$C$11,0)</f>
        <v>0</v>
      </c>
    </row>
    <row r="150" spans="20:21" x14ac:dyDescent="0.25">
      <c r="T150" s="9">
        <f>IF(C150&lt;&gt;0,C150-Gear!$C$11,0)</f>
        <v>0</v>
      </c>
      <c r="U150" s="9">
        <f>IF(C150&lt;&gt;0,C150-Gear!$C$11,0)</f>
        <v>0</v>
      </c>
    </row>
    <row r="151" spans="20:21" x14ac:dyDescent="0.25">
      <c r="T151" s="9">
        <f>IF(C151&lt;&gt;0,C151-Gear!$C$11,0)</f>
        <v>0</v>
      </c>
      <c r="U151" s="9">
        <f>IF(C151&lt;&gt;0,C151-Gear!$C$11,0)</f>
        <v>0</v>
      </c>
    </row>
    <row r="152" spans="20:21" x14ac:dyDescent="0.25">
      <c r="T152" s="9">
        <f>IF(C152&lt;&gt;0,C152-Gear!$C$11,0)</f>
        <v>0</v>
      </c>
      <c r="U152" s="9">
        <f>IF(C152&lt;&gt;0,C152-Gear!$C$11,0)</f>
        <v>0</v>
      </c>
    </row>
    <row r="153" spans="20:21" x14ac:dyDescent="0.25">
      <c r="T153" s="9">
        <f>IF(C153&lt;&gt;0,C153-Gear!$C$11,0)</f>
        <v>0</v>
      </c>
      <c r="U153" s="9">
        <f>IF(C153&lt;&gt;0,C153-Gear!$C$11,0)</f>
        <v>0</v>
      </c>
    </row>
    <row r="154" spans="20:21" x14ac:dyDescent="0.25">
      <c r="T154" s="9">
        <f>IF(C154&lt;&gt;0,C154-Gear!$C$11,0)</f>
        <v>0</v>
      </c>
      <c r="U154" s="9">
        <f>IF(C154&lt;&gt;0,C154-Gear!$C$11,0)</f>
        <v>0</v>
      </c>
    </row>
    <row r="155" spans="20:21" x14ac:dyDescent="0.25">
      <c r="T155" s="9">
        <f>IF(C155&lt;&gt;0,C155-Gear!$C$11,0)</f>
        <v>0</v>
      </c>
      <c r="U155" s="9">
        <f>IF(C155&lt;&gt;0,C155-Gear!$C$11,0)</f>
        <v>0</v>
      </c>
    </row>
    <row r="156" spans="20:21" x14ac:dyDescent="0.25">
      <c r="T156" s="9">
        <f>IF(C156&lt;&gt;0,C156-Gear!$C$11,0)</f>
        <v>0</v>
      </c>
      <c r="U156" s="9">
        <f>IF(C156&lt;&gt;0,C156-Gear!$C$11,0)</f>
        <v>0</v>
      </c>
    </row>
    <row r="157" spans="20:21" x14ac:dyDescent="0.25">
      <c r="T157" s="9">
        <f>IF(C157&lt;&gt;0,C157-Gear!$C$11,0)</f>
        <v>0</v>
      </c>
      <c r="U157" s="9">
        <f>IF(C157&lt;&gt;0,C157-Gear!$C$11,0)</f>
        <v>0</v>
      </c>
    </row>
    <row r="158" spans="20:21" x14ac:dyDescent="0.25">
      <c r="T158" s="9">
        <f>IF(C158&lt;&gt;0,C158-Gear!$C$11,0)</f>
        <v>0</v>
      </c>
      <c r="U158" s="9">
        <f>IF(C158&lt;&gt;0,C158-Gear!$C$11,0)</f>
        <v>0</v>
      </c>
    </row>
    <row r="159" spans="20:21" x14ac:dyDescent="0.25">
      <c r="T159" s="9">
        <f>IF(C159&lt;&gt;0,C159-Gear!$C$11,0)</f>
        <v>0</v>
      </c>
      <c r="U159" s="9">
        <f>IF(C159&lt;&gt;0,C159-Gear!$C$11,0)</f>
        <v>0</v>
      </c>
    </row>
    <row r="160" spans="20:21" x14ac:dyDescent="0.25">
      <c r="T160" s="9">
        <f>IF(C160&lt;&gt;0,C160-Gear!$C$11,0)</f>
        <v>0</v>
      </c>
      <c r="U160" s="9">
        <f>IF(C160&lt;&gt;0,C160-Gear!$C$11,0)</f>
        <v>0</v>
      </c>
    </row>
    <row r="161" spans="20:21" x14ac:dyDescent="0.25">
      <c r="T161" s="9">
        <f>IF(C161&lt;&gt;0,C161-Gear!$C$11,0)</f>
        <v>0</v>
      </c>
      <c r="U161" s="9">
        <f>IF(C161&lt;&gt;0,C161-Gear!$C$11,0)</f>
        <v>0</v>
      </c>
    </row>
    <row r="162" spans="20:21" x14ac:dyDescent="0.25">
      <c r="T162" s="9">
        <f>IF(C162&lt;&gt;0,C162-Gear!$C$11,0)</f>
        <v>0</v>
      </c>
      <c r="U162" s="9">
        <f>IF(C162&lt;&gt;0,C162-Gear!$C$11,0)</f>
        <v>0</v>
      </c>
    </row>
    <row r="163" spans="20:21" x14ac:dyDescent="0.25">
      <c r="T163" s="9">
        <f>IF(C163&lt;&gt;0,C163-Gear!$C$11,0)</f>
        <v>0</v>
      </c>
      <c r="U163" s="9">
        <f>IF(C163&lt;&gt;0,C163-Gear!$C$11,0)</f>
        <v>0</v>
      </c>
    </row>
    <row r="164" spans="20:21" x14ac:dyDescent="0.25">
      <c r="T164" s="9">
        <f>IF(C164&lt;&gt;0,C164-Gear!$C$11,0)</f>
        <v>0</v>
      </c>
      <c r="U164" s="9">
        <f>IF(C164&lt;&gt;0,C164-Gear!$C$11,0)</f>
        <v>0</v>
      </c>
    </row>
    <row r="165" spans="20:21" x14ac:dyDescent="0.25">
      <c r="T165" s="9">
        <f>IF(C165&lt;&gt;0,C165-Gear!$C$11,0)</f>
        <v>0</v>
      </c>
      <c r="U165" s="9">
        <f>IF(C165&lt;&gt;0,C165-Gear!$C$11,0)</f>
        <v>0</v>
      </c>
    </row>
    <row r="166" spans="20:21" x14ac:dyDescent="0.25">
      <c r="T166" s="9">
        <f>IF(C166&lt;&gt;0,C166-Gear!$C$11,0)</f>
        <v>0</v>
      </c>
      <c r="U166" s="9">
        <f>IF(C166&lt;&gt;0,C166-Gear!$C$11,0)</f>
        <v>0</v>
      </c>
    </row>
    <row r="167" spans="20:21" x14ac:dyDescent="0.25">
      <c r="T167" s="9">
        <f>IF(C167&lt;&gt;0,C167-Gear!$C$11,0)</f>
        <v>0</v>
      </c>
      <c r="U167" s="9">
        <f>IF(C167&lt;&gt;0,C167-Gear!$C$11,0)</f>
        <v>0</v>
      </c>
    </row>
    <row r="168" spans="20:21" x14ac:dyDescent="0.25">
      <c r="T168" s="9">
        <f>IF(C168&lt;&gt;0,C168-Gear!$C$11,0)</f>
        <v>0</v>
      </c>
      <c r="U168" s="9">
        <f>IF(C168&lt;&gt;0,C168-Gear!$C$11,0)</f>
        <v>0</v>
      </c>
    </row>
    <row r="169" spans="20:21" x14ac:dyDescent="0.25">
      <c r="T169" s="9">
        <f>IF(C169&lt;&gt;0,C169-Gear!$C$11,0)</f>
        <v>0</v>
      </c>
      <c r="U169" s="9">
        <f>IF(C169&lt;&gt;0,C169-Gear!$C$11,0)</f>
        <v>0</v>
      </c>
    </row>
    <row r="170" spans="20:21" x14ac:dyDescent="0.25">
      <c r="T170" s="9">
        <f>IF(C170&lt;&gt;0,C170-Gear!$C$11,0)</f>
        <v>0</v>
      </c>
      <c r="U170" s="9">
        <f>IF(C170&lt;&gt;0,C170-Gear!$C$11,0)</f>
        <v>0</v>
      </c>
    </row>
    <row r="171" spans="20:21" x14ac:dyDescent="0.25">
      <c r="T171" s="9">
        <f>IF(C171&lt;&gt;0,C171-Gear!$C$11,0)</f>
        <v>0</v>
      </c>
      <c r="U171" s="9">
        <f>IF(C171&lt;&gt;0,C171-Gear!$C$11,0)</f>
        <v>0</v>
      </c>
    </row>
    <row r="172" spans="20:21" x14ac:dyDescent="0.25">
      <c r="T172" s="9">
        <f>IF(C172&lt;&gt;0,C172-Gear!$C$11,0)</f>
        <v>0</v>
      </c>
      <c r="U172" s="9">
        <f>IF(C172&lt;&gt;0,C172-Gear!$C$11,0)</f>
        <v>0</v>
      </c>
    </row>
    <row r="173" spans="20:21" x14ac:dyDescent="0.25">
      <c r="T173" s="9">
        <f>IF(C173&lt;&gt;0,C173-Gear!$C$11,0)</f>
        <v>0</v>
      </c>
      <c r="U173" s="9">
        <f>IF(C173&lt;&gt;0,C173-Gear!$C$11,0)</f>
        <v>0</v>
      </c>
    </row>
    <row r="174" spans="20:21" x14ac:dyDescent="0.25">
      <c r="T174" s="9">
        <f>IF(C174&lt;&gt;0,C174-Gear!$C$11,0)</f>
        <v>0</v>
      </c>
      <c r="U174" s="9">
        <f>IF(C174&lt;&gt;0,C174-Gear!$C$11,0)</f>
        <v>0</v>
      </c>
    </row>
    <row r="175" spans="20:21" x14ac:dyDescent="0.25">
      <c r="T175" s="9">
        <f>IF(C175&lt;&gt;0,C175-Gear!$C$11,0)</f>
        <v>0</v>
      </c>
      <c r="U175" s="9">
        <f>IF(C175&lt;&gt;0,C175-Gear!$C$11,0)</f>
        <v>0</v>
      </c>
    </row>
    <row r="176" spans="20:21" x14ac:dyDescent="0.25">
      <c r="T176" s="9">
        <f>IF(C176&lt;&gt;0,C176-Gear!$C$11,0)</f>
        <v>0</v>
      </c>
      <c r="U176" s="9">
        <f>IF(C176&lt;&gt;0,C176-Gear!$C$11,0)</f>
        <v>0</v>
      </c>
    </row>
    <row r="177" spans="20:21" x14ac:dyDescent="0.25">
      <c r="T177" s="9">
        <f>IF(C177&lt;&gt;0,C177-Gear!$C$11,0)</f>
        <v>0</v>
      </c>
      <c r="U177" s="9">
        <f>IF(C177&lt;&gt;0,C177-Gear!$C$11,0)</f>
        <v>0</v>
      </c>
    </row>
    <row r="178" spans="20:21" x14ac:dyDescent="0.25">
      <c r="T178" s="9">
        <f>IF(C178&lt;&gt;0,C178-Gear!$C$11,0)</f>
        <v>0</v>
      </c>
      <c r="U178" s="9">
        <f>IF(C178&lt;&gt;0,C178-Gear!$C$11,0)</f>
        <v>0</v>
      </c>
    </row>
    <row r="179" spans="20:21" x14ac:dyDescent="0.25">
      <c r="T179" s="9">
        <f>IF(C179&lt;&gt;0,C179-Gear!$C$11,0)</f>
        <v>0</v>
      </c>
      <c r="U179" s="9">
        <f>IF(C179&lt;&gt;0,C179-Gear!$C$11,0)</f>
        <v>0</v>
      </c>
    </row>
    <row r="180" spans="20:21" x14ac:dyDescent="0.25">
      <c r="T180" s="9">
        <f>IF(C180&lt;&gt;0,C180-Gear!$C$11,0)</f>
        <v>0</v>
      </c>
      <c r="U180" s="9">
        <f>IF(C180&lt;&gt;0,C180-Gear!$C$11,0)</f>
        <v>0</v>
      </c>
    </row>
    <row r="181" spans="20:21" x14ac:dyDescent="0.25">
      <c r="T181" s="9">
        <f>IF(C181&lt;&gt;0,C181-Gear!$C$11,0)</f>
        <v>0</v>
      </c>
      <c r="U181" s="9">
        <f>IF(C181&lt;&gt;0,C181-Gear!$C$11,0)</f>
        <v>0</v>
      </c>
    </row>
    <row r="182" spans="20:21" x14ac:dyDescent="0.25">
      <c r="T182" s="9">
        <f>IF(C182&lt;&gt;0,C182-Gear!$C$11,0)</f>
        <v>0</v>
      </c>
      <c r="U182" s="9">
        <f>IF(C182&lt;&gt;0,C182-Gear!$C$11,0)</f>
        <v>0</v>
      </c>
    </row>
    <row r="183" spans="20:21" x14ac:dyDescent="0.25">
      <c r="T183" s="9">
        <f>IF(C183&lt;&gt;0,C183-Gear!$C$11,0)</f>
        <v>0</v>
      </c>
      <c r="U183" s="9">
        <f>IF(C183&lt;&gt;0,C183-Gear!$C$11,0)</f>
        <v>0</v>
      </c>
    </row>
    <row r="184" spans="20:21" x14ac:dyDescent="0.25">
      <c r="T184" s="9">
        <f>IF(C184&lt;&gt;0,C184-Gear!$C$11,0)</f>
        <v>0</v>
      </c>
      <c r="U184" s="9">
        <f>IF(C184&lt;&gt;0,C184-Gear!$C$11,0)</f>
        <v>0</v>
      </c>
    </row>
    <row r="185" spans="20:21" x14ac:dyDescent="0.25">
      <c r="T185" s="9">
        <f>IF(C185&lt;&gt;0,C185-Gear!$C$11,0)</f>
        <v>0</v>
      </c>
      <c r="U185" s="9">
        <f>IF(C185&lt;&gt;0,C185-Gear!$C$11,0)</f>
        <v>0</v>
      </c>
    </row>
    <row r="186" spans="20:21" x14ac:dyDescent="0.25">
      <c r="T186" s="9">
        <f>IF(C186&lt;&gt;0,C186-Gear!$C$11,0)</f>
        <v>0</v>
      </c>
      <c r="U186" s="9">
        <f>IF(C186&lt;&gt;0,C186-Gear!$C$11,0)</f>
        <v>0</v>
      </c>
    </row>
    <row r="187" spans="20:21" x14ac:dyDescent="0.25">
      <c r="T187" s="9">
        <f>IF(C187&lt;&gt;0,C187-Gear!$C$11,0)</f>
        <v>0</v>
      </c>
      <c r="U187" s="9">
        <f>IF(C187&lt;&gt;0,C187-Gear!$C$11,0)</f>
        <v>0</v>
      </c>
    </row>
    <row r="188" spans="20:21" x14ac:dyDescent="0.25">
      <c r="T188" s="9">
        <f>IF(C188&lt;&gt;0,C188-Gear!$C$11,0)</f>
        <v>0</v>
      </c>
      <c r="U188" s="9">
        <f>IF(C188&lt;&gt;0,C188-Gear!$C$11,0)</f>
        <v>0</v>
      </c>
    </row>
    <row r="189" spans="20:21" x14ac:dyDescent="0.25">
      <c r="T189" s="9">
        <f>IF(C189&lt;&gt;0,C189-Gear!$C$11,0)</f>
        <v>0</v>
      </c>
      <c r="U189" s="9">
        <f>IF(C189&lt;&gt;0,C189-Gear!$C$11,0)</f>
        <v>0</v>
      </c>
    </row>
    <row r="190" spans="20:21" x14ac:dyDescent="0.25">
      <c r="T190" s="9">
        <f>IF(C190&lt;&gt;0,C190-Gear!$C$11,0)</f>
        <v>0</v>
      </c>
      <c r="U190" s="9">
        <f>IF(C190&lt;&gt;0,C190-Gear!$C$11,0)</f>
        <v>0</v>
      </c>
    </row>
    <row r="191" spans="20:21" x14ac:dyDescent="0.25">
      <c r="T191" s="9">
        <f>IF(C191&lt;&gt;0,C191-Gear!$C$11,0)</f>
        <v>0</v>
      </c>
      <c r="U191" s="9">
        <f>IF(C191&lt;&gt;0,C191-Gear!$C$11,0)</f>
        <v>0</v>
      </c>
    </row>
    <row r="192" spans="20:21" x14ac:dyDescent="0.25">
      <c r="T192" s="9">
        <f>IF(C192&lt;&gt;0,C192-Gear!$C$11,0)</f>
        <v>0</v>
      </c>
      <c r="U192" s="9">
        <f>IF(C192&lt;&gt;0,C192-Gear!$C$11,0)</f>
        <v>0</v>
      </c>
    </row>
    <row r="193" spans="20:21" x14ac:dyDescent="0.25">
      <c r="T193" s="9">
        <f>IF(C193&lt;&gt;0,C193-Gear!$C$11,0)</f>
        <v>0</v>
      </c>
      <c r="U193" s="9">
        <f>IF(C193&lt;&gt;0,C193-Gear!$C$11,0)</f>
        <v>0</v>
      </c>
    </row>
    <row r="194" spans="20:21" x14ac:dyDescent="0.25">
      <c r="T194" s="9">
        <f>IF(C194&lt;&gt;0,C194-Gear!$C$11,0)</f>
        <v>0</v>
      </c>
      <c r="U194" s="9">
        <f>IF(C194&lt;&gt;0,C194-Gear!$C$11,0)</f>
        <v>0</v>
      </c>
    </row>
    <row r="195" spans="20:21" x14ac:dyDescent="0.25">
      <c r="T195" s="9">
        <f>IF(C195&lt;&gt;0,C195-Gear!$C$11,0)</f>
        <v>0</v>
      </c>
      <c r="U195" s="9">
        <f>IF(C195&lt;&gt;0,C195-Gear!$C$11,0)</f>
        <v>0</v>
      </c>
    </row>
    <row r="196" spans="20:21" x14ac:dyDescent="0.25">
      <c r="T196" s="9">
        <f>IF(C196&lt;&gt;0,C196-Gear!$C$11,0)</f>
        <v>0</v>
      </c>
      <c r="U196" s="9">
        <f>IF(C196&lt;&gt;0,C196-Gear!$C$11,0)</f>
        <v>0</v>
      </c>
    </row>
    <row r="197" spans="20:21" x14ac:dyDescent="0.25">
      <c r="T197" s="9">
        <f>IF(C197&lt;&gt;0,C197-Gear!$C$11,0)</f>
        <v>0</v>
      </c>
      <c r="U197" s="9">
        <f>IF(C197&lt;&gt;0,C197-Gear!$C$11,0)</f>
        <v>0</v>
      </c>
    </row>
    <row r="198" spans="20:21" x14ac:dyDescent="0.25">
      <c r="T198" s="9">
        <f>IF(C198&lt;&gt;0,C198-Gear!$C$11,0)</f>
        <v>0</v>
      </c>
      <c r="U198" s="9">
        <f>IF(C198&lt;&gt;0,C198-Gear!$C$11,0)</f>
        <v>0</v>
      </c>
    </row>
    <row r="199" spans="20:21" x14ac:dyDescent="0.25">
      <c r="T199" s="9">
        <f>IF(C199&lt;&gt;0,C199-Gear!$C$11,0)</f>
        <v>0</v>
      </c>
      <c r="U199" s="9">
        <f>IF(C199&lt;&gt;0,C199-Gear!$C$11,0)</f>
        <v>0</v>
      </c>
    </row>
    <row r="200" spans="20:21" x14ac:dyDescent="0.25">
      <c r="T200" s="9">
        <f>IF(C200&lt;&gt;0,C200-Gear!$C$11,0)</f>
        <v>0</v>
      </c>
      <c r="U200" s="9">
        <f>IF(C200&lt;&gt;0,C200-Gear!$C$11,0)</f>
        <v>0</v>
      </c>
    </row>
    <row r="201" spans="20:21" x14ac:dyDescent="0.25">
      <c r="T201" s="9">
        <f>IF(C201&lt;&gt;0,C201-Gear!$C$11,0)</f>
        <v>0</v>
      </c>
      <c r="U201" s="9">
        <f>IF(C201&lt;&gt;0,C201-Gear!$C$11,0)</f>
        <v>0</v>
      </c>
    </row>
    <row r="202" spans="20:21" x14ac:dyDescent="0.25">
      <c r="T202" s="9">
        <f>IF(C202&lt;&gt;0,C202-Gear!$C$11,0)</f>
        <v>0</v>
      </c>
      <c r="U202" s="9">
        <f>IF(C202&lt;&gt;0,C202-Gear!$C$11,0)</f>
        <v>0</v>
      </c>
    </row>
    <row r="203" spans="20:21" x14ac:dyDescent="0.25">
      <c r="T203" s="9">
        <f>IF(C203&lt;&gt;0,C203-Gear!$C$11,0)</f>
        <v>0</v>
      </c>
      <c r="U203" s="9">
        <f>IF(C203&lt;&gt;0,C203-Gear!$C$11,0)</f>
        <v>0</v>
      </c>
    </row>
    <row r="204" spans="20:21" x14ac:dyDescent="0.25">
      <c r="T204" s="9">
        <f>IF(C204&lt;&gt;0,C204-Gear!$C$11,0)</f>
        <v>0</v>
      </c>
      <c r="U204" s="9">
        <f>IF(C204&lt;&gt;0,C204-Gear!$C$11,0)</f>
        <v>0</v>
      </c>
    </row>
    <row r="205" spans="20:21" x14ac:dyDescent="0.25">
      <c r="T205" s="9">
        <f>IF(C205&lt;&gt;0,C205-Gear!$C$11,0)</f>
        <v>0</v>
      </c>
      <c r="U205" s="9">
        <f>IF(C205&lt;&gt;0,C205-Gear!$C$11,0)</f>
        <v>0</v>
      </c>
    </row>
    <row r="206" spans="20:21" x14ac:dyDescent="0.25">
      <c r="T206" s="9">
        <f>IF(C206&lt;&gt;0,C206-Gear!$C$11,0)</f>
        <v>0</v>
      </c>
      <c r="U206" s="9">
        <f>IF(C206&lt;&gt;0,C206-Gear!$C$11,0)</f>
        <v>0</v>
      </c>
    </row>
    <row r="207" spans="20:21" x14ac:dyDescent="0.25">
      <c r="T207" s="9">
        <f>IF(C207&lt;&gt;0,C207-Gear!$C$11,0)</f>
        <v>0</v>
      </c>
      <c r="U207" s="9">
        <f>IF(C207&lt;&gt;0,C207-Gear!$C$11,0)</f>
        <v>0</v>
      </c>
    </row>
    <row r="208" spans="20:21" x14ac:dyDescent="0.25">
      <c r="T208" s="9">
        <f>IF(C208&lt;&gt;0,C208-Gear!$C$11,0)</f>
        <v>0</v>
      </c>
      <c r="U208" s="9">
        <f>IF(C208&lt;&gt;0,C208-Gear!$C$11,0)</f>
        <v>0</v>
      </c>
    </row>
    <row r="209" spans="20:21" x14ac:dyDescent="0.25">
      <c r="T209" s="9">
        <f>IF(C209&lt;&gt;0,C209-Gear!$C$11,0)</f>
        <v>0</v>
      </c>
      <c r="U209" s="9">
        <f>IF(C209&lt;&gt;0,C209-Gear!$C$11,0)</f>
        <v>0</v>
      </c>
    </row>
    <row r="210" spans="20:21" x14ac:dyDescent="0.25">
      <c r="T210" s="9">
        <f>IF(C210&lt;&gt;0,C210-Gear!$C$11,0)</f>
        <v>0</v>
      </c>
      <c r="U210" s="9">
        <f>IF(C210&lt;&gt;0,C210-Gear!$C$11,0)</f>
        <v>0</v>
      </c>
    </row>
    <row r="211" spans="20:21" x14ac:dyDescent="0.25">
      <c r="T211" s="9">
        <f>IF(C211&lt;&gt;0,C211-Gear!$C$11,0)</f>
        <v>0</v>
      </c>
      <c r="U211" s="9">
        <f>IF(C211&lt;&gt;0,C211-Gear!$C$11,0)</f>
        <v>0</v>
      </c>
    </row>
    <row r="212" spans="20:21" x14ac:dyDescent="0.25">
      <c r="T212" s="9">
        <f>IF(C212&lt;&gt;0,C212-Gear!$C$11,0)</f>
        <v>0</v>
      </c>
      <c r="U212" s="9">
        <f>IF(C212&lt;&gt;0,C212-Gear!$C$11,0)</f>
        <v>0</v>
      </c>
    </row>
    <row r="213" spans="20:21" x14ac:dyDescent="0.25">
      <c r="T213" s="9">
        <f>IF(C213&lt;&gt;0,C213-Gear!$C$11,0)</f>
        <v>0</v>
      </c>
      <c r="U213" s="9">
        <f>IF(C213&lt;&gt;0,C213-Gear!$C$11,0)</f>
        <v>0</v>
      </c>
    </row>
    <row r="214" spans="20:21" x14ac:dyDescent="0.25">
      <c r="T214" s="9">
        <f>IF(C214&lt;&gt;0,C214-Gear!$C$11,0)</f>
        <v>0</v>
      </c>
      <c r="U214" s="9">
        <f>IF(C214&lt;&gt;0,C214-Gear!$C$11,0)</f>
        <v>0</v>
      </c>
    </row>
    <row r="215" spans="20:21" x14ac:dyDescent="0.25">
      <c r="T215" s="9">
        <f>IF(C215&lt;&gt;0,C215-Gear!$C$11,0)</f>
        <v>0</v>
      </c>
      <c r="U215" s="9">
        <f>IF(C215&lt;&gt;0,C215-Gear!$C$11,0)</f>
        <v>0</v>
      </c>
    </row>
    <row r="216" spans="20:21" x14ac:dyDescent="0.25">
      <c r="T216" s="9">
        <f>IF(C216&lt;&gt;0,C216-Gear!$C$11,0)</f>
        <v>0</v>
      </c>
      <c r="U216" s="9">
        <f>IF(C216&lt;&gt;0,C216-Gear!$C$11,0)</f>
        <v>0</v>
      </c>
    </row>
    <row r="217" spans="20:21" x14ac:dyDescent="0.25">
      <c r="T217" s="9">
        <f>IF(C217&lt;&gt;0,C217-Gear!$C$11,0)</f>
        <v>0</v>
      </c>
      <c r="U217" s="9">
        <f>IF(C217&lt;&gt;0,C217-Gear!$C$11,0)</f>
        <v>0</v>
      </c>
    </row>
    <row r="218" spans="20:21" x14ac:dyDescent="0.25">
      <c r="T218" s="9">
        <f>IF(C218&lt;&gt;0,C218-Gear!$C$11,0)</f>
        <v>0</v>
      </c>
      <c r="U218" s="9">
        <f>IF(C218&lt;&gt;0,C218-Gear!$C$11,0)</f>
        <v>0</v>
      </c>
    </row>
    <row r="219" spans="20:21" x14ac:dyDescent="0.25">
      <c r="T219" s="9">
        <f>IF(C219&lt;&gt;0,C219-Gear!$C$11,0)</f>
        <v>0</v>
      </c>
      <c r="U219" s="9">
        <f>IF(C219&lt;&gt;0,C219-Gear!$C$11,0)</f>
        <v>0</v>
      </c>
    </row>
    <row r="220" spans="20:21" x14ac:dyDescent="0.25">
      <c r="T220" s="9">
        <f>IF(C220&lt;&gt;0,C220-Gear!$C$11,0)</f>
        <v>0</v>
      </c>
      <c r="U220" s="9">
        <f>IF(C220&lt;&gt;0,C220-Gear!$C$11,0)</f>
        <v>0</v>
      </c>
    </row>
    <row r="221" spans="20:21" x14ac:dyDescent="0.25">
      <c r="T221" s="9">
        <f>IF(C221&lt;&gt;0,C221-Gear!$C$11,0)</f>
        <v>0</v>
      </c>
      <c r="U221" s="9">
        <f>IF(C221&lt;&gt;0,C221-Gear!$C$11,0)</f>
        <v>0</v>
      </c>
    </row>
    <row r="222" spans="20:21" x14ac:dyDescent="0.25">
      <c r="T222" s="9">
        <f>IF(C222&lt;&gt;0,C222-Gear!$C$11,0)</f>
        <v>0</v>
      </c>
      <c r="U222" s="9">
        <f>IF(C222&lt;&gt;0,C222-Gear!$C$11,0)</f>
        <v>0</v>
      </c>
    </row>
    <row r="223" spans="20:21" x14ac:dyDescent="0.25">
      <c r="T223" s="9">
        <f>IF(C223&lt;&gt;0,C223-Gear!$C$11,0)</f>
        <v>0</v>
      </c>
      <c r="U223" s="9">
        <f>IF(C223&lt;&gt;0,C223-Gear!$C$11,0)</f>
        <v>0</v>
      </c>
    </row>
    <row r="224" spans="20:21" x14ac:dyDescent="0.25">
      <c r="T224" s="9">
        <f>IF(C224&lt;&gt;0,C224-Gear!$C$11,0)</f>
        <v>0</v>
      </c>
      <c r="U224" s="9">
        <f>IF(C224&lt;&gt;0,C224-Gear!$C$11,0)</f>
        <v>0</v>
      </c>
    </row>
    <row r="225" spans="20:21" x14ac:dyDescent="0.25">
      <c r="T225" s="9">
        <f>IF(C225&lt;&gt;0,C225-Gear!$C$11,0)</f>
        <v>0</v>
      </c>
      <c r="U225" s="9">
        <f>IF(C225&lt;&gt;0,C225-Gear!$C$11,0)</f>
        <v>0</v>
      </c>
    </row>
    <row r="226" spans="20:21" x14ac:dyDescent="0.25">
      <c r="T226" s="9">
        <f>IF(C226&lt;&gt;0,C226-Gear!$C$11,0)</f>
        <v>0</v>
      </c>
      <c r="U226" s="9">
        <f>IF(C226&lt;&gt;0,C226-Gear!$C$11,0)</f>
        <v>0</v>
      </c>
    </row>
    <row r="227" spans="20:21" x14ac:dyDescent="0.25">
      <c r="T227" s="9">
        <f>IF(C227&lt;&gt;0,C227-Gear!$C$11,0)</f>
        <v>0</v>
      </c>
      <c r="U227" s="9">
        <f>IF(C227&lt;&gt;0,C227-Gear!$C$11,0)</f>
        <v>0</v>
      </c>
    </row>
    <row r="228" spans="20:21" x14ac:dyDescent="0.25">
      <c r="T228" s="9">
        <f>IF(C228&lt;&gt;0,C228-Gear!$C$11,0)</f>
        <v>0</v>
      </c>
      <c r="U228" s="9">
        <f>IF(C228&lt;&gt;0,C228-Gear!$C$11,0)</f>
        <v>0</v>
      </c>
    </row>
    <row r="229" spans="20:21" x14ac:dyDescent="0.25">
      <c r="T229" s="9">
        <f>IF(C229&lt;&gt;0,C229-Gear!$C$11,0)</f>
        <v>0</v>
      </c>
      <c r="U229" s="9">
        <f>IF(C229&lt;&gt;0,C229-Gear!$C$11,0)</f>
        <v>0</v>
      </c>
    </row>
    <row r="230" spans="20:21" x14ac:dyDescent="0.25">
      <c r="T230" s="9">
        <f>IF(C230&lt;&gt;0,C230-Gear!$C$11,0)</f>
        <v>0</v>
      </c>
      <c r="U230" s="9">
        <f>IF(C230&lt;&gt;0,C230-Gear!$C$11,0)</f>
        <v>0</v>
      </c>
    </row>
    <row r="231" spans="20:21" x14ac:dyDescent="0.25">
      <c r="T231" s="9">
        <f>IF(C231&lt;&gt;0,C231-Gear!$C$11,0)</f>
        <v>0</v>
      </c>
      <c r="U231" s="9">
        <f>IF(C231&lt;&gt;0,C231-Gear!$C$11,0)</f>
        <v>0</v>
      </c>
    </row>
    <row r="232" spans="20:21" x14ac:dyDescent="0.25">
      <c r="T232" s="9">
        <f>IF(C232&lt;&gt;0,C232-Gear!$C$11,0)</f>
        <v>0</v>
      </c>
      <c r="U232" s="9">
        <f>IF(C232&lt;&gt;0,C232-Gear!$C$11,0)</f>
        <v>0</v>
      </c>
    </row>
    <row r="233" spans="20:21" x14ac:dyDescent="0.25">
      <c r="T233" s="9">
        <f>IF(C233&lt;&gt;0,C233-Gear!$C$11,0)</f>
        <v>0</v>
      </c>
      <c r="U233" s="9">
        <f>IF(C233&lt;&gt;0,C233-Gear!$C$11,0)</f>
        <v>0</v>
      </c>
    </row>
    <row r="234" spans="20:21" x14ac:dyDescent="0.25">
      <c r="T234" s="9">
        <f>IF(C234&lt;&gt;0,C234-Gear!$C$11,0)</f>
        <v>0</v>
      </c>
      <c r="U234" s="9">
        <f>IF(C234&lt;&gt;0,C234-Gear!$C$11,0)</f>
        <v>0</v>
      </c>
    </row>
    <row r="235" spans="20:21" x14ac:dyDescent="0.25">
      <c r="T235" s="9">
        <f>IF(C235&lt;&gt;0,C235-Gear!$C$11,0)</f>
        <v>0</v>
      </c>
      <c r="U235" s="9">
        <f>IF(C235&lt;&gt;0,C235-Gear!$C$11,0)</f>
        <v>0</v>
      </c>
    </row>
    <row r="236" spans="20:21" x14ac:dyDescent="0.25">
      <c r="T236" s="9">
        <f>IF(C236&lt;&gt;0,C236-Gear!$C$11,0)</f>
        <v>0</v>
      </c>
      <c r="U236" s="9">
        <f>IF(C236&lt;&gt;0,C236-Gear!$C$11,0)</f>
        <v>0</v>
      </c>
    </row>
    <row r="237" spans="20:21" x14ac:dyDescent="0.25">
      <c r="T237" s="9">
        <f>IF(C237&lt;&gt;0,C237-Gear!$C$11,0)</f>
        <v>0</v>
      </c>
      <c r="U237" s="9">
        <f>IF(C237&lt;&gt;0,C237-Gear!$C$11,0)</f>
        <v>0</v>
      </c>
    </row>
    <row r="238" spans="20:21" x14ac:dyDescent="0.25">
      <c r="T238" s="9">
        <f>IF(C238&lt;&gt;0,C238-Gear!$C$11,0)</f>
        <v>0</v>
      </c>
      <c r="U238" s="9">
        <f>IF(C238&lt;&gt;0,C238-Gear!$C$11,0)</f>
        <v>0</v>
      </c>
    </row>
    <row r="239" spans="20:21" x14ac:dyDescent="0.25">
      <c r="T239" s="9">
        <f>IF(C239&lt;&gt;0,C239-Gear!$C$11,0)</f>
        <v>0</v>
      </c>
      <c r="U239" s="9">
        <f>IF(C239&lt;&gt;0,C239-Gear!$C$11,0)</f>
        <v>0</v>
      </c>
    </row>
    <row r="240" spans="20:21" x14ac:dyDescent="0.25">
      <c r="T240" s="9">
        <f>IF(C240&lt;&gt;0,C240-Gear!$C$11,0)</f>
        <v>0</v>
      </c>
      <c r="U240" s="9">
        <f>IF(C240&lt;&gt;0,C240-Gear!$C$11,0)</f>
        <v>0</v>
      </c>
    </row>
    <row r="241" spans="20:21" x14ac:dyDescent="0.25">
      <c r="T241" s="9">
        <f>IF(C241&lt;&gt;0,C241-Gear!$C$11,0)</f>
        <v>0</v>
      </c>
      <c r="U241" s="9">
        <f>IF(C241&lt;&gt;0,C241-Gear!$C$11,0)</f>
        <v>0</v>
      </c>
    </row>
    <row r="242" spans="20:21" x14ac:dyDescent="0.25">
      <c r="T242" s="9">
        <f>IF(C242&lt;&gt;0,C242-Gear!$C$11,0)</f>
        <v>0</v>
      </c>
      <c r="U242" s="9">
        <f>IF(C242&lt;&gt;0,C242-Gear!$C$11,0)</f>
        <v>0</v>
      </c>
    </row>
    <row r="243" spans="20:21" x14ac:dyDescent="0.25">
      <c r="T243" s="9">
        <f>IF(C243&lt;&gt;0,C243-Gear!$C$11,0)</f>
        <v>0</v>
      </c>
      <c r="U243" s="9">
        <f>IF(C243&lt;&gt;0,C243-Gear!$C$11,0)</f>
        <v>0</v>
      </c>
    </row>
    <row r="244" spans="20:21" x14ac:dyDescent="0.25">
      <c r="T244" s="9">
        <f>IF(C244&lt;&gt;0,C244-Gear!$C$11,0)</f>
        <v>0</v>
      </c>
      <c r="U244" s="9">
        <f>IF(C244&lt;&gt;0,C244-Gear!$C$11,0)</f>
        <v>0</v>
      </c>
    </row>
    <row r="245" spans="20:21" x14ac:dyDescent="0.25">
      <c r="T245" s="9">
        <f>IF(C245&lt;&gt;0,C245-Gear!$C$11,0)</f>
        <v>0</v>
      </c>
      <c r="U245" s="9">
        <f>IF(C245&lt;&gt;0,C245-Gear!$C$11,0)</f>
        <v>0</v>
      </c>
    </row>
    <row r="246" spans="20:21" x14ac:dyDescent="0.25">
      <c r="T246" s="9">
        <f>IF(C246&lt;&gt;0,C246-Gear!$C$11,0)</f>
        <v>0</v>
      </c>
      <c r="U246" s="9">
        <f>IF(C246&lt;&gt;0,C246-Gear!$C$11,0)</f>
        <v>0</v>
      </c>
    </row>
    <row r="247" spans="20:21" x14ac:dyDescent="0.25">
      <c r="T247" s="9">
        <f>IF(C247&lt;&gt;0,C247-Gear!$C$11,0)</f>
        <v>0</v>
      </c>
      <c r="U247" s="9">
        <f>IF(C247&lt;&gt;0,C247-Gear!$C$11,0)</f>
        <v>0</v>
      </c>
    </row>
    <row r="248" spans="20:21" x14ac:dyDescent="0.25">
      <c r="T248" s="9">
        <f>IF(C248&lt;&gt;0,C248-Gear!$C$11,0)</f>
        <v>0</v>
      </c>
      <c r="U248" s="9">
        <f>IF(C248&lt;&gt;0,C248-Gear!$C$11,0)</f>
        <v>0</v>
      </c>
    </row>
    <row r="249" spans="20:21" x14ac:dyDescent="0.25">
      <c r="T249" s="9">
        <f>IF(C249&lt;&gt;0,C249-Gear!$C$11,0)</f>
        <v>0</v>
      </c>
      <c r="U249" s="9">
        <f>IF(C249&lt;&gt;0,C249-Gear!$C$11,0)</f>
        <v>0</v>
      </c>
    </row>
    <row r="250" spans="20:21" x14ac:dyDescent="0.25">
      <c r="T250" s="9">
        <f>IF(C250&lt;&gt;0,C250-Gear!$C$11,0)</f>
        <v>0</v>
      </c>
      <c r="U250" s="9">
        <f>IF(C250&lt;&gt;0,C250-Gear!$C$11,0)</f>
        <v>0</v>
      </c>
    </row>
    <row r="251" spans="20:21" x14ac:dyDescent="0.25">
      <c r="T251" s="9">
        <f>IF(C251&lt;&gt;0,C251-Gear!$C$11,0)</f>
        <v>0</v>
      </c>
      <c r="U251" s="9">
        <f>IF(C251&lt;&gt;0,C251-Gear!$C$11,0)</f>
        <v>0</v>
      </c>
    </row>
    <row r="252" spans="20:21" x14ac:dyDescent="0.25">
      <c r="T252" s="9">
        <f>IF(C252&lt;&gt;0,C252-Gear!$C$11,0)</f>
        <v>0</v>
      </c>
      <c r="U252" s="9">
        <f>IF(C252&lt;&gt;0,C252-Gear!$C$11,0)</f>
        <v>0</v>
      </c>
    </row>
    <row r="253" spans="20:21" x14ac:dyDescent="0.25">
      <c r="T253" s="9">
        <f>IF(C253&lt;&gt;0,C253-Gear!$C$11,0)</f>
        <v>0</v>
      </c>
      <c r="U253" s="9">
        <f>IF(C253&lt;&gt;0,C253-Gear!$C$11,0)</f>
        <v>0</v>
      </c>
    </row>
    <row r="254" spans="20:21" x14ac:dyDescent="0.25">
      <c r="T254" s="9">
        <f>IF(C254&lt;&gt;0,C254-Gear!$C$11,0)</f>
        <v>0</v>
      </c>
      <c r="U254" s="9">
        <f>IF(C254&lt;&gt;0,C254-Gear!$C$11,0)</f>
        <v>0</v>
      </c>
    </row>
    <row r="255" spans="20:21" x14ac:dyDescent="0.25">
      <c r="T255" s="9">
        <f>IF(C255&lt;&gt;0,C255-Gear!$C$11,0)</f>
        <v>0</v>
      </c>
      <c r="U255" s="9">
        <f>IF(C255&lt;&gt;0,C255-Gear!$C$11,0)</f>
        <v>0</v>
      </c>
    </row>
    <row r="256" spans="20:21" x14ac:dyDescent="0.25">
      <c r="T256" s="9">
        <f>IF(C256&lt;&gt;0,C256-Gear!$C$11,0)</f>
        <v>0</v>
      </c>
      <c r="U256" s="9">
        <f>IF(C256&lt;&gt;0,C256-Gear!$C$11,0)</f>
        <v>0</v>
      </c>
    </row>
    <row r="257" spans="20:21" x14ac:dyDescent="0.25">
      <c r="T257" s="9">
        <f>IF(C257&lt;&gt;0,C257-Gear!$C$11,0)</f>
        <v>0</v>
      </c>
      <c r="U257" s="9">
        <f>IF(C257&lt;&gt;0,C257-Gear!$C$11,0)</f>
        <v>0</v>
      </c>
    </row>
    <row r="258" spans="20:21" x14ac:dyDescent="0.25">
      <c r="T258" s="9">
        <f>IF(C258&lt;&gt;0,C258-Gear!$C$11,0)</f>
        <v>0</v>
      </c>
      <c r="U258" s="9">
        <f>IF(C258&lt;&gt;0,C258-Gear!$C$11,0)</f>
        <v>0</v>
      </c>
    </row>
    <row r="259" spans="20:21" x14ac:dyDescent="0.25">
      <c r="T259" s="9">
        <f>IF(C259&lt;&gt;0,C259-Gear!$C$11,0)</f>
        <v>0</v>
      </c>
      <c r="U259" s="9">
        <f>IF(C259&lt;&gt;0,C259-Gear!$C$11,0)</f>
        <v>0</v>
      </c>
    </row>
    <row r="260" spans="20:21" x14ac:dyDescent="0.25">
      <c r="T260" s="9">
        <f>IF(C260&lt;&gt;0,C260-Gear!$C$11,0)</f>
        <v>0</v>
      </c>
      <c r="U260" s="9">
        <f>IF(C260&lt;&gt;0,C260-Gear!$C$11,0)</f>
        <v>0</v>
      </c>
    </row>
    <row r="261" spans="20:21" x14ac:dyDescent="0.25">
      <c r="T261" s="9">
        <f>IF(C261&lt;&gt;0,C261-Gear!$C$11,0)</f>
        <v>0</v>
      </c>
      <c r="U261" s="9">
        <f>IF(C261&lt;&gt;0,C261-Gear!$C$11,0)</f>
        <v>0</v>
      </c>
    </row>
    <row r="262" spans="20:21" x14ac:dyDescent="0.25">
      <c r="T262" s="9">
        <f>IF(C262&lt;&gt;0,C262-Gear!$C$11,0)</f>
        <v>0</v>
      </c>
      <c r="U262" s="9">
        <f>IF(C262&lt;&gt;0,C262-Gear!$C$11,0)</f>
        <v>0</v>
      </c>
    </row>
    <row r="263" spans="20:21" x14ac:dyDescent="0.25">
      <c r="T263" s="9">
        <f>IF(C263&lt;&gt;0,C263-Gear!$C$11,0)</f>
        <v>0</v>
      </c>
      <c r="U263" s="9">
        <f>IF(C263&lt;&gt;0,C263-Gear!$C$11,0)</f>
        <v>0</v>
      </c>
    </row>
    <row r="264" spans="20:21" x14ac:dyDescent="0.25">
      <c r="T264" s="9">
        <f>IF(C264&lt;&gt;0,C264-Gear!$C$11,0)</f>
        <v>0</v>
      </c>
      <c r="U264" s="9">
        <f>IF(C264&lt;&gt;0,C264-Gear!$C$11,0)</f>
        <v>0</v>
      </c>
    </row>
    <row r="265" spans="20:21" x14ac:dyDescent="0.25">
      <c r="T265" s="9">
        <f>IF(C265&lt;&gt;0,C265-Gear!$C$11,0)</f>
        <v>0</v>
      </c>
      <c r="U265" s="9">
        <f>IF(C265&lt;&gt;0,C265-Gear!$C$11,0)</f>
        <v>0</v>
      </c>
    </row>
    <row r="266" spans="20:21" x14ac:dyDescent="0.25">
      <c r="T266" s="9">
        <f>IF(C266&lt;&gt;0,C266-Gear!$C$11,0)</f>
        <v>0</v>
      </c>
      <c r="U266" s="9">
        <f>IF(C266&lt;&gt;0,C266-Gear!$C$11,0)</f>
        <v>0</v>
      </c>
    </row>
    <row r="267" spans="20:21" x14ac:dyDescent="0.25">
      <c r="T267" s="9">
        <f>IF(C267&lt;&gt;0,C267-Gear!$C$11,0)</f>
        <v>0</v>
      </c>
      <c r="U267" s="9">
        <f>IF(C267&lt;&gt;0,C267-Gear!$C$11,0)</f>
        <v>0</v>
      </c>
    </row>
    <row r="268" spans="20:21" x14ac:dyDescent="0.25">
      <c r="T268" s="9">
        <f>IF(C268&lt;&gt;0,C268-Gear!$C$11,0)</f>
        <v>0</v>
      </c>
      <c r="U268" s="9">
        <f>IF(C268&lt;&gt;0,C268-Gear!$C$11,0)</f>
        <v>0</v>
      </c>
    </row>
    <row r="269" spans="20:21" x14ac:dyDescent="0.25">
      <c r="T269" s="9">
        <f>IF(C269&lt;&gt;0,C269-Gear!$C$11,0)</f>
        <v>0</v>
      </c>
      <c r="U269" s="9">
        <f>IF(C269&lt;&gt;0,C269-Gear!$C$11,0)</f>
        <v>0</v>
      </c>
    </row>
    <row r="270" spans="20:21" x14ac:dyDescent="0.25">
      <c r="T270" s="9">
        <f>IF(C270&lt;&gt;0,C270-Gear!$C$11,0)</f>
        <v>0</v>
      </c>
      <c r="U270" s="9">
        <f>IF(C270&lt;&gt;0,C270-Gear!$C$11,0)</f>
        <v>0</v>
      </c>
    </row>
    <row r="271" spans="20:21" x14ac:dyDescent="0.25">
      <c r="T271" s="9">
        <f>IF(C271&lt;&gt;0,C271-Gear!$C$11,0)</f>
        <v>0</v>
      </c>
      <c r="U271" s="9">
        <f>IF(C271&lt;&gt;0,C271-Gear!$C$11,0)</f>
        <v>0</v>
      </c>
    </row>
    <row r="272" spans="20:21" x14ac:dyDescent="0.25">
      <c r="T272" s="9">
        <f>IF(C272&lt;&gt;0,C272-Gear!$C$11,0)</f>
        <v>0</v>
      </c>
      <c r="U272" s="9">
        <f>IF(C272&lt;&gt;0,C272-Gear!$C$11,0)</f>
        <v>0</v>
      </c>
    </row>
    <row r="273" spans="20:21" x14ac:dyDescent="0.25">
      <c r="T273" s="9">
        <f>IF(C273&lt;&gt;0,C273-Gear!$C$11,0)</f>
        <v>0</v>
      </c>
      <c r="U273" s="9">
        <f>IF(C273&lt;&gt;0,C273-Gear!$C$11,0)</f>
        <v>0</v>
      </c>
    </row>
    <row r="274" spans="20:21" x14ac:dyDescent="0.25">
      <c r="T274" s="9">
        <f>IF(C274&lt;&gt;0,C274-Gear!$C$11,0)</f>
        <v>0</v>
      </c>
      <c r="U274" s="9">
        <f>IF(C274&lt;&gt;0,C274-Gear!$C$11,0)</f>
        <v>0</v>
      </c>
    </row>
    <row r="275" spans="20:21" x14ac:dyDescent="0.25">
      <c r="T275" s="9">
        <f>IF(C275&lt;&gt;0,C275-Gear!$C$11,0)</f>
        <v>0</v>
      </c>
      <c r="U275" s="9">
        <f>IF(C275&lt;&gt;0,C275-Gear!$C$11,0)</f>
        <v>0</v>
      </c>
    </row>
    <row r="276" spans="20:21" x14ac:dyDescent="0.25">
      <c r="T276" s="9">
        <f>IF(C276&lt;&gt;0,C276-Gear!$C$11,0)</f>
        <v>0</v>
      </c>
      <c r="U276" s="9">
        <f>IF(C276&lt;&gt;0,C276-Gear!$C$11,0)</f>
        <v>0</v>
      </c>
    </row>
    <row r="277" spans="20:21" x14ac:dyDescent="0.25">
      <c r="T277" s="9">
        <f>IF(C277&lt;&gt;0,C277-Gear!$C$11,0)</f>
        <v>0</v>
      </c>
      <c r="U277" s="9">
        <f>IF(C277&lt;&gt;0,C277-Gear!$C$11,0)</f>
        <v>0</v>
      </c>
    </row>
    <row r="278" spans="20:21" x14ac:dyDescent="0.25">
      <c r="T278" s="9">
        <f>IF(C278&lt;&gt;0,C278-Gear!$C$11,0)</f>
        <v>0</v>
      </c>
      <c r="U278" s="9">
        <f>IF(C278&lt;&gt;0,C278-Gear!$C$11,0)</f>
        <v>0</v>
      </c>
    </row>
    <row r="279" spans="20:21" x14ac:dyDescent="0.25">
      <c r="T279" s="9">
        <f>IF(C279&lt;&gt;0,C279-Gear!$C$11,0)</f>
        <v>0</v>
      </c>
      <c r="U279" s="9">
        <f>IF(C279&lt;&gt;0,C279-Gear!$C$11,0)</f>
        <v>0</v>
      </c>
    </row>
    <row r="280" spans="20:21" x14ac:dyDescent="0.25">
      <c r="T280" s="9">
        <f>IF(C280&lt;&gt;0,C280-Gear!$C$11,0)</f>
        <v>0</v>
      </c>
      <c r="U280" s="9">
        <f>IF(C280&lt;&gt;0,C280-Gear!$C$11,0)</f>
        <v>0</v>
      </c>
    </row>
    <row r="281" spans="20:21" x14ac:dyDescent="0.25">
      <c r="T281" s="9">
        <f>IF(C281&lt;&gt;0,C281-Gear!$C$11,0)</f>
        <v>0</v>
      </c>
      <c r="U281" s="9">
        <f>IF(C281&lt;&gt;0,C281-Gear!$C$11,0)</f>
        <v>0</v>
      </c>
    </row>
    <row r="282" spans="20:21" x14ac:dyDescent="0.25">
      <c r="T282" s="9">
        <f>IF(C282&lt;&gt;0,C282-Gear!$C$11,0)</f>
        <v>0</v>
      </c>
      <c r="U282" s="9">
        <f>IF(C282&lt;&gt;0,C282-Gear!$C$11,0)</f>
        <v>0</v>
      </c>
    </row>
    <row r="283" spans="20:21" x14ac:dyDescent="0.25">
      <c r="T283" s="9">
        <f>IF(C283&lt;&gt;0,C283-Gear!$C$11,0)</f>
        <v>0</v>
      </c>
      <c r="U283" s="9">
        <f>IF(C283&lt;&gt;0,C283-Gear!$C$11,0)</f>
        <v>0</v>
      </c>
    </row>
    <row r="284" spans="20:21" x14ac:dyDescent="0.25">
      <c r="T284" s="9">
        <f>IF(C284&lt;&gt;0,C284-Gear!$C$11,0)</f>
        <v>0</v>
      </c>
      <c r="U284" s="9">
        <f>IF(C284&lt;&gt;0,C284-Gear!$C$11,0)</f>
        <v>0</v>
      </c>
    </row>
    <row r="285" spans="20:21" x14ac:dyDescent="0.25">
      <c r="T285" s="9">
        <f>IF(C285&lt;&gt;0,C285-Gear!$C$11,0)</f>
        <v>0</v>
      </c>
      <c r="U285" s="9">
        <f>IF(C285&lt;&gt;0,C285-Gear!$C$11,0)</f>
        <v>0</v>
      </c>
    </row>
    <row r="286" spans="20:21" x14ac:dyDescent="0.25">
      <c r="T286" s="9">
        <f>IF(C286&lt;&gt;0,C286-Gear!$C$11,0)</f>
        <v>0</v>
      </c>
      <c r="U286" s="9">
        <f>IF(C286&lt;&gt;0,C286-Gear!$C$11,0)</f>
        <v>0</v>
      </c>
    </row>
    <row r="287" spans="20:21" x14ac:dyDescent="0.25">
      <c r="T287" s="9">
        <f>IF(C287&lt;&gt;0,C287-Gear!$C$11,0)</f>
        <v>0</v>
      </c>
      <c r="U287" s="9">
        <f>IF(C287&lt;&gt;0,C287-Gear!$C$11,0)</f>
        <v>0</v>
      </c>
    </row>
    <row r="288" spans="20:21" x14ac:dyDescent="0.25">
      <c r="T288" s="9">
        <f>IF(C288&lt;&gt;0,C288-Gear!$C$11,0)</f>
        <v>0</v>
      </c>
      <c r="U288" s="9">
        <f>IF(C288&lt;&gt;0,C288-Gear!$C$11,0)</f>
        <v>0</v>
      </c>
    </row>
    <row r="289" spans="20:21" x14ac:dyDescent="0.25">
      <c r="T289" s="9">
        <f>IF(C289&lt;&gt;0,C289-Gear!$C$11,0)</f>
        <v>0</v>
      </c>
      <c r="U289" s="9">
        <f>IF(C289&lt;&gt;0,C289-Gear!$C$11,0)</f>
        <v>0</v>
      </c>
    </row>
    <row r="290" spans="20:21" x14ac:dyDescent="0.25">
      <c r="T290" s="9">
        <f>IF(C290&lt;&gt;0,C290-Gear!$C$11,0)</f>
        <v>0</v>
      </c>
      <c r="U290" s="9">
        <f>IF(C290&lt;&gt;0,C290-Gear!$C$11,0)</f>
        <v>0</v>
      </c>
    </row>
    <row r="291" spans="20:21" x14ac:dyDescent="0.25">
      <c r="T291" s="9">
        <f>IF(C291&lt;&gt;0,C291-Gear!$C$11,0)</f>
        <v>0</v>
      </c>
      <c r="U291" s="9">
        <f>IF(C291&lt;&gt;0,C291-Gear!$C$11,0)</f>
        <v>0</v>
      </c>
    </row>
    <row r="292" spans="20:21" x14ac:dyDescent="0.25">
      <c r="T292" s="9">
        <f>IF(C292&lt;&gt;0,C292-Gear!$C$11,0)</f>
        <v>0</v>
      </c>
      <c r="U292" s="9">
        <f>IF(C292&lt;&gt;0,C292-Gear!$C$11,0)</f>
        <v>0</v>
      </c>
    </row>
    <row r="293" spans="20:21" x14ac:dyDescent="0.25">
      <c r="T293" s="9">
        <f>IF(C293&lt;&gt;0,C293-Gear!$C$11,0)</f>
        <v>0</v>
      </c>
      <c r="U293" s="9">
        <f>IF(C293&lt;&gt;0,C293-Gear!$C$11,0)</f>
        <v>0</v>
      </c>
    </row>
    <row r="294" spans="20:21" x14ac:dyDescent="0.25">
      <c r="T294" s="9">
        <f>IF(C294&lt;&gt;0,C294-Gear!$C$11,0)</f>
        <v>0</v>
      </c>
      <c r="U294" s="9">
        <f>IF(C294&lt;&gt;0,C294-Gear!$C$11,0)</f>
        <v>0</v>
      </c>
    </row>
    <row r="295" spans="20:21" x14ac:dyDescent="0.25">
      <c r="T295" s="9">
        <f>IF(C295&lt;&gt;0,C295-Gear!$C$11,0)</f>
        <v>0</v>
      </c>
      <c r="U295" s="9">
        <f>IF(C295&lt;&gt;0,C295-Gear!$C$11,0)</f>
        <v>0</v>
      </c>
    </row>
    <row r="296" spans="20:21" x14ac:dyDescent="0.25">
      <c r="T296" s="9">
        <f>IF(C296&lt;&gt;0,C296-Gear!$C$11,0)</f>
        <v>0</v>
      </c>
      <c r="U296" s="9">
        <f>IF(C296&lt;&gt;0,C296-Gear!$C$11,0)</f>
        <v>0</v>
      </c>
    </row>
    <row r="297" spans="20:21" x14ac:dyDescent="0.25">
      <c r="T297" s="9">
        <f>IF(C297&lt;&gt;0,C297-Gear!$C$11,0)</f>
        <v>0</v>
      </c>
      <c r="U297" s="9">
        <f>IF(C297&lt;&gt;0,C297-Gear!$C$11,0)</f>
        <v>0</v>
      </c>
    </row>
    <row r="298" spans="20:21" x14ac:dyDescent="0.25">
      <c r="T298" s="9">
        <f>IF(C298&lt;&gt;0,C298-Gear!$C$11,0)</f>
        <v>0</v>
      </c>
      <c r="U298" s="9">
        <f>IF(C298&lt;&gt;0,C298-Gear!$C$11,0)</f>
        <v>0</v>
      </c>
    </row>
    <row r="299" spans="20:21" x14ac:dyDescent="0.25">
      <c r="T299" s="9">
        <f>IF(C299&lt;&gt;0,C299-Gear!$C$11,0)</f>
        <v>0</v>
      </c>
      <c r="U299" s="9">
        <f>IF(C299&lt;&gt;0,C299-Gear!$C$11,0)</f>
        <v>0</v>
      </c>
    </row>
    <row r="300" spans="20:21" x14ac:dyDescent="0.25">
      <c r="T300" s="9">
        <f>IF(C300&lt;&gt;0,C300-Gear!$C$11,0)</f>
        <v>0</v>
      </c>
      <c r="U300" s="9">
        <f>IF(C300&lt;&gt;0,C300-Gear!$C$11,0)</f>
        <v>0</v>
      </c>
    </row>
    <row r="301" spans="20:21" x14ac:dyDescent="0.25">
      <c r="T301" s="9">
        <f>IF(C301&lt;&gt;0,C301-Gear!$C$11,0)</f>
        <v>0</v>
      </c>
      <c r="U301" s="9">
        <f>IF(C301&lt;&gt;0,C301-Gear!$C$11,0)</f>
        <v>0</v>
      </c>
    </row>
    <row r="302" spans="20:21" x14ac:dyDescent="0.25">
      <c r="T302" s="9">
        <f>IF(C302&lt;&gt;0,C302-Gear!$C$11,0)</f>
        <v>0</v>
      </c>
      <c r="U302" s="9">
        <f>IF(C302&lt;&gt;0,C302-Gear!$C$11,0)</f>
        <v>0</v>
      </c>
    </row>
    <row r="303" spans="20:21" x14ac:dyDescent="0.25">
      <c r="T303" s="9">
        <f>IF(C303&lt;&gt;0,C303-Gear!$C$11,0)</f>
        <v>0</v>
      </c>
      <c r="U303" s="9">
        <f>IF(C303&lt;&gt;0,C303-Gear!$C$11,0)</f>
        <v>0</v>
      </c>
    </row>
    <row r="304" spans="20:21" x14ac:dyDescent="0.25">
      <c r="T304" s="9">
        <f>IF(C304&lt;&gt;0,C304-Gear!$C$11,0)</f>
        <v>0</v>
      </c>
      <c r="U304" s="9">
        <f>IF(C304&lt;&gt;0,C304-Gear!$C$11,0)</f>
        <v>0</v>
      </c>
    </row>
    <row r="305" spans="20:21" x14ac:dyDescent="0.25">
      <c r="T305" s="9">
        <f>IF(C305&lt;&gt;0,C305-Gear!$C$11,0)</f>
        <v>0</v>
      </c>
      <c r="U305" s="9">
        <f>IF(C305&lt;&gt;0,C305-Gear!$C$11,0)</f>
        <v>0</v>
      </c>
    </row>
    <row r="306" spans="20:21" x14ac:dyDescent="0.25">
      <c r="T306" s="9">
        <f>IF(C306&lt;&gt;0,C306-Gear!$C$11,0)</f>
        <v>0</v>
      </c>
      <c r="U306" s="9">
        <f>IF(C306&lt;&gt;0,C306-Gear!$C$11,0)</f>
        <v>0</v>
      </c>
    </row>
    <row r="307" spans="20:21" x14ac:dyDescent="0.25">
      <c r="T307" s="9">
        <f>IF(C307&lt;&gt;0,C307-Gear!$C$11,0)</f>
        <v>0</v>
      </c>
      <c r="U307" s="9">
        <f>IF(C307&lt;&gt;0,C307-Gear!$C$11,0)</f>
        <v>0</v>
      </c>
    </row>
    <row r="308" spans="20:21" x14ac:dyDescent="0.25">
      <c r="T308" s="9">
        <f>IF(C308&lt;&gt;0,C308-Gear!$C$11,0)</f>
        <v>0</v>
      </c>
      <c r="U308" s="9">
        <f>IF(C308&lt;&gt;0,C308-Gear!$C$11,0)</f>
        <v>0</v>
      </c>
    </row>
    <row r="309" spans="20:21" x14ac:dyDescent="0.25">
      <c r="T309" s="9">
        <f>IF(C309&lt;&gt;0,C309-Gear!$C$11,0)</f>
        <v>0</v>
      </c>
      <c r="U309" s="9">
        <f>IF(C309&lt;&gt;0,C309-Gear!$C$11,0)</f>
        <v>0</v>
      </c>
    </row>
    <row r="310" spans="20:21" x14ac:dyDescent="0.25">
      <c r="T310" s="9">
        <f>IF(C310&lt;&gt;0,C310-Gear!$C$11,0)</f>
        <v>0</v>
      </c>
      <c r="U310" s="9">
        <f>IF(C310&lt;&gt;0,C310-Gear!$C$11,0)</f>
        <v>0</v>
      </c>
    </row>
    <row r="311" spans="20:21" x14ac:dyDescent="0.25">
      <c r="T311" s="9">
        <f>IF(C311&lt;&gt;0,C311-Gear!$C$11,0)</f>
        <v>0</v>
      </c>
      <c r="U311" s="9">
        <f>IF(C311&lt;&gt;0,C311-Gear!$C$11,0)</f>
        <v>0</v>
      </c>
    </row>
    <row r="312" spans="20:21" x14ac:dyDescent="0.25">
      <c r="T312" s="9">
        <f>IF(C312&lt;&gt;0,C312-Gear!$C$11,0)</f>
        <v>0</v>
      </c>
      <c r="U312" s="9">
        <f>IF(C312&lt;&gt;0,C312-Gear!$C$11,0)</f>
        <v>0</v>
      </c>
    </row>
    <row r="313" spans="20:21" x14ac:dyDescent="0.25">
      <c r="T313" s="9">
        <f>IF(C313&lt;&gt;0,C313-Gear!$C$11,0)</f>
        <v>0</v>
      </c>
      <c r="U313" s="9">
        <f>IF(C313&lt;&gt;0,C313-Gear!$C$11,0)</f>
        <v>0</v>
      </c>
    </row>
    <row r="314" spans="20:21" x14ac:dyDescent="0.25">
      <c r="T314" s="9">
        <f>IF(C314&lt;&gt;0,C314-Gear!$C$11,0)</f>
        <v>0</v>
      </c>
      <c r="U314" s="9">
        <f>IF(C314&lt;&gt;0,C314-Gear!$C$11,0)</f>
        <v>0</v>
      </c>
    </row>
    <row r="315" spans="20:21" x14ac:dyDescent="0.25">
      <c r="T315" s="9">
        <f>IF(C315&lt;&gt;0,C315-Gear!$C$11,0)</f>
        <v>0</v>
      </c>
      <c r="U315" s="9">
        <f>IF(C315&lt;&gt;0,C315-Gear!$C$11,0)</f>
        <v>0</v>
      </c>
    </row>
    <row r="316" spans="20:21" x14ac:dyDescent="0.25">
      <c r="T316" s="9">
        <f>IF(C316&lt;&gt;0,C316-Gear!$C$11,0)</f>
        <v>0</v>
      </c>
      <c r="U316" s="9">
        <f>IF(C316&lt;&gt;0,C316-Gear!$C$11,0)</f>
        <v>0</v>
      </c>
    </row>
    <row r="317" spans="20:21" x14ac:dyDescent="0.25">
      <c r="T317" s="9">
        <f>IF(C317&lt;&gt;0,C317-Gear!$C$11,0)</f>
        <v>0</v>
      </c>
      <c r="U317" s="9">
        <f>IF(C317&lt;&gt;0,C317-Gear!$C$11,0)</f>
        <v>0</v>
      </c>
    </row>
    <row r="318" spans="20:21" x14ac:dyDescent="0.25">
      <c r="T318" s="9">
        <f>IF(C318&lt;&gt;0,C318-Gear!$C$11,0)</f>
        <v>0</v>
      </c>
      <c r="U318" s="9">
        <f>IF(C318&lt;&gt;0,C318-Gear!$C$11,0)</f>
        <v>0</v>
      </c>
    </row>
    <row r="319" spans="20:21" x14ac:dyDescent="0.25">
      <c r="T319" s="9">
        <f>IF(C319&lt;&gt;0,C319-Gear!$C$11,0)</f>
        <v>0</v>
      </c>
      <c r="U319" s="9">
        <f>IF(C319&lt;&gt;0,C319-Gear!$C$11,0)</f>
        <v>0</v>
      </c>
    </row>
    <row r="320" spans="20:21" x14ac:dyDescent="0.25">
      <c r="T320" s="9">
        <f>IF(C320&lt;&gt;0,C320-Gear!$C$11,0)</f>
        <v>0</v>
      </c>
      <c r="U320" s="9">
        <f>IF(C320&lt;&gt;0,C320-Gear!$C$11,0)</f>
        <v>0</v>
      </c>
    </row>
    <row r="321" spans="20:21" x14ac:dyDescent="0.25">
      <c r="T321" s="9">
        <f>IF(C321&lt;&gt;0,C321-Gear!$C$11,0)</f>
        <v>0</v>
      </c>
      <c r="U321" s="9">
        <f>IF(C321&lt;&gt;0,C321-Gear!$C$11,0)</f>
        <v>0</v>
      </c>
    </row>
    <row r="322" spans="20:21" x14ac:dyDescent="0.25">
      <c r="T322" s="9">
        <f>IF(C322&lt;&gt;0,C322-Gear!$C$11,0)</f>
        <v>0</v>
      </c>
      <c r="U322" s="9">
        <f>IF(C322&lt;&gt;0,C322-Gear!$C$11,0)</f>
        <v>0</v>
      </c>
    </row>
    <row r="323" spans="20:21" x14ac:dyDescent="0.25">
      <c r="T323" s="9">
        <f>IF(C323&lt;&gt;0,C323-Gear!$C$11,0)</f>
        <v>0</v>
      </c>
      <c r="U323" s="9">
        <f>IF(C323&lt;&gt;0,C323-Gear!$C$11,0)</f>
        <v>0</v>
      </c>
    </row>
    <row r="324" spans="20:21" x14ac:dyDescent="0.25">
      <c r="T324" s="9">
        <f>IF(C324&lt;&gt;0,C324-Gear!$C$11,0)</f>
        <v>0</v>
      </c>
      <c r="U324" s="9">
        <f>IF(C324&lt;&gt;0,C324-Gear!$C$11,0)</f>
        <v>0</v>
      </c>
    </row>
    <row r="325" spans="20:21" x14ac:dyDescent="0.25">
      <c r="T325" s="9">
        <f>IF(C325&lt;&gt;0,C325-Gear!$C$11,0)</f>
        <v>0</v>
      </c>
      <c r="U325" s="9">
        <f>IF(C325&lt;&gt;0,C325-Gear!$C$11,0)</f>
        <v>0</v>
      </c>
    </row>
    <row r="326" spans="20:21" x14ac:dyDescent="0.25">
      <c r="T326" s="9">
        <f>IF(C326&lt;&gt;0,C326-Gear!$C$11,0)</f>
        <v>0</v>
      </c>
      <c r="U326" s="9">
        <f>IF(C326&lt;&gt;0,C326-Gear!$C$11,0)</f>
        <v>0</v>
      </c>
    </row>
    <row r="327" spans="20:21" x14ac:dyDescent="0.25">
      <c r="T327" s="9">
        <f>IF(C327&lt;&gt;0,C327-Gear!$C$11,0)</f>
        <v>0</v>
      </c>
      <c r="U327" s="9">
        <f>IF(C327&lt;&gt;0,C327-Gear!$C$11,0)</f>
        <v>0</v>
      </c>
    </row>
    <row r="328" spans="20:21" x14ac:dyDescent="0.25">
      <c r="T328" s="9">
        <f>IF(C328&lt;&gt;0,C328-Gear!$C$11,0)</f>
        <v>0</v>
      </c>
      <c r="U328" s="9">
        <f>IF(C328&lt;&gt;0,C328-Gear!$C$11,0)</f>
        <v>0</v>
      </c>
    </row>
    <row r="329" spans="20:21" x14ac:dyDescent="0.25">
      <c r="T329" s="9">
        <f>IF(C329&lt;&gt;0,C329-Gear!$C$11,0)</f>
        <v>0</v>
      </c>
      <c r="U329" s="9">
        <f>IF(C329&lt;&gt;0,C329-Gear!$C$11,0)</f>
        <v>0</v>
      </c>
    </row>
    <row r="330" spans="20:21" x14ac:dyDescent="0.25">
      <c r="T330" s="9">
        <f>IF(C330&lt;&gt;0,C330-Gear!$C$11,0)</f>
        <v>0</v>
      </c>
      <c r="U330" s="9">
        <f>IF(C330&lt;&gt;0,C330-Gear!$C$11,0)</f>
        <v>0</v>
      </c>
    </row>
    <row r="331" spans="20:21" x14ac:dyDescent="0.25">
      <c r="T331" s="9">
        <f>IF(C331&lt;&gt;0,C331-Gear!$C$11,0)</f>
        <v>0</v>
      </c>
      <c r="U331" s="9">
        <f>IF(C331&lt;&gt;0,C331-Gear!$C$11,0)</f>
        <v>0</v>
      </c>
    </row>
    <row r="332" spans="20:21" x14ac:dyDescent="0.25">
      <c r="T332" s="9">
        <f>IF(C332&lt;&gt;0,C332-Gear!$C$11,0)</f>
        <v>0</v>
      </c>
      <c r="U332" s="9">
        <f>IF(C332&lt;&gt;0,C332-Gear!$C$11,0)</f>
        <v>0</v>
      </c>
    </row>
    <row r="333" spans="20:21" x14ac:dyDescent="0.25">
      <c r="T333" s="9">
        <f>IF(C333&lt;&gt;0,C333-Gear!$C$11,0)</f>
        <v>0</v>
      </c>
      <c r="U333" s="9">
        <f>IF(C333&lt;&gt;0,C333-Gear!$C$11,0)</f>
        <v>0</v>
      </c>
    </row>
    <row r="334" spans="20:21" x14ac:dyDescent="0.25">
      <c r="T334" s="9">
        <f>IF(C334&lt;&gt;0,C334-Gear!$C$11,0)</f>
        <v>0</v>
      </c>
      <c r="U334" s="9">
        <f>IF(C334&lt;&gt;0,C334-Gear!$C$11,0)</f>
        <v>0</v>
      </c>
    </row>
    <row r="335" spans="20:21" x14ac:dyDescent="0.25">
      <c r="T335" s="9">
        <f>IF(C335&lt;&gt;0,C335-Gear!$C$11,0)</f>
        <v>0</v>
      </c>
      <c r="U335" s="9">
        <f>IF(C335&lt;&gt;0,C335-Gear!$C$11,0)</f>
        <v>0</v>
      </c>
    </row>
    <row r="336" spans="20:21" x14ac:dyDescent="0.25">
      <c r="T336" s="9">
        <f>IF(C336&lt;&gt;0,C336-Gear!$C$11,0)</f>
        <v>0</v>
      </c>
      <c r="U336" s="9">
        <f>IF(C336&lt;&gt;0,C336-Gear!$C$11,0)</f>
        <v>0</v>
      </c>
    </row>
    <row r="337" spans="20:21" x14ac:dyDescent="0.25">
      <c r="T337" s="9">
        <f>IF(C337&lt;&gt;0,C337-Gear!$C$11,0)</f>
        <v>0</v>
      </c>
      <c r="U337" s="9">
        <f>IF(C337&lt;&gt;0,C337-Gear!$C$11,0)</f>
        <v>0</v>
      </c>
    </row>
    <row r="338" spans="20:21" x14ac:dyDescent="0.25">
      <c r="T338" s="9">
        <f>IF(C338&lt;&gt;0,C338-Gear!$C$11,0)</f>
        <v>0</v>
      </c>
      <c r="U338" s="9">
        <f>IF(C338&lt;&gt;0,C338-Gear!$C$11,0)</f>
        <v>0</v>
      </c>
    </row>
    <row r="339" spans="20:21" x14ac:dyDescent="0.25">
      <c r="T339" s="9">
        <f>IF(C339&lt;&gt;0,C339-Gear!$C$11,0)</f>
        <v>0</v>
      </c>
      <c r="U339" s="9">
        <f>IF(C339&lt;&gt;0,C339-Gear!$C$11,0)</f>
        <v>0</v>
      </c>
    </row>
    <row r="340" spans="20:21" x14ac:dyDescent="0.25">
      <c r="T340" s="9">
        <f>IF(C340&lt;&gt;0,C340-Gear!$C$11,0)</f>
        <v>0</v>
      </c>
      <c r="U340" s="9">
        <f>IF(C340&lt;&gt;0,C340-Gear!$C$11,0)</f>
        <v>0</v>
      </c>
    </row>
    <row r="341" spans="20:21" x14ac:dyDescent="0.25">
      <c r="T341" s="9">
        <f>IF(C341&lt;&gt;0,C341-Gear!$C$11,0)</f>
        <v>0</v>
      </c>
      <c r="U341" s="9">
        <f>IF(C341&lt;&gt;0,C341-Gear!$C$11,0)</f>
        <v>0</v>
      </c>
    </row>
    <row r="342" spans="20:21" x14ac:dyDescent="0.25">
      <c r="T342" s="9">
        <f>IF(C342&lt;&gt;0,C342-Gear!$C$11,0)</f>
        <v>0</v>
      </c>
      <c r="U342" s="9">
        <f>IF(C342&lt;&gt;0,C342-Gear!$C$11,0)</f>
        <v>0</v>
      </c>
    </row>
    <row r="343" spans="20:21" x14ac:dyDescent="0.25">
      <c r="T343" s="9">
        <f>IF(C343&lt;&gt;0,C343-Gear!$C$11,0)</f>
        <v>0</v>
      </c>
      <c r="U343" s="9">
        <f>IF(C343&lt;&gt;0,C343-Gear!$C$11,0)</f>
        <v>0</v>
      </c>
    </row>
    <row r="344" spans="20:21" x14ac:dyDescent="0.25">
      <c r="T344" s="9">
        <f>IF(C344&lt;&gt;0,C344-Gear!$C$11,0)</f>
        <v>0</v>
      </c>
      <c r="U344" s="9">
        <f>IF(C344&lt;&gt;0,C344-Gear!$C$11,0)</f>
        <v>0</v>
      </c>
    </row>
    <row r="345" spans="20:21" x14ac:dyDescent="0.25">
      <c r="T345" s="9">
        <f>IF(C345&lt;&gt;0,C345-Gear!$C$11,0)</f>
        <v>0</v>
      </c>
      <c r="U345" s="9">
        <f>IF(C345&lt;&gt;0,C345-Gear!$C$11,0)</f>
        <v>0</v>
      </c>
    </row>
    <row r="346" spans="20:21" x14ac:dyDescent="0.25">
      <c r="T346" s="9">
        <f>IF(C346&lt;&gt;0,C346-Gear!$C$11,0)</f>
        <v>0</v>
      </c>
      <c r="U346" s="9">
        <f>IF(C346&lt;&gt;0,C346-Gear!$C$11,0)</f>
        <v>0</v>
      </c>
    </row>
    <row r="347" spans="20:21" x14ac:dyDescent="0.25">
      <c r="T347" s="9">
        <f>IF(C347&lt;&gt;0,C347-Gear!$C$11,0)</f>
        <v>0</v>
      </c>
      <c r="U347" s="9">
        <f>IF(C347&lt;&gt;0,C347-Gear!$C$11,0)</f>
        <v>0</v>
      </c>
    </row>
    <row r="348" spans="20:21" x14ac:dyDescent="0.25">
      <c r="T348" s="9">
        <f>IF(C348&lt;&gt;0,C348-Gear!$C$11,0)</f>
        <v>0</v>
      </c>
      <c r="U348" s="9">
        <f>IF(C348&lt;&gt;0,C348-Gear!$C$11,0)</f>
        <v>0</v>
      </c>
    </row>
    <row r="349" spans="20:21" x14ac:dyDescent="0.25">
      <c r="T349" s="9">
        <f>IF(C349&lt;&gt;0,C349-Gear!$C$11,0)</f>
        <v>0</v>
      </c>
      <c r="U349" s="9">
        <f>IF(C349&lt;&gt;0,C349-Gear!$C$11,0)</f>
        <v>0</v>
      </c>
    </row>
    <row r="350" spans="20:21" x14ac:dyDescent="0.25">
      <c r="T350" s="9">
        <f>IF(C350&lt;&gt;0,C350-Gear!$C$11,0)</f>
        <v>0</v>
      </c>
      <c r="U350" s="9">
        <f>IF(C350&lt;&gt;0,C350-Gear!$C$11,0)</f>
        <v>0</v>
      </c>
    </row>
    <row r="351" spans="20:21" x14ac:dyDescent="0.25">
      <c r="T351" s="9">
        <f>IF(C351&lt;&gt;0,C351-Gear!$C$11,0)</f>
        <v>0</v>
      </c>
      <c r="U351" s="9">
        <f>IF(C351&lt;&gt;0,C351-Gear!$C$11,0)</f>
        <v>0</v>
      </c>
    </row>
    <row r="352" spans="20:21" x14ac:dyDescent="0.25">
      <c r="T352" s="9">
        <f>IF(C352&lt;&gt;0,C352-Gear!$C$11,0)</f>
        <v>0</v>
      </c>
      <c r="U352" s="9">
        <f>IF(C352&lt;&gt;0,C352-Gear!$C$11,0)</f>
        <v>0</v>
      </c>
    </row>
    <row r="353" spans="20:21" x14ac:dyDescent="0.25">
      <c r="T353" s="9">
        <f>IF(C353&lt;&gt;0,C353-Gear!$C$11,0)</f>
        <v>0</v>
      </c>
      <c r="U353" s="9">
        <f>IF(C353&lt;&gt;0,C353-Gear!$C$11,0)</f>
        <v>0</v>
      </c>
    </row>
    <row r="354" spans="20:21" x14ac:dyDescent="0.25">
      <c r="T354" s="9">
        <f>IF(C354&lt;&gt;0,C354-Gear!$C$11,0)</f>
        <v>0</v>
      </c>
      <c r="U354" s="9">
        <f>IF(C354&lt;&gt;0,C354-Gear!$C$11,0)</f>
        <v>0</v>
      </c>
    </row>
    <row r="355" spans="20:21" x14ac:dyDescent="0.25">
      <c r="T355" s="9">
        <f>IF(C355&lt;&gt;0,C355-Gear!$C$11,0)</f>
        <v>0</v>
      </c>
      <c r="U355" s="9">
        <f>IF(C355&lt;&gt;0,C355-Gear!$C$11,0)</f>
        <v>0</v>
      </c>
    </row>
    <row r="356" spans="20:21" x14ac:dyDescent="0.25">
      <c r="T356" s="9">
        <f>IF(C356&lt;&gt;0,C356-Gear!$C$11,0)</f>
        <v>0</v>
      </c>
      <c r="U356" s="9">
        <f>IF(C356&lt;&gt;0,C356-Gear!$C$11,0)</f>
        <v>0</v>
      </c>
    </row>
    <row r="357" spans="20:21" x14ac:dyDescent="0.25">
      <c r="T357" s="9">
        <f>IF(C357&lt;&gt;0,C357-Gear!$C$11,0)</f>
        <v>0</v>
      </c>
      <c r="U357" s="9">
        <f>IF(C357&lt;&gt;0,C357-Gear!$C$11,0)</f>
        <v>0</v>
      </c>
    </row>
    <row r="358" spans="20:21" x14ac:dyDescent="0.25">
      <c r="T358" s="9">
        <f>IF(C358&lt;&gt;0,C358-Gear!$C$11,0)</f>
        <v>0</v>
      </c>
      <c r="U358" s="9">
        <f>IF(C358&lt;&gt;0,C358-Gear!$C$11,0)</f>
        <v>0</v>
      </c>
    </row>
    <row r="359" spans="20:21" x14ac:dyDescent="0.25">
      <c r="T359" s="9">
        <f>IF(C359&lt;&gt;0,C359-Gear!$C$11,0)</f>
        <v>0</v>
      </c>
      <c r="U359" s="9">
        <f>IF(C359&lt;&gt;0,C359-Gear!$C$11,0)</f>
        <v>0</v>
      </c>
    </row>
    <row r="360" spans="20:21" x14ac:dyDescent="0.25">
      <c r="T360" s="9">
        <f>IF(C360&lt;&gt;0,C360-Gear!$C$11,0)</f>
        <v>0</v>
      </c>
      <c r="U360" s="9">
        <f>IF(C360&lt;&gt;0,C360-Gear!$C$11,0)</f>
        <v>0</v>
      </c>
    </row>
    <row r="361" spans="20:21" x14ac:dyDescent="0.25">
      <c r="T361" s="9">
        <f>IF(C361&lt;&gt;0,C361-Gear!$C$11,0)</f>
        <v>0</v>
      </c>
      <c r="U361" s="9">
        <f>IF(C361&lt;&gt;0,C361-Gear!$C$11,0)</f>
        <v>0</v>
      </c>
    </row>
    <row r="362" spans="20:21" x14ac:dyDescent="0.25">
      <c r="T362" s="9">
        <f>IF(C362&lt;&gt;0,C362-Gear!$C$11,0)</f>
        <v>0</v>
      </c>
      <c r="U362" s="9">
        <f>IF(C362&lt;&gt;0,C362-Gear!$C$11,0)</f>
        <v>0</v>
      </c>
    </row>
    <row r="363" spans="20:21" x14ac:dyDescent="0.25">
      <c r="T363" s="9">
        <f>IF(C363&lt;&gt;0,C363-Gear!$C$11,0)</f>
        <v>0</v>
      </c>
      <c r="U363" s="9">
        <f>IF(C363&lt;&gt;0,C363-Gear!$C$11,0)</f>
        <v>0</v>
      </c>
    </row>
    <row r="364" spans="20:21" x14ac:dyDescent="0.25">
      <c r="T364" s="9">
        <f>IF(C364&lt;&gt;0,C364-Gear!$C$11,0)</f>
        <v>0</v>
      </c>
      <c r="U364" s="9">
        <f>IF(C364&lt;&gt;0,C364-Gear!$C$11,0)</f>
        <v>0</v>
      </c>
    </row>
    <row r="365" spans="20:21" x14ac:dyDescent="0.25">
      <c r="T365" s="9">
        <f>IF(C365&lt;&gt;0,C365-Gear!$C$11,0)</f>
        <v>0</v>
      </c>
      <c r="U365" s="9">
        <f>IF(C365&lt;&gt;0,C365-Gear!$C$11,0)</f>
        <v>0</v>
      </c>
    </row>
    <row r="366" spans="20:21" x14ac:dyDescent="0.25">
      <c r="T366" s="9">
        <f>IF(C366&lt;&gt;0,C366-Gear!$C$11,0)</f>
        <v>0</v>
      </c>
      <c r="U366" s="9">
        <f>IF(C366&lt;&gt;0,C366-Gear!$C$11,0)</f>
        <v>0</v>
      </c>
    </row>
    <row r="367" spans="20:21" x14ac:dyDescent="0.25">
      <c r="T367" s="9">
        <f>IF(C367&lt;&gt;0,C367-Gear!$C$11,0)</f>
        <v>0</v>
      </c>
      <c r="U367" s="9">
        <f>IF(C367&lt;&gt;0,C367-Gear!$C$11,0)</f>
        <v>0</v>
      </c>
    </row>
    <row r="368" spans="20:21" x14ac:dyDescent="0.25">
      <c r="T368" s="9">
        <f>IF(C368&lt;&gt;0,C368-Gear!$C$11,0)</f>
        <v>0</v>
      </c>
      <c r="U368" s="9">
        <f>IF(C368&lt;&gt;0,C368-Gear!$C$11,0)</f>
        <v>0</v>
      </c>
    </row>
    <row r="369" spans="20:21" x14ac:dyDescent="0.25">
      <c r="T369" s="9">
        <f>IF(C369&lt;&gt;0,C369-Gear!$C$11,0)</f>
        <v>0</v>
      </c>
      <c r="U369" s="9">
        <f>IF(C369&lt;&gt;0,C369-Gear!$C$11,0)</f>
        <v>0</v>
      </c>
    </row>
    <row r="370" spans="20:21" x14ac:dyDescent="0.25">
      <c r="T370" s="9">
        <f>IF(C370&lt;&gt;0,C370-Gear!$C$11,0)</f>
        <v>0</v>
      </c>
      <c r="U370" s="9">
        <f>IF(C370&lt;&gt;0,C370-Gear!$C$11,0)</f>
        <v>0</v>
      </c>
    </row>
    <row r="371" spans="20:21" x14ac:dyDescent="0.25">
      <c r="T371" s="9">
        <f>IF(C371&lt;&gt;0,C371-Gear!$C$11,0)</f>
        <v>0</v>
      </c>
      <c r="U371" s="9">
        <f>IF(C371&lt;&gt;0,C371-Gear!$C$11,0)</f>
        <v>0</v>
      </c>
    </row>
    <row r="372" spans="20:21" x14ac:dyDescent="0.25">
      <c r="T372" s="9">
        <f>IF(C372&lt;&gt;0,C372-Gear!$C$11,0)</f>
        <v>0</v>
      </c>
      <c r="U372" s="9">
        <f>IF(C372&lt;&gt;0,C372-Gear!$C$11,0)</f>
        <v>0</v>
      </c>
    </row>
    <row r="373" spans="20:21" x14ac:dyDescent="0.25">
      <c r="T373" s="9">
        <f>IF(C373&lt;&gt;0,C373-Gear!$C$11,0)</f>
        <v>0</v>
      </c>
      <c r="U373" s="9">
        <f>IF(C373&lt;&gt;0,C373-Gear!$C$11,0)</f>
        <v>0</v>
      </c>
    </row>
    <row r="374" spans="20:21" x14ac:dyDescent="0.25">
      <c r="T374" s="9">
        <f>IF(C374&lt;&gt;0,C374-Gear!$C$11,0)</f>
        <v>0</v>
      </c>
      <c r="U374" s="9">
        <f>IF(C374&lt;&gt;0,C374-Gear!$C$11,0)</f>
        <v>0</v>
      </c>
    </row>
    <row r="375" spans="20:21" x14ac:dyDescent="0.25">
      <c r="T375" s="9">
        <f>IF(C375&lt;&gt;0,C375-Gear!$C$11,0)</f>
        <v>0</v>
      </c>
      <c r="U375" s="9">
        <f>IF(C375&lt;&gt;0,C375-Gear!$C$11,0)</f>
        <v>0</v>
      </c>
    </row>
    <row r="376" spans="20:21" x14ac:dyDescent="0.25">
      <c r="T376" s="9">
        <f>IF(C376&lt;&gt;0,C376-Gear!$C$11,0)</f>
        <v>0</v>
      </c>
      <c r="U376" s="9">
        <f>IF(C376&lt;&gt;0,C376-Gear!$C$11,0)</f>
        <v>0</v>
      </c>
    </row>
    <row r="377" spans="20:21" x14ac:dyDescent="0.25">
      <c r="T377" s="9">
        <f>IF(C377&lt;&gt;0,C377-Gear!$C$11,0)</f>
        <v>0</v>
      </c>
      <c r="U377" s="9">
        <f>IF(C377&lt;&gt;0,C377-Gear!$C$11,0)</f>
        <v>0</v>
      </c>
    </row>
    <row r="378" spans="20:21" x14ac:dyDescent="0.25">
      <c r="T378" s="9">
        <f>IF(C378&lt;&gt;0,C378-Gear!$C$11,0)</f>
        <v>0</v>
      </c>
      <c r="U378" s="9">
        <f>IF(C378&lt;&gt;0,C378-Gear!$C$11,0)</f>
        <v>0</v>
      </c>
    </row>
    <row r="379" spans="20:21" x14ac:dyDescent="0.25">
      <c r="T379" s="9">
        <f>IF(C379&lt;&gt;0,C379-Gear!$C$11,0)</f>
        <v>0</v>
      </c>
      <c r="U379" s="9">
        <f>IF(C379&lt;&gt;0,C379-Gear!$C$11,0)</f>
        <v>0</v>
      </c>
    </row>
    <row r="380" spans="20:21" x14ac:dyDescent="0.25">
      <c r="T380" s="9">
        <f>IF(C380&lt;&gt;0,C380-Gear!$C$11,0)</f>
        <v>0</v>
      </c>
      <c r="U380" s="9">
        <f>IF(C380&lt;&gt;0,C380-Gear!$C$11,0)</f>
        <v>0</v>
      </c>
    </row>
    <row r="381" spans="20:21" x14ac:dyDescent="0.25">
      <c r="T381" s="9">
        <f>IF(C381&lt;&gt;0,C381-Gear!$C$11,0)</f>
        <v>0</v>
      </c>
      <c r="U381" s="9">
        <f>IF(C381&lt;&gt;0,C381-Gear!$C$11,0)</f>
        <v>0</v>
      </c>
    </row>
    <row r="382" spans="20:21" x14ac:dyDescent="0.25">
      <c r="T382" s="9">
        <f>IF(C382&lt;&gt;0,C382-Gear!$C$11,0)</f>
        <v>0</v>
      </c>
      <c r="U382" s="9">
        <f>IF(C382&lt;&gt;0,C382-Gear!$C$11,0)</f>
        <v>0</v>
      </c>
    </row>
    <row r="383" spans="20:21" x14ac:dyDescent="0.25">
      <c r="T383" s="9">
        <f>IF(C383&lt;&gt;0,C383-Gear!$C$11,0)</f>
        <v>0</v>
      </c>
      <c r="U383" s="9">
        <f>IF(C383&lt;&gt;0,C383-Gear!$C$11,0)</f>
        <v>0</v>
      </c>
    </row>
    <row r="384" spans="20:21" x14ac:dyDescent="0.25">
      <c r="T384" s="9">
        <f>IF(C384&lt;&gt;0,C384-Gear!$C$11,0)</f>
        <v>0</v>
      </c>
      <c r="U384" s="9">
        <f>IF(C384&lt;&gt;0,C384-Gear!$C$11,0)</f>
        <v>0</v>
      </c>
    </row>
    <row r="385" spans="20:21" x14ac:dyDescent="0.25">
      <c r="T385" s="9">
        <f>IF(C385&lt;&gt;0,C385-Gear!$C$11,0)</f>
        <v>0</v>
      </c>
      <c r="U385" s="9">
        <f>IF(C385&lt;&gt;0,C385-Gear!$C$11,0)</f>
        <v>0</v>
      </c>
    </row>
    <row r="386" spans="20:21" x14ac:dyDescent="0.25">
      <c r="T386" s="9">
        <f>IF(C386&lt;&gt;0,C386-Gear!$C$11,0)</f>
        <v>0</v>
      </c>
      <c r="U386" s="9">
        <f>IF(C386&lt;&gt;0,C386-Gear!$C$11,0)</f>
        <v>0</v>
      </c>
    </row>
    <row r="387" spans="20:21" x14ac:dyDescent="0.25">
      <c r="T387" s="9">
        <f>IF(C387&lt;&gt;0,C387-Gear!$C$11,0)</f>
        <v>0</v>
      </c>
      <c r="U387" s="9">
        <f>IF(C387&lt;&gt;0,C387-Gear!$C$11,0)</f>
        <v>0</v>
      </c>
    </row>
    <row r="388" spans="20:21" x14ac:dyDescent="0.25">
      <c r="T388" s="9">
        <f>IF(C388&lt;&gt;0,C388-Gear!$C$11,0)</f>
        <v>0</v>
      </c>
      <c r="U388" s="9">
        <f>IF(C388&lt;&gt;0,C388-Gear!$C$11,0)</f>
        <v>0</v>
      </c>
    </row>
    <row r="389" spans="20:21" x14ac:dyDescent="0.25">
      <c r="T389" s="9">
        <f>IF(C389&lt;&gt;0,C389-Gear!$C$11,0)</f>
        <v>0</v>
      </c>
      <c r="U389" s="9">
        <f>IF(C389&lt;&gt;0,C389-Gear!$C$11,0)</f>
        <v>0</v>
      </c>
    </row>
    <row r="390" spans="20:21" x14ac:dyDescent="0.25">
      <c r="T390" s="9">
        <f>IF(C390&lt;&gt;0,C390-Gear!$C$11,0)</f>
        <v>0</v>
      </c>
      <c r="U390" s="9">
        <f>IF(C390&lt;&gt;0,C390-Gear!$C$11,0)</f>
        <v>0</v>
      </c>
    </row>
    <row r="391" spans="20:21" x14ac:dyDescent="0.25">
      <c r="T391" s="9">
        <f>IF(C391&lt;&gt;0,C391-Gear!$C$11,0)</f>
        <v>0</v>
      </c>
      <c r="U391" s="9">
        <f>IF(C391&lt;&gt;0,C391-Gear!$C$11,0)</f>
        <v>0</v>
      </c>
    </row>
    <row r="392" spans="20:21" x14ac:dyDescent="0.25">
      <c r="T392" s="9">
        <f>IF(C392&lt;&gt;0,C392-Gear!$C$11,0)</f>
        <v>0</v>
      </c>
      <c r="U392" s="9">
        <f>IF(C392&lt;&gt;0,C392-Gear!$C$11,0)</f>
        <v>0</v>
      </c>
    </row>
    <row r="393" spans="20:21" x14ac:dyDescent="0.25">
      <c r="T393" s="9">
        <f>IF(C393&lt;&gt;0,C393-Gear!$C$11,0)</f>
        <v>0</v>
      </c>
      <c r="U393" s="9">
        <f>IF(C393&lt;&gt;0,C393-Gear!$C$11,0)</f>
        <v>0</v>
      </c>
    </row>
    <row r="394" spans="20:21" x14ac:dyDescent="0.25">
      <c r="T394" s="9">
        <f>IF(C394&lt;&gt;0,C394-Gear!$C$11,0)</f>
        <v>0</v>
      </c>
      <c r="U394" s="9">
        <f>IF(C394&lt;&gt;0,C394-Gear!$C$11,0)</f>
        <v>0</v>
      </c>
    </row>
    <row r="395" spans="20:21" x14ac:dyDescent="0.25">
      <c r="T395" s="9">
        <f>IF(C395&lt;&gt;0,C395-Gear!$C$11,0)</f>
        <v>0</v>
      </c>
      <c r="U395" s="9">
        <f>IF(C395&lt;&gt;0,C395-Gear!$C$11,0)</f>
        <v>0</v>
      </c>
    </row>
    <row r="396" spans="20:21" x14ac:dyDescent="0.25">
      <c r="T396" s="9">
        <f>IF(C396&lt;&gt;0,C396-Gear!$C$11,0)</f>
        <v>0</v>
      </c>
      <c r="U396" s="9">
        <f>IF(C396&lt;&gt;0,C396-Gear!$C$11,0)</f>
        <v>0</v>
      </c>
    </row>
    <row r="397" spans="20:21" x14ac:dyDescent="0.25">
      <c r="T397" s="9">
        <f>IF(C397&lt;&gt;0,C397-Gear!$C$11,0)</f>
        <v>0</v>
      </c>
      <c r="U397" s="9">
        <f>IF(C397&lt;&gt;0,C397-Gear!$C$11,0)</f>
        <v>0</v>
      </c>
    </row>
    <row r="398" spans="20:21" x14ac:dyDescent="0.25">
      <c r="T398" s="9">
        <f>IF(C398&lt;&gt;0,C398-Gear!$C$11,0)</f>
        <v>0</v>
      </c>
      <c r="U398" s="9">
        <f>IF(C398&lt;&gt;0,C398-Gear!$C$11,0)</f>
        <v>0</v>
      </c>
    </row>
    <row r="399" spans="20:21" x14ac:dyDescent="0.25">
      <c r="T399" s="9">
        <f>IF(C399&lt;&gt;0,C399-Gear!$C$11,0)</f>
        <v>0</v>
      </c>
      <c r="U399" s="9">
        <f>IF(C399&lt;&gt;0,C399-Gear!$C$11,0)</f>
        <v>0</v>
      </c>
    </row>
    <row r="400" spans="20:21" x14ac:dyDescent="0.25">
      <c r="T400" s="9">
        <f>IF(C400&lt;&gt;0,C400-Gear!$C$11,0)</f>
        <v>0</v>
      </c>
      <c r="U400" s="9">
        <f>IF(C400&lt;&gt;0,C400-Gear!$C$11,0)</f>
        <v>0</v>
      </c>
    </row>
    <row r="401" spans="20:21" x14ac:dyDescent="0.25">
      <c r="T401" s="9">
        <f>IF(C401&lt;&gt;0,C401-Gear!$C$11,0)</f>
        <v>0</v>
      </c>
      <c r="U401" s="9">
        <f>IF(C401&lt;&gt;0,C401-Gear!$C$11,0)</f>
        <v>0</v>
      </c>
    </row>
    <row r="402" spans="20:21" x14ac:dyDescent="0.25">
      <c r="T402" s="9">
        <f>IF(C402&lt;&gt;0,C402-Gear!$C$11,0)</f>
        <v>0</v>
      </c>
      <c r="U402" s="9">
        <f>IF(C402&lt;&gt;0,C402-Gear!$C$11,0)</f>
        <v>0</v>
      </c>
    </row>
    <row r="403" spans="20:21" x14ac:dyDescent="0.25">
      <c r="T403" s="9">
        <f>IF(C403&lt;&gt;0,C403-Gear!$C$11,0)</f>
        <v>0</v>
      </c>
      <c r="U403" s="9">
        <f>IF(C403&lt;&gt;0,C403-Gear!$C$11,0)</f>
        <v>0</v>
      </c>
    </row>
    <row r="404" spans="20:21" x14ac:dyDescent="0.25">
      <c r="T404" s="9">
        <f>IF(C404&lt;&gt;0,C404-Gear!$C$11,0)</f>
        <v>0</v>
      </c>
      <c r="U404" s="9">
        <f>IF(C404&lt;&gt;0,C404-Gear!$C$11,0)</f>
        <v>0</v>
      </c>
    </row>
    <row r="405" spans="20:21" x14ac:dyDescent="0.25">
      <c r="T405" s="9">
        <f>IF(C405&lt;&gt;0,C405-Gear!$C$11,0)</f>
        <v>0</v>
      </c>
      <c r="U405" s="9">
        <f>IF(C405&lt;&gt;0,C405-Gear!$C$11,0)</f>
        <v>0</v>
      </c>
    </row>
    <row r="406" spans="20:21" x14ac:dyDescent="0.25">
      <c r="T406" s="9">
        <f>IF(C406&lt;&gt;0,C406-Gear!$C$11,0)</f>
        <v>0</v>
      </c>
      <c r="U406" s="9">
        <f>IF(C406&lt;&gt;0,C406-Gear!$C$11,0)</f>
        <v>0</v>
      </c>
    </row>
    <row r="407" spans="20:21" x14ac:dyDescent="0.25">
      <c r="T407" s="9">
        <f>IF(C407&lt;&gt;0,C407-Gear!$C$11,0)</f>
        <v>0</v>
      </c>
      <c r="U407" s="9">
        <f>IF(C407&lt;&gt;0,C407-Gear!$C$11,0)</f>
        <v>0</v>
      </c>
    </row>
    <row r="408" spans="20:21" x14ac:dyDescent="0.25">
      <c r="T408" s="9">
        <f>IF(C408&lt;&gt;0,C408-Gear!$C$11,0)</f>
        <v>0</v>
      </c>
      <c r="U408" s="9">
        <f>IF(C408&lt;&gt;0,C408-Gear!$C$11,0)</f>
        <v>0</v>
      </c>
    </row>
    <row r="409" spans="20:21" x14ac:dyDescent="0.25">
      <c r="T409" s="9">
        <f>IF(C409&lt;&gt;0,C409-Gear!$C$11,0)</f>
        <v>0</v>
      </c>
      <c r="U409" s="9">
        <f>IF(C409&lt;&gt;0,C409-Gear!$C$11,0)</f>
        <v>0</v>
      </c>
    </row>
    <row r="410" spans="20:21" x14ac:dyDescent="0.25">
      <c r="T410" s="9">
        <f>IF(C410&lt;&gt;0,C410-Gear!$C$11,0)</f>
        <v>0</v>
      </c>
      <c r="U410" s="9">
        <f>IF(C410&lt;&gt;0,C410-Gear!$C$11,0)</f>
        <v>0</v>
      </c>
    </row>
    <row r="411" spans="20:21" x14ac:dyDescent="0.25">
      <c r="T411" s="9">
        <f>IF(C411&lt;&gt;0,C411-Gear!$C$11,0)</f>
        <v>0</v>
      </c>
      <c r="U411" s="9">
        <f>IF(C411&lt;&gt;0,C411-Gear!$C$11,0)</f>
        <v>0</v>
      </c>
    </row>
    <row r="412" spans="20:21" x14ac:dyDescent="0.25">
      <c r="T412" s="9">
        <f>IF(C412&lt;&gt;0,C412-Gear!$C$11,0)</f>
        <v>0</v>
      </c>
      <c r="U412" s="9">
        <f>IF(C412&lt;&gt;0,C412-Gear!$C$11,0)</f>
        <v>0</v>
      </c>
    </row>
    <row r="413" spans="20:21" x14ac:dyDescent="0.25">
      <c r="T413" s="9">
        <f>IF(C413&lt;&gt;0,C413-Gear!$C$11,0)</f>
        <v>0</v>
      </c>
      <c r="U413" s="9">
        <f>IF(C413&lt;&gt;0,C413-Gear!$C$11,0)</f>
        <v>0</v>
      </c>
    </row>
    <row r="414" spans="20:21" x14ac:dyDescent="0.25">
      <c r="T414" s="9">
        <f>IF(C414&lt;&gt;0,C414-Gear!$C$11,0)</f>
        <v>0</v>
      </c>
      <c r="U414" s="9">
        <f>IF(C414&lt;&gt;0,C414-Gear!$C$11,0)</f>
        <v>0</v>
      </c>
    </row>
    <row r="415" spans="20:21" x14ac:dyDescent="0.25">
      <c r="T415" s="9">
        <f>IF(C415&lt;&gt;0,C415-Gear!$C$11,0)</f>
        <v>0</v>
      </c>
      <c r="U415" s="9">
        <f>IF(C415&lt;&gt;0,C415-Gear!$C$11,0)</f>
        <v>0</v>
      </c>
    </row>
    <row r="416" spans="20:21" x14ac:dyDescent="0.25">
      <c r="T416" s="9">
        <f>IF(C416&lt;&gt;0,C416-Gear!$C$11,0)</f>
        <v>0</v>
      </c>
      <c r="U416" s="9">
        <f>IF(C416&lt;&gt;0,C416-Gear!$C$11,0)</f>
        <v>0</v>
      </c>
    </row>
    <row r="417" spans="20:21" x14ac:dyDescent="0.25">
      <c r="T417" s="9">
        <f>IF(C417&lt;&gt;0,C417-Gear!$C$11,0)</f>
        <v>0</v>
      </c>
      <c r="U417" s="9">
        <f>IF(C417&lt;&gt;0,C417-Gear!$C$11,0)</f>
        <v>0</v>
      </c>
    </row>
    <row r="418" spans="20:21" x14ac:dyDescent="0.25">
      <c r="T418" s="9">
        <f>IF(C418&lt;&gt;0,C418-Gear!$C$11,0)</f>
        <v>0</v>
      </c>
      <c r="U418" s="9">
        <f>IF(C418&lt;&gt;0,C418-Gear!$C$11,0)</f>
        <v>0</v>
      </c>
    </row>
    <row r="419" spans="20:21" x14ac:dyDescent="0.25">
      <c r="T419" s="9">
        <f>IF(C419&lt;&gt;0,C419-Gear!$C$11,0)</f>
        <v>0</v>
      </c>
      <c r="U419" s="9">
        <f>IF(C419&lt;&gt;0,C419-Gear!$C$11,0)</f>
        <v>0</v>
      </c>
    </row>
    <row r="420" spans="20:21" x14ac:dyDescent="0.25">
      <c r="T420" s="9">
        <f>IF(C420&lt;&gt;0,C420-Gear!$C$11,0)</f>
        <v>0</v>
      </c>
      <c r="U420" s="9">
        <f>IF(C420&lt;&gt;0,C420-Gear!$C$11,0)</f>
        <v>0</v>
      </c>
    </row>
    <row r="421" spans="20:21" x14ac:dyDescent="0.25">
      <c r="T421" s="9">
        <f>IF(C421&lt;&gt;0,C421-Gear!$C$11,0)</f>
        <v>0</v>
      </c>
      <c r="U421" s="9">
        <f>IF(C421&lt;&gt;0,C421-Gear!$C$11,0)</f>
        <v>0</v>
      </c>
    </row>
    <row r="422" spans="20:21" x14ac:dyDescent="0.25">
      <c r="T422" s="9">
        <f>IF(C422&lt;&gt;0,C422-Gear!$C$11,0)</f>
        <v>0</v>
      </c>
      <c r="U422" s="9">
        <f>IF(C422&lt;&gt;0,C422-Gear!$C$11,0)</f>
        <v>0</v>
      </c>
    </row>
    <row r="423" spans="20:21" x14ac:dyDescent="0.25">
      <c r="T423" s="9">
        <f>IF(C423&lt;&gt;0,C423-Gear!$C$11,0)</f>
        <v>0</v>
      </c>
      <c r="U423" s="9">
        <f>IF(C423&lt;&gt;0,C423-Gear!$C$11,0)</f>
        <v>0</v>
      </c>
    </row>
    <row r="424" spans="20:21" x14ac:dyDescent="0.25">
      <c r="T424" s="9">
        <f>IF(C424&lt;&gt;0,C424-Gear!$C$11,0)</f>
        <v>0</v>
      </c>
      <c r="U424" s="9">
        <f>IF(C424&lt;&gt;0,C424-Gear!$C$11,0)</f>
        <v>0</v>
      </c>
    </row>
    <row r="425" spans="20:21" x14ac:dyDescent="0.25">
      <c r="T425" s="9">
        <f>IF(C425&lt;&gt;0,C425-Gear!$C$11,0)</f>
        <v>0</v>
      </c>
      <c r="U425" s="9">
        <f>IF(C425&lt;&gt;0,C425-Gear!$C$11,0)</f>
        <v>0</v>
      </c>
    </row>
    <row r="426" spans="20:21" x14ac:dyDescent="0.25">
      <c r="T426" s="9">
        <f>IF(C426&lt;&gt;0,C426-Gear!$C$11,0)</f>
        <v>0</v>
      </c>
      <c r="U426" s="9">
        <f>IF(C426&lt;&gt;0,C426-Gear!$C$11,0)</f>
        <v>0</v>
      </c>
    </row>
    <row r="427" spans="20:21" x14ac:dyDescent="0.25">
      <c r="T427" s="9">
        <f>IF(C427&lt;&gt;0,C427-Gear!$C$11,0)</f>
        <v>0</v>
      </c>
      <c r="U427" s="9">
        <f>IF(C427&lt;&gt;0,C427-Gear!$C$11,0)</f>
        <v>0</v>
      </c>
    </row>
    <row r="428" spans="20:21" x14ac:dyDescent="0.25">
      <c r="T428" s="9">
        <f>IF(C428&lt;&gt;0,C428-Gear!$C$11,0)</f>
        <v>0</v>
      </c>
      <c r="U428" s="9">
        <f>IF(C428&lt;&gt;0,C428-Gear!$C$11,0)</f>
        <v>0</v>
      </c>
    </row>
    <row r="429" spans="20:21" x14ac:dyDescent="0.25">
      <c r="T429" s="9">
        <f>IF(C429&lt;&gt;0,C429-Gear!$C$11,0)</f>
        <v>0</v>
      </c>
      <c r="U429" s="9">
        <f>IF(C429&lt;&gt;0,C429-Gear!$C$11,0)</f>
        <v>0</v>
      </c>
    </row>
    <row r="430" spans="20:21" x14ac:dyDescent="0.25">
      <c r="T430" s="9">
        <f>IF(C430&lt;&gt;0,C430-Gear!$C$11,0)</f>
        <v>0</v>
      </c>
      <c r="U430" s="9">
        <f>IF(C430&lt;&gt;0,C430-Gear!$C$11,0)</f>
        <v>0</v>
      </c>
    </row>
    <row r="431" spans="20:21" x14ac:dyDescent="0.25">
      <c r="T431" s="9">
        <f>IF(C431&lt;&gt;0,C431-Gear!$C$11,0)</f>
        <v>0</v>
      </c>
      <c r="U431" s="9">
        <f>IF(C431&lt;&gt;0,C431-Gear!$C$11,0)</f>
        <v>0</v>
      </c>
    </row>
    <row r="432" spans="20:21" x14ac:dyDescent="0.25">
      <c r="T432" s="9">
        <f>IF(C432&lt;&gt;0,C432-Gear!$C$11,0)</f>
        <v>0</v>
      </c>
      <c r="U432" s="9">
        <f>IF(C432&lt;&gt;0,C432-Gear!$C$11,0)</f>
        <v>0</v>
      </c>
    </row>
    <row r="433" spans="20:21" x14ac:dyDescent="0.25">
      <c r="T433" s="9">
        <f>IF(C433&lt;&gt;0,C433-Gear!$C$11,0)</f>
        <v>0</v>
      </c>
      <c r="U433" s="9">
        <f>IF(C433&lt;&gt;0,C433-Gear!$C$11,0)</f>
        <v>0</v>
      </c>
    </row>
    <row r="434" spans="20:21" x14ac:dyDescent="0.25">
      <c r="T434" s="9">
        <f>IF(C434&lt;&gt;0,C434-Gear!$C$11,0)</f>
        <v>0</v>
      </c>
      <c r="U434" s="9">
        <f>IF(C434&lt;&gt;0,C434-Gear!$C$11,0)</f>
        <v>0</v>
      </c>
    </row>
    <row r="435" spans="20:21" x14ac:dyDescent="0.25">
      <c r="T435" s="9">
        <f>IF(C435&lt;&gt;0,C435-Gear!$C$11,0)</f>
        <v>0</v>
      </c>
      <c r="U435" s="9">
        <f>IF(C435&lt;&gt;0,C435-Gear!$C$11,0)</f>
        <v>0</v>
      </c>
    </row>
    <row r="436" spans="20:21" x14ac:dyDescent="0.25">
      <c r="T436" s="9">
        <f>IF(C436&lt;&gt;0,C436-Gear!$C$11,0)</f>
        <v>0</v>
      </c>
      <c r="U436" s="9">
        <f>IF(C436&lt;&gt;0,C436-Gear!$C$11,0)</f>
        <v>0</v>
      </c>
    </row>
    <row r="437" spans="20:21" x14ac:dyDescent="0.25">
      <c r="T437" s="9">
        <f>IF(C437&lt;&gt;0,C437-Gear!$C$11,0)</f>
        <v>0</v>
      </c>
      <c r="U437" s="9">
        <f>IF(C437&lt;&gt;0,C437-Gear!$C$11,0)</f>
        <v>0</v>
      </c>
    </row>
    <row r="438" spans="20:21" x14ac:dyDescent="0.25">
      <c r="T438" s="9">
        <f>IF(C438&lt;&gt;0,C438-Gear!$C$11,0)</f>
        <v>0</v>
      </c>
      <c r="U438" s="9">
        <f>IF(C438&lt;&gt;0,C438-Gear!$C$11,0)</f>
        <v>0</v>
      </c>
    </row>
    <row r="439" spans="20:21" x14ac:dyDescent="0.25">
      <c r="T439" s="9">
        <f>IF(C439&lt;&gt;0,C439-Gear!$C$11,0)</f>
        <v>0</v>
      </c>
      <c r="U439" s="9">
        <f>IF(C439&lt;&gt;0,C439-Gear!$C$11,0)</f>
        <v>0</v>
      </c>
    </row>
    <row r="440" spans="20:21" x14ac:dyDescent="0.25">
      <c r="T440" s="9">
        <f>IF(C440&lt;&gt;0,C440-Gear!$C$11,0)</f>
        <v>0</v>
      </c>
      <c r="U440" s="9">
        <f>IF(C440&lt;&gt;0,C440-Gear!$C$11,0)</f>
        <v>0</v>
      </c>
    </row>
    <row r="441" spans="20:21" x14ac:dyDescent="0.25">
      <c r="T441" s="9">
        <f>IF(C441&lt;&gt;0,C441-Gear!$C$11,0)</f>
        <v>0</v>
      </c>
      <c r="U441" s="9">
        <f>IF(C441&lt;&gt;0,C441-Gear!$C$11,0)</f>
        <v>0</v>
      </c>
    </row>
    <row r="442" spans="20:21" x14ac:dyDescent="0.25">
      <c r="T442" s="9">
        <f>IF(C442&lt;&gt;0,C442-Gear!$C$11,0)</f>
        <v>0</v>
      </c>
      <c r="U442" s="9">
        <f>IF(C442&lt;&gt;0,C442-Gear!$C$11,0)</f>
        <v>0</v>
      </c>
    </row>
    <row r="443" spans="20:21" x14ac:dyDescent="0.25">
      <c r="T443" s="9">
        <f>IF(C443&lt;&gt;0,C443-Gear!$C$11,0)</f>
        <v>0</v>
      </c>
      <c r="U443" s="9">
        <f>IF(C443&lt;&gt;0,C443-Gear!$C$11,0)</f>
        <v>0</v>
      </c>
    </row>
    <row r="444" spans="20:21" x14ac:dyDescent="0.25">
      <c r="T444" s="9">
        <f>IF(C444&lt;&gt;0,C444-Gear!$C$11,0)</f>
        <v>0</v>
      </c>
      <c r="U444" s="9">
        <f>IF(C444&lt;&gt;0,C444-Gear!$C$11,0)</f>
        <v>0</v>
      </c>
    </row>
    <row r="445" spans="20:21" x14ac:dyDescent="0.25">
      <c r="T445" s="9">
        <f>IF(C445&lt;&gt;0,C445-Gear!$C$11,0)</f>
        <v>0</v>
      </c>
      <c r="U445" s="9">
        <f>IF(C445&lt;&gt;0,C445-Gear!$C$11,0)</f>
        <v>0</v>
      </c>
    </row>
    <row r="446" spans="20:21" x14ac:dyDescent="0.25">
      <c r="T446" s="9">
        <f>IF(C446&lt;&gt;0,C446-Gear!$C$11,0)</f>
        <v>0</v>
      </c>
      <c r="U446" s="9">
        <f>IF(C446&lt;&gt;0,C446-Gear!$C$11,0)</f>
        <v>0</v>
      </c>
    </row>
    <row r="447" spans="20:21" x14ac:dyDescent="0.25">
      <c r="T447" s="9">
        <f>IF(C447&lt;&gt;0,C447-Gear!$C$11,0)</f>
        <v>0</v>
      </c>
      <c r="U447" s="9">
        <f>IF(C447&lt;&gt;0,C447-Gear!$C$11,0)</f>
        <v>0</v>
      </c>
    </row>
    <row r="448" spans="20:21" x14ac:dyDescent="0.25">
      <c r="T448" s="9">
        <f>IF(C448&lt;&gt;0,C448-Gear!$C$11,0)</f>
        <v>0</v>
      </c>
      <c r="U448" s="9">
        <f>IF(C448&lt;&gt;0,C448-Gear!$C$11,0)</f>
        <v>0</v>
      </c>
    </row>
    <row r="449" spans="20:21" x14ac:dyDescent="0.25">
      <c r="T449" s="9">
        <f>IF(C449&lt;&gt;0,C449-Gear!$C$11,0)</f>
        <v>0</v>
      </c>
      <c r="U449" s="9">
        <f>IF(C449&lt;&gt;0,C449-Gear!$C$11,0)</f>
        <v>0</v>
      </c>
    </row>
    <row r="450" spans="20:21" x14ac:dyDescent="0.25">
      <c r="T450" s="9">
        <f>IF(C450&lt;&gt;0,C450-Gear!$C$11,0)</f>
        <v>0</v>
      </c>
      <c r="U450" s="9">
        <f>IF(C450&lt;&gt;0,C450-Gear!$C$11,0)</f>
        <v>0</v>
      </c>
    </row>
    <row r="451" spans="20:21" x14ac:dyDescent="0.25">
      <c r="T451" s="9">
        <f>IF(C451&lt;&gt;0,C451-Gear!$C$11,0)</f>
        <v>0</v>
      </c>
      <c r="U451" s="9">
        <f>IF(C451&lt;&gt;0,C451-Gear!$C$11,0)</f>
        <v>0</v>
      </c>
    </row>
    <row r="452" spans="20:21" x14ac:dyDescent="0.25">
      <c r="T452" s="9">
        <f>IF(C452&lt;&gt;0,C452-Gear!$C$11,0)</f>
        <v>0</v>
      </c>
      <c r="U452" s="9">
        <f>IF(C452&lt;&gt;0,C452-Gear!$C$11,0)</f>
        <v>0</v>
      </c>
    </row>
    <row r="453" spans="20:21" x14ac:dyDescent="0.25">
      <c r="T453" s="9">
        <f>IF(C453&lt;&gt;0,C453-Gear!$C$11,0)</f>
        <v>0</v>
      </c>
      <c r="U453" s="9">
        <f>IF(C453&lt;&gt;0,C453-Gear!$C$11,0)</f>
        <v>0</v>
      </c>
    </row>
    <row r="454" spans="20:21" x14ac:dyDescent="0.25">
      <c r="T454" s="9">
        <f>IF(C454&lt;&gt;0,C454-Gear!$C$11,0)</f>
        <v>0</v>
      </c>
      <c r="U454" s="9">
        <f>IF(C454&lt;&gt;0,C454-Gear!$C$11,0)</f>
        <v>0</v>
      </c>
    </row>
    <row r="455" spans="20:21" x14ac:dyDescent="0.25">
      <c r="T455" s="9">
        <f>IF(C455&lt;&gt;0,C455-Gear!$C$11,0)</f>
        <v>0</v>
      </c>
      <c r="U455" s="9">
        <f>IF(C455&lt;&gt;0,C455-Gear!$C$11,0)</f>
        <v>0</v>
      </c>
    </row>
    <row r="456" spans="20:21" x14ac:dyDescent="0.25">
      <c r="T456" s="9">
        <f>IF(C456&lt;&gt;0,C456-Gear!$C$11,0)</f>
        <v>0</v>
      </c>
      <c r="U456" s="9">
        <f>IF(C456&lt;&gt;0,C456-Gear!$C$11,0)</f>
        <v>0</v>
      </c>
    </row>
    <row r="457" spans="20:21" x14ac:dyDescent="0.25">
      <c r="T457" s="9">
        <f>IF(C457&lt;&gt;0,C457-Gear!$C$11,0)</f>
        <v>0</v>
      </c>
      <c r="U457" s="9">
        <f>IF(C457&lt;&gt;0,C457-Gear!$C$11,0)</f>
        <v>0</v>
      </c>
    </row>
    <row r="458" spans="20:21" x14ac:dyDescent="0.25">
      <c r="T458" s="9">
        <f>IF(C458&lt;&gt;0,C458-Gear!$C$11,0)</f>
        <v>0</v>
      </c>
      <c r="U458" s="9">
        <f>IF(C458&lt;&gt;0,C458-Gear!$C$11,0)</f>
        <v>0</v>
      </c>
    </row>
    <row r="459" spans="20:21" x14ac:dyDescent="0.25">
      <c r="T459" s="9">
        <f>IF(C459&lt;&gt;0,C459-Gear!$C$11,0)</f>
        <v>0</v>
      </c>
      <c r="U459" s="9">
        <f>IF(C459&lt;&gt;0,C459-Gear!$C$11,0)</f>
        <v>0</v>
      </c>
    </row>
    <row r="460" spans="20:21" x14ac:dyDescent="0.25">
      <c r="T460" s="9">
        <f>IF(C460&lt;&gt;0,C460-Gear!$C$11,0)</f>
        <v>0</v>
      </c>
      <c r="U460" s="9">
        <f>IF(C460&lt;&gt;0,C460-Gear!$C$11,0)</f>
        <v>0</v>
      </c>
    </row>
    <row r="461" spans="20:21" x14ac:dyDescent="0.25">
      <c r="T461" s="9">
        <f>IF(C461&lt;&gt;0,C461-Gear!$C$11,0)</f>
        <v>0</v>
      </c>
      <c r="U461" s="9">
        <f>IF(C461&lt;&gt;0,C461-Gear!$C$11,0)</f>
        <v>0</v>
      </c>
    </row>
    <row r="462" spans="20:21" x14ac:dyDescent="0.25">
      <c r="T462" s="9">
        <f>IF(C462&lt;&gt;0,C462-Gear!$C$11,0)</f>
        <v>0</v>
      </c>
      <c r="U462" s="9">
        <f>IF(C462&lt;&gt;0,C462-Gear!$C$11,0)</f>
        <v>0</v>
      </c>
    </row>
    <row r="463" spans="20:21" x14ac:dyDescent="0.25">
      <c r="T463" s="9">
        <f>IF(C463&lt;&gt;0,C463-Gear!$C$11,0)</f>
        <v>0</v>
      </c>
      <c r="U463" s="9">
        <f>IF(C463&lt;&gt;0,C463-Gear!$C$11,0)</f>
        <v>0</v>
      </c>
    </row>
    <row r="464" spans="20:21" x14ac:dyDescent="0.25">
      <c r="T464" s="9">
        <f>IF(C464&lt;&gt;0,C464-Gear!$C$11,0)</f>
        <v>0</v>
      </c>
      <c r="U464" s="9">
        <f>IF(C464&lt;&gt;0,C464-Gear!$C$11,0)</f>
        <v>0</v>
      </c>
    </row>
    <row r="465" spans="20:21" x14ac:dyDescent="0.25">
      <c r="T465" s="9">
        <f>IF(C465&lt;&gt;0,C465-Gear!$C$11,0)</f>
        <v>0</v>
      </c>
      <c r="U465" s="9">
        <f>IF(C465&lt;&gt;0,C465-Gear!$C$11,0)</f>
        <v>0</v>
      </c>
    </row>
    <row r="466" spans="20:21" x14ac:dyDescent="0.25">
      <c r="T466" s="9">
        <f>IF(C466&lt;&gt;0,C466-Gear!$C$11,0)</f>
        <v>0</v>
      </c>
      <c r="U466" s="9">
        <f>IF(C466&lt;&gt;0,C466-Gear!$C$11,0)</f>
        <v>0</v>
      </c>
    </row>
    <row r="467" spans="20:21" x14ac:dyDescent="0.25">
      <c r="T467" s="9">
        <f>IF(C467&lt;&gt;0,C467-Gear!$C$11,0)</f>
        <v>0</v>
      </c>
      <c r="U467" s="9">
        <f>IF(C467&lt;&gt;0,C467-Gear!$C$11,0)</f>
        <v>0</v>
      </c>
    </row>
    <row r="468" spans="20:21" x14ac:dyDescent="0.25">
      <c r="T468" s="9">
        <f>IF(C468&lt;&gt;0,C468-Gear!$C$11,0)</f>
        <v>0</v>
      </c>
      <c r="U468" s="9">
        <f>IF(C468&lt;&gt;0,C468-Gear!$C$11,0)</f>
        <v>0</v>
      </c>
    </row>
    <row r="469" spans="20:21" x14ac:dyDescent="0.25">
      <c r="T469" s="9">
        <f>IF(C469&lt;&gt;0,C469-Gear!$C$11,0)</f>
        <v>0</v>
      </c>
      <c r="U469" s="9">
        <f>IF(C469&lt;&gt;0,C469-Gear!$C$11,0)</f>
        <v>0</v>
      </c>
    </row>
    <row r="470" spans="20:21" x14ac:dyDescent="0.25">
      <c r="T470" s="9">
        <f>IF(C470&lt;&gt;0,C470-Gear!$C$11,0)</f>
        <v>0</v>
      </c>
      <c r="U470" s="9">
        <f>IF(C470&lt;&gt;0,C470-Gear!$C$11,0)</f>
        <v>0</v>
      </c>
    </row>
    <row r="471" spans="20:21" x14ac:dyDescent="0.25">
      <c r="T471" s="9">
        <f>IF(C471&lt;&gt;0,C471-Gear!$C$11,0)</f>
        <v>0</v>
      </c>
      <c r="U471" s="9">
        <f>IF(C471&lt;&gt;0,C471-Gear!$C$11,0)</f>
        <v>0</v>
      </c>
    </row>
    <row r="472" spans="20:21" x14ac:dyDescent="0.25">
      <c r="T472" s="9">
        <f>IF(C472&lt;&gt;0,C472-Gear!$C$11,0)</f>
        <v>0</v>
      </c>
      <c r="U472" s="9">
        <f>IF(C472&lt;&gt;0,C472-Gear!$C$11,0)</f>
        <v>0</v>
      </c>
    </row>
    <row r="473" spans="20:21" x14ac:dyDescent="0.25">
      <c r="T473" s="9">
        <f>IF(C473&lt;&gt;0,C473-Gear!$C$11,0)</f>
        <v>0</v>
      </c>
      <c r="U473" s="9">
        <f>IF(C473&lt;&gt;0,C473-Gear!$C$11,0)</f>
        <v>0</v>
      </c>
    </row>
    <row r="474" spans="20:21" x14ac:dyDescent="0.25">
      <c r="T474" s="9">
        <f>IF(C474&lt;&gt;0,C474-Gear!$C$11,0)</f>
        <v>0</v>
      </c>
      <c r="U474" s="9">
        <f>IF(C474&lt;&gt;0,C474-Gear!$C$11,0)</f>
        <v>0</v>
      </c>
    </row>
    <row r="475" spans="20:21" x14ac:dyDescent="0.25">
      <c r="T475" s="9">
        <f>IF(C475&lt;&gt;0,C475-Gear!$C$11,0)</f>
        <v>0</v>
      </c>
      <c r="U475" s="9">
        <f>IF(C475&lt;&gt;0,C475-Gear!$C$11,0)</f>
        <v>0</v>
      </c>
    </row>
    <row r="476" spans="20:21" x14ac:dyDescent="0.25">
      <c r="T476" s="9">
        <f>IF(C476&lt;&gt;0,C476-Gear!$C$11,0)</f>
        <v>0</v>
      </c>
      <c r="U476" s="9">
        <f>IF(C476&lt;&gt;0,C476-Gear!$C$11,0)</f>
        <v>0</v>
      </c>
    </row>
    <row r="477" spans="20:21" x14ac:dyDescent="0.25">
      <c r="T477" s="9">
        <f>IF(C477&lt;&gt;0,C477-Gear!$C$11,0)</f>
        <v>0</v>
      </c>
      <c r="U477" s="9">
        <f>IF(C477&lt;&gt;0,C477-Gear!$C$11,0)</f>
        <v>0</v>
      </c>
    </row>
    <row r="478" spans="20:21" x14ac:dyDescent="0.25">
      <c r="T478" s="9">
        <f>IF(C478&lt;&gt;0,C478-Gear!$C$11,0)</f>
        <v>0</v>
      </c>
      <c r="U478" s="9">
        <f>IF(C478&lt;&gt;0,C478-Gear!$C$11,0)</f>
        <v>0</v>
      </c>
    </row>
    <row r="479" spans="20:21" x14ac:dyDescent="0.25">
      <c r="T479" s="9">
        <f>IF(C479&lt;&gt;0,C479-Gear!$C$11,0)</f>
        <v>0</v>
      </c>
      <c r="U479" s="9">
        <f>IF(C479&lt;&gt;0,C479-Gear!$C$11,0)</f>
        <v>0</v>
      </c>
    </row>
    <row r="480" spans="20:21" x14ac:dyDescent="0.25">
      <c r="T480" s="9">
        <f>IF(C480&lt;&gt;0,C480-Gear!$C$11,0)</f>
        <v>0</v>
      </c>
      <c r="U480" s="9">
        <f>IF(C480&lt;&gt;0,C480-Gear!$C$11,0)</f>
        <v>0</v>
      </c>
    </row>
    <row r="481" spans="20:21" x14ac:dyDescent="0.25">
      <c r="T481" s="9">
        <f>IF(C481&lt;&gt;0,C481-Gear!$C$11,0)</f>
        <v>0</v>
      </c>
      <c r="U481" s="9">
        <f>IF(C481&lt;&gt;0,C481-Gear!$C$11,0)</f>
        <v>0</v>
      </c>
    </row>
    <row r="482" spans="20:21" x14ac:dyDescent="0.25">
      <c r="T482" s="9">
        <f>IF(C482&lt;&gt;0,C482-Gear!$C$11,0)</f>
        <v>0</v>
      </c>
      <c r="U482" s="9">
        <f>IF(C482&lt;&gt;0,C482-Gear!$C$11,0)</f>
        <v>0</v>
      </c>
    </row>
    <row r="483" spans="20:21" x14ac:dyDescent="0.25">
      <c r="T483" s="9">
        <f>IF(C483&lt;&gt;0,C483-Gear!$C$11,0)</f>
        <v>0</v>
      </c>
      <c r="U483" s="9">
        <f>IF(C483&lt;&gt;0,C483-Gear!$C$11,0)</f>
        <v>0</v>
      </c>
    </row>
    <row r="484" spans="20:21" x14ac:dyDescent="0.25">
      <c r="T484" s="9">
        <f>IF(C484&lt;&gt;0,C484-Gear!$C$11,0)</f>
        <v>0</v>
      </c>
      <c r="U484" s="9">
        <f>IF(C484&lt;&gt;0,C484-Gear!$C$11,0)</f>
        <v>0</v>
      </c>
    </row>
    <row r="485" spans="20:21" x14ac:dyDescent="0.25">
      <c r="T485" s="9">
        <f>IF(C485&lt;&gt;0,C485-Gear!$C$11,0)</f>
        <v>0</v>
      </c>
      <c r="U485" s="9">
        <f>IF(C485&lt;&gt;0,C485-Gear!$C$11,0)</f>
        <v>0</v>
      </c>
    </row>
    <row r="486" spans="20:21" x14ac:dyDescent="0.25">
      <c r="T486" s="9">
        <f>IF(C486&lt;&gt;0,C486-Gear!$C$11,0)</f>
        <v>0</v>
      </c>
      <c r="U486" s="9">
        <f>IF(C486&lt;&gt;0,C486-Gear!$C$11,0)</f>
        <v>0</v>
      </c>
    </row>
    <row r="487" spans="20:21" x14ac:dyDescent="0.25">
      <c r="T487" s="9">
        <f>IF(C487&lt;&gt;0,C487-Gear!$C$11,0)</f>
        <v>0</v>
      </c>
      <c r="U487" s="9">
        <f>IF(C487&lt;&gt;0,C487-Gear!$C$11,0)</f>
        <v>0</v>
      </c>
    </row>
    <row r="488" spans="20:21" x14ac:dyDescent="0.25">
      <c r="T488" s="9">
        <f>IF(C488&lt;&gt;0,C488-Gear!$C$11,0)</f>
        <v>0</v>
      </c>
      <c r="U488" s="9">
        <f>IF(C488&lt;&gt;0,C488-Gear!$C$11,0)</f>
        <v>0</v>
      </c>
    </row>
    <row r="489" spans="20:21" x14ac:dyDescent="0.25">
      <c r="T489" s="9">
        <f>IF(C489&lt;&gt;0,C489-Gear!$C$11,0)</f>
        <v>0</v>
      </c>
      <c r="U489" s="9">
        <f>IF(C489&lt;&gt;0,C489-Gear!$C$11,0)</f>
        <v>0</v>
      </c>
    </row>
    <row r="490" spans="20:21" x14ac:dyDescent="0.25">
      <c r="T490" s="9">
        <f>IF(C490&lt;&gt;0,C490-Gear!$C$11,0)</f>
        <v>0</v>
      </c>
      <c r="U490" s="9">
        <f>IF(C490&lt;&gt;0,C490-Gear!$C$11,0)</f>
        <v>0</v>
      </c>
    </row>
    <row r="491" spans="20:21" x14ac:dyDescent="0.25">
      <c r="T491" s="9">
        <f>IF(C491&lt;&gt;0,C491-Gear!$C$11,0)</f>
        <v>0</v>
      </c>
      <c r="U491" s="9">
        <f>IF(C491&lt;&gt;0,C491-Gear!$C$11,0)</f>
        <v>0</v>
      </c>
    </row>
    <row r="492" spans="20:21" x14ac:dyDescent="0.25">
      <c r="T492" s="9">
        <f>IF(C492&lt;&gt;0,C492-Gear!$C$11,0)</f>
        <v>0</v>
      </c>
      <c r="U492" s="9">
        <f>IF(C492&lt;&gt;0,C492-Gear!$C$11,0)</f>
        <v>0</v>
      </c>
    </row>
    <row r="493" spans="20:21" x14ac:dyDescent="0.25">
      <c r="T493" s="9">
        <f>IF(C493&lt;&gt;0,C493-Gear!$C$11,0)</f>
        <v>0</v>
      </c>
      <c r="U493" s="9">
        <f>IF(C493&lt;&gt;0,C493-Gear!$C$11,0)</f>
        <v>0</v>
      </c>
    </row>
    <row r="494" spans="20:21" x14ac:dyDescent="0.25">
      <c r="T494" s="9">
        <f>IF(C494&lt;&gt;0,C494-Gear!$C$11,0)</f>
        <v>0</v>
      </c>
      <c r="U494" s="9">
        <f>IF(C494&lt;&gt;0,C494-Gear!$C$11,0)</f>
        <v>0</v>
      </c>
    </row>
    <row r="495" spans="20:21" x14ac:dyDescent="0.25">
      <c r="T495" s="9">
        <f>IF(C495&lt;&gt;0,C495-Gear!$C$11,0)</f>
        <v>0</v>
      </c>
      <c r="U495" s="9">
        <f>IF(C495&lt;&gt;0,C495-Gear!$C$11,0)</f>
        <v>0</v>
      </c>
    </row>
    <row r="496" spans="20:21" x14ac:dyDescent="0.25">
      <c r="T496" s="9">
        <f>IF(C496&lt;&gt;0,C496-Gear!$C$11,0)</f>
        <v>0</v>
      </c>
      <c r="U496" s="9">
        <f>IF(C496&lt;&gt;0,C496-Gear!$C$11,0)</f>
        <v>0</v>
      </c>
    </row>
    <row r="497" spans="20:21" x14ac:dyDescent="0.25">
      <c r="T497" s="9">
        <f>IF(C497&lt;&gt;0,C497-Gear!$C$11,0)</f>
        <v>0</v>
      </c>
      <c r="U497" s="9">
        <f>IF(C497&lt;&gt;0,C497-Gear!$C$11,0)</f>
        <v>0</v>
      </c>
    </row>
    <row r="498" spans="20:21" x14ac:dyDescent="0.25">
      <c r="T498" s="9">
        <f>IF(C498&lt;&gt;0,C498-Gear!$C$11,0)</f>
        <v>0</v>
      </c>
      <c r="U498" s="9">
        <f>IF(C498&lt;&gt;0,C498-Gear!$C$11,0)</f>
        <v>0</v>
      </c>
    </row>
    <row r="499" spans="20:21" x14ac:dyDescent="0.25">
      <c r="T499" s="9">
        <f>IF(C499&lt;&gt;0,C499-Gear!$C$11,0)</f>
        <v>0</v>
      </c>
      <c r="U499" s="9">
        <f>IF(C499&lt;&gt;0,C499-Gear!$C$11,0)</f>
        <v>0</v>
      </c>
    </row>
    <row r="500" spans="20:21" x14ac:dyDescent="0.25">
      <c r="T500" s="9">
        <f>IF(C500&lt;&gt;0,C500-Gear!$C$11,0)</f>
        <v>0</v>
      </c>
      <c r="U500" s="9">
        <f>IF(C500&lt;&gt;0,C500-Gear!$C$11,0)</f>
        <v>0</v>
      </c>
    </row>
    <row r="501" spans="20:21" x14ac:dyDescent="0.25">
      <c r="T501" s="9">
        <f>IF(C501&lt;&gt;0,C501-Gear!$C$11,0)</f>
        <v>0</v>
      </c>
      <c r="U501" s="9">
        <f>IF(C501&lt;&gt;0,C501-Gear!$C$11,0)</f>
        <v>0</v>
      </c>
    </row>
    <row r="502" spans="20:21" x14ac:dyDescent="0.25">
      <c r="T502" s="9">
        <f>IF(C502&lt;&gt;0,C502-Gear!$C$11,0)</f>
        <v>0</v>
      </c>
      <c r="U502" s="9">
        <f>IF(C502&lt;&gt;0,C502-Gear!$C$11,0)</f>
        <v>0</v>
      </c>
    </row>
    <row r="503" spans="20:21" x14ac:dyDescent="0.25">
      <c r="T503" s="9">
        <f>IF(C503&lt;&gt;0,C503-Gear!$C$11,0)</f>
        <v>0</v>
      </c>
      <c r="U503" s="9">
        <f>IF(C503&lt;&gt;0,C503-Gear!$C$11,0)</f>
        <v>0</v>
      </c>
    </row>
    <row r="504" spans="20:21" x14ac:dyDescent="0.25">
      <c r="T504" s="9">
        <f>IF(C504&lt;&gt;0,C504-Gear!$C$11,0)</f>
        <v>0</v>
      </c>
      <c r="U504" s="9">
        <f>IF(C504&lt;&gt;0,C504-Gear!$C$11,0)</f>
        <v>0</v>
      </c>
    </row>
    <row r="505" spans="20:21" x14ac:dyDescent="0.25">
      <c r="T505" s="9">
        <f>IF(C505&lt;&gt;0,C505-Gear!$C$11,0)</f>
        <v>0</v>
      </c>
      <c r="U505" s="9">
        <f>IF(C505&lt;&gt;0,C505-Gear!$C$11,0)</f>
        <v>0</v>
      </c>
    </row>
    <row r="506" spans="20:21" x14ac:dyDescent="0.25">
      <c r="T506" s="9">
        <f>IF(C506&lt;&gt;0,C506-Gear!$C$11,0)</f>
        <v>0</v>
      </c>
      <c r="U506" s="9">
        <f>IF(C506&lt;&gt;0,C506-Gear!$C$11,0)</f>
        <v>0</v>
      </c>
    </row>
  </sheetData>
  <conditionalFormatting sqref="U2:U506">
    <cfRule type="cellIs" dxfId="5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0EF3-518A-488E-903B-B8C8FC0198D8}">
  <sheetPr codeName="Tabelle15"/>
  <dimension ref="A1:U417"/>
  <sheetViews>
    <sheetView showGridLines="0" workbookViewId="0">
      <selection activeCell="T7" sqref="T7"/>
    </sheetView>
  </sheetViews>
  <sheetFormatPr baseColWidth="10" defaultRowHeight="15" x14ac:dyDescent="0.25"/>
  <cols>
    <col min="1" max="1" width="6" style="9" bestFit="1" customWidth="1"/>
    <col min="2" max="2" width="24.28515625" style="9" bestFit="1" customWidth="1"/>
    <col min="3" max="3" width="12" style="9" bestFit="1" customWidth="1"/>
    <col min="4" max="4" width="6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Database'!A31</f>
        <v>17103</v>
      </c>
      <c r="B2" s="9" t="str">
        <f>'Item Database'!B31</f>
        <v>Azuresong Mageblade</v>
      </c>
      <c r="C2" s="12">
        <f>'Item Database'!C31</f>
        <v>17.30541243300576</v>
      </c>
      <c r="D2" s="9" t="str">
        <f>'Item Database'!D31</f>
        <v>Weapon</v>
      </c>
      <c r="E2" s="9">
        <f>'Item Database'!E31</f>
        <v>0</v>
      </c>
      <c r="F2" s="9">
        <f>'Item Database'!F31</f>
        <v>0</v>
      </c>
      <c r="G2" s="9">
        <f>'Item Database'!G31</f>
        <v>7</v>
      </c>
      <c r="H2" s="9">
        <f>'Item Database'!H31</f>
        <v>0</v>
      </c>
      <c r="I2" s="9">
        <f>'Item Database'!I31</f>
        <v>12</v>
      </c>
      <c r="J2" s="9">
        <f>'Item Database'!J31</f>
        <v>0</v>
      </c>
      <c r="K2" s="9">
        <f>'Item Database'!K31</f>
        <v>40</v>
      </c>
      <c r="L2" s="35">
        <f>'Item Database'!L31</f>
        <v>0.01</v>
      </c>
      <c r="M2" s="35">
        <f>'Item Database'!M31</f>
        <v>0</v>
      </c>
      <c r="N2" s="9">
        <f>'Item Database'!N31</f>
        <v>0</v>
      </c>
      <c r="O2" s="9">
        <f>'Item Database'!O31</f>
        <v>0</v>
      </c>
      <c r="P2" s="9">
        <f>'Item Database'!P31</f>
        <v>0</v>
      </c>
      <c r="Q2" s="9">
        <f>'Item Database'!Q31</f>
        <v>0</v>
      </c>
      <c r="R2" s="9">
        <f>'Item Database'!R31</f>
        <v>0</v>
      </c>
      <c r="S2" s="9">
        <f>'Item Database'!S31</f>
        <v>0</v>
      </c>
      <c r="T2" s="53" t="str">
        <f>HYPERLINK('Item Database'!T31)</f>
        <v>https://classic.wowhead.com/item=17103</v>
      </c>
      <c r="U2" s="9">
        <f>IF(C2&lt;&gt;0,C2-Gear!$C$12,0)</f>
        <v>17.30541243300576</v>
      </c>
    </row>
    <row r="3" spans="1:21" x14ac:dyDescent="0.25">
      <c r="A3" s="24">
        <f>'Item Database'!A35</f>
        <v>23031</v>
      </c>
      <c r="B3" s="9" t="str">
        <f>'Item Database'!B35</f>
        <v>Band of the Inevitable</v>
      </c>
      <c r="C3" s="12">
        <f>'Item Database'!C35</f>
        <v>16.137864745506533</v>
      </c>
      <c r="D3" s="9" t="str">
        <f>'Item Database'!D35</f>
        <v>Ring</v>
      </c>
      <c r="E3" s="9">
        <f>'Item Database'!E35</f>
        <v>0</v>
      </c>
      <c r="F3" s="9">
        <f>'Item Database'!F35</f>
        <v>0</v>
      </c>
      <c r="G3" s="9">
        <f>'Item Database'!G35</f>
        <v>0</v>
      </c>
      <c r="H3" s="9">
        <f>'Item Database'!H35</f>
        <v>0</v>
      </c>
      <c r="I3" s="9">
        <f>'Item Database'!I35</f>
        <v>0</v>
      </c>
      <c r="J3" s="9">
        <f>'Item Database'!J35</f>
        <v>0</v>
      </c>
      <c r="K3" s="9">
        <f>'Item Database'!K35</f>
        <v>36</v>
      </c>
      <c r="L3" s="35">
        <f>'Item Database'!L35</f>
        <v>0</v>
      </c>
      <c r="M3" s="35">
        <f>'Item Database'!M35</f>
        <v>0.01</v>
      </c>
      <c r="N3" s="9">
        <f>'Item Database'!N35</f>
        <v>0</v>
      </c>
      <c r="O3" s="9">
        <f>'Item Database'!O35</f>
        <v>0</v>
      </c>
      <c r="P3" s="9">
        <f>'Item Database'!P35</f>
        <v>0</v>
      </c>
      <c r="Q3" s="9">
        <f>'Item Database'!Q35</f>
        <v>0</v>
      </c>
      <c r="R3" s="9">
        <f>'Item Database'!R35</f>
        <v>0</v>
      </c>
      <c r="S3" s="9">
        <f>'Item Database'!S35</f>
        <v>0</v>
      </c>
      <c r="T3" s="53" t="str">
        <f>HYPERLINK('Item Database'!T35)</f>
        <v>https://classic.wowhead.com/item=23031</v>
      </c>
      <c r="U3" s="9">
        <f>IF(C3&lt;&gt;0,C3-Gear!$C$12,0)</f>
        <v>16.137864745506533</v>
      </c>
    </row>
    <row r="4" spans="1:21" x14ac:dyDescent="0.25">
      <c r="A4" s="24">
        <f>'Item Database'!A47</f>
        <v>21499</v>
      </c>
      <c r="B4" s="9" t="str">
        <f>'Item Database'!B47</f>
        <v>Vestments of the Shifting Sands</v>
      </c>
      <c r="C4" s="12">
        <f>'Item Database'!C47</f>
        <v>14.515682668975028</v>
      </c>
      <c r="D4" s="9" t="str">
        <f>'Item Database'!D47</f>
        <v>Chest</v>
      </c>
      <c r="E4" s="9">
        <f>'Item Database'!E47</f>
        <v>102</v>
      </c>
      <c r="F4" s="9">
        <f>'Item Database'!F47</f>
        <v>0</v>
      </c>
      <c r="G4" s="9">
        <f>'Item Database'!G47</f>
        <v>20</v>
      </c>
      <c r="H4" s="9">
        <f>'Item Database'!H47</f>
        <v>0</v>
      </c>
      <c r="I4" s="9">
        <f>'Item Database'!I47</f>
        <v>14</v>
      </c>
      <c r="J4" s="9">
        <f>'Item Database'!J47</f>
        <v>8</v>
      </c>
      <c r="K4" s="9">
        <f>'Item Database'!K47</f>
        <v>32</v>
      </c>
      <c r="L4" s="35">
        <f>'Item Database'!L47</f>
        <v>0.01</v>
      </c>
      <c r="M4" s="35">
        <f>'Item Database'!M47</f>
        <v>0</v>
      </c>
      <c r="N4" s="9">
        <f>'Item Database'!N47</f>
        <v>0</v>
      </c>
      <c r="O4" s="9">
        <f>'Item Database'!O47</f>
        <v>0</v>
      </c>
      <c r="P4" s="9">
        <f>'Item Database'!P47</f>
        <v>0</v>
      </c>
      <c r="Q4" s="9">
        <f>'Item Database'!Q47</f>
        <v>0</v>
      </c>
      <c r="R4" s="9">
        <f>'Item Database'!R47</f>
        <v>0</v>
      </c>
      <c r="S4" s="9">
        <f>'Item Database'!S47</f>
        <v>0</v>
      </c>
      <c r="T4" s="53" t="str">
        <f>HYPERLINK('Item Database'!T47)</f>
        <v>https://classic.wowhead.com/item=21499</v>
      </c>
      <c r="U4" s="9">
        <f>IF(C4&lt;&gt;0,C4-Gear!$C$12,0)</f>
        <v>14.515682668975028</v>
      </c>
    </row>
    <row r="5" spans="1:21" x14ac:dyDescent="0.25">
      <c r="A5" s="24">
        <f>'Item Database'!A52</f>
        <v>23062</v>
      </c>
      <c r="B5" s="9" t="str">
        <f>'Item Database'!B52</f>
        <v>Frostfire Ring</v>
      </c>
      <c r="C5" s="12">
        <f>'Item Database'!C52</f>
        <v>13.632907451797596</v>
      </c>
      <c r="D5" s="9" t="str">
        <f>'Item Database'!D52</f>
        <v>Ring</v>
      </c>
      <c r="E5" s="9">
        <f>'Item Database'!E52</f>
        <v>0</v>
      </c>
      <c r="F5" s="9">
        <f>'Item Database'!F52</f>
        <v>0</v>
      </c>
      <c r="G5" s="9">
        <f>'Item Database'!G52</f>
        <v>10</v>
      </c>
      <c r="H5" s="9">
        <f>'Item Database'!H52</f>
        <v>0</v>
      </c>
      <c r="I5" s="9">
        <f>'Item Database'!I52</f>
        <v>10</v>
      </c>
      <c r="J5" s="9">
        <f>'Item Database'!J52</f>
        <v>0</v>
      </c>
      <c r="K5" s="9">
        <f>'Item Database'!K52</f>
        <v>30</v>
      </c>
      <c r="L5" s="35">
        <f>'Item Database'!L52</f>
        <v>0.01</v>
      </c>
      <c r="M5" s="35">
        <f>'Item Database'!M52</f>
        <v>0</v>
      </c>
      <c r="N5" s="9">
        <f>'Item Database'!N52</f>
        <v>0</v>
      </c>
      <c r="O5" s="9">
        <f>'Item Database'!O52</f>
        <v>0</v>
      </c>
      <c r="P5" s="9">
        <f>'Item Database'!P52</f>
        <v>0</v>
      </c>
      <c r="Q5" s="9">
        <f>'Item Database'!Q52</f>
        <v>0</v>
      </c>
      <c r="R5" s="9">
        <f>'Item Database'!R52</f>
        <v>0</v>
      </c>
      <c r="S5" s="9">
        <f>'Item Database'!S52</f>
        <v>0</v>
      </c>
      <c r="T5" s="53" t="str">
        <f>HYPERLINK('Item Database'!T52)</f>
        <v>https://classic.wowhead.com/item=23062</v>
      </c>
      <c r="U5" s="9">
        <f>IF(C5&lt;&gt;0,C5-Gear!$C$12,0)</f>
        <v>13.632907451797596</v>
      </c>
    </row>
    <row r="6" spans="1:21" x14ac:dyDescent="0.25">
      <c r="A6" s="24">
        <f>'Item Database'!A70</f>
        <v>16914</v>
      </c>
      <c r="B6" s="9" t="str">
        <f>'Item Database'!B70</f>
        <v>Netherwind Crown</v>
      </c>
      <c r="C6" s="12">
        <f>'Item Database'!C70</f>
        <v>12.559286698294354</v>
      </c>
      <c r="D6" s="9" t="str">
        <f>'Item Database'!D70</f>
        <v>Head</v>
      </c>
      <c r="E6" s="9">
        <f>'Item Database'!E70</f>
        <v>94</v>
      </c>
      <c r="F6" s="9">
        <f>'Item Database'!F70</f>
        <v>0</v>
      </c>
      <c r="G6" s="9">
        <f>'Item Database'!G70</f>
        <v>17</v>
      </c>
      <c r="H6" s="9">
        <f>'Item Database'!H70</f>
        <v>0</v>
      </c>
      <c r="I6" s="9">
        <f>'Item Database'!I70</f>
        <v>26</v>
      </c>
      <c r="J6" s="9">
        <f>'Item Database'!J70</f>
        <v>7</v>
      </c>
      <c r="K6" s="9">
        <f>'Item Database'!K70</f>
        <v>32</v>
      </c>
      <c r="L6" s="35">
        <f>'Item Database'!L70</f>
        <v>0</v>
      </c>
      <c r="M6" s="35">
        <f>'Item Database'!M70</f>
        <v>0</v>
      </c>
      <c r="N6" s="9">
        <f>'Item Database'!N70</f>
        <v>4</v>
      </c>
      <c r="O6" s="9">
        <f>'Item Database'!O70</f>
        <v>0</v>
      </c>
      <c r="P6" s="9">
        <f>'Item Database'!P70</f>
        <v>10</v>
      </c>
      <c r="Q6" s="9">
        <f>'Item Database'!Q70</f>
        <v>0</v>
      </c>
      <c r="R6" s="9">
        <f>'Item Database'!R70</f>
        <v>10</v>
      </c>
      <c r="S6" s="9">
        <f>'Item Database'!S70</f>
        <v>0</v>
      </c>
      <c r="T6" s="53" t="str">
        <f>HYPERLINK('Item Database'!T70)</f>
        <v>https://classic.wowhead.com/item=16914</v>
      </c>
      <c r="U6" s="9">
        <f>IF(C6&lt;&gt;0,C6-Gear!$C$12,0)</f>
        <v>12.559286698294354</v>
      </c>
    </row>
    <row r="7" spans="1:21" x14ac:dyDescent="0.25">
      <c r="A7" s="24">
        <f>'Item Database'!A78</f>
        <v>20258</v>
      </c>
      <c r="B7" s="9" t="str">
        <f>'Item Database'!B78</f>
        <v>Zulian Ceremonial Staff</v>
      </c>
      <c r="C7" s="12">
        <f>'Item Database'!C78</f>
        <v>12.147413862361581</v>
      </c>
      <c r="D7" s="9" t="str">
        <f>'Item Database'!D78</f>
        <v>Two-Hand</v>
      </c>
      <c r="E7" s="9">
        <f>'Item Database'!E78</f>
        <v>0</v>
      </c>
      <c r="F7" s="9">
        <f>'Item Database'!F78</f>
        <v>0</v>
      </c>
      <c r="G7" s="9">
        <f>'Item Database'!G78</f>
        <v>13</v>
      </c>
      <c r="H7" s="9">
        <f>'Item Database'!H78</f>
        <v>0</v>
      </c>
      <c r="I7" s="9">
        <f>'Item Database'!I78</f>
        <v>16</v>
      </c>
      <c r="J7" s="9">
        <f>'Item Database'!J78</f>
        <v>0</v>
      </c>
      <c r="K7" s="9">
        <f>'Item Database'!K78</f>
        <v>32</v>
      </c>
      <c r="L7" s="35">
        <f>'Item Database'!L78</f>
        <v>0</v>
      </c>
      <c r="M7" s="35">
        <f>'Item Database'!M78</f>
        <v>0</v>
      </c>
      <c r="N7" s="9">
        <f>'Item Database'!N78</f>
        <v>0</v>
      </c>
      <c r="O7" s="9">
        <f>'Item Database'!O78</f>
        <v>0</v>
      </c>
      <c r="P7" s="9">
        <f>'Item Database'!P78</f>
        <v>0</v>
      </c>
      <c r="Q7" s="9">
        <f>'Item Database'!Q78</f>
        <v>0</v>
      </c>
      <c r="R7" s="9">
        <f>'Item Database'!R78</f>
        <v>0</v>
      </c>
      <c r="S7" s="9">
        <f>'Item Database'!S78</f>
        <v>0</v>
      </c>
      <c r="T7" s="53" t="str">
        <f>HYPERLINK('Item Database'!T78)</f>
        <v>https://classic.wowhead.com/item=20258</v>
      </c>
      <c r="U7" s="9">
        <f>IF(C7&lt;&gt;0,C7-Gear!$C$12,0)</f>
        <v>12.147413862361581</v>
      </c>
    </row>
    <row r="8" spans="1:21" x14ac:dyDescent="0.25">
      <c r="A8" s="24">
        <f>'Item Database'!A80</f>
        <v>19891</v>
      </c>
      <c r="B8" s="9" t="str">
        <f>'Item Database'!B80</f>
        <v>Jin'do's Bag of Whammies</v>
      </c>
      <c r="C8" s="12">
        <f>'Item Database'!C80</f>
        <v>10.12869011979369</v>
      </c>
      <c r="D8" s="9" t="str">
        <f>'Item Database'!D80</f>
        <v>Offhand</v>
      </c>
      <c r="E8" s="9">
        <f>'Item Database'!E80</f>
        <v>0</v>
      </c>
      <c r="F8" s="9">
        <f>'Item Database'!F80</f>
        <v>0</v>
      </c>
      <c r="G8" s="9">
        <f>'Item Database'!G80</f>
        <v>8</v>
      </c>
      <c r="H8" s="9">
        <f>'Item Database'!H80</f>
        <v>0</v>
      </c>
      <c r="I8" s="9">
        <f>'Item Database'!I80</f>
        <v>11</v>
      </c>
      <c r="J8" s="9">
        <f>'Item Database'!J80</f>
        <v>0</v>
      </c>
      <c r="K8" s="9">
        <f>'Item Database'!K80</f>
        <v>18</v>
      </c>
      <c r="L8" s="35">
        <f>'Item Database'!L80</f>
        <v>0</v>
      </c>
      <c r="M8" s="35">
        <f>'Item Database'!M80</f>
        <v>0.01</v>
      </c>
      <c r="N8" s="9">
        <f>'Item Database'!N80</f>
        <v>0</v>
      </c>
      <c r="O8" s="9">
        <f>'Item Database'!O80</f>
        <v>0</v>
      </c>
      <c r="P8" s="9">
        <f>'Item Database'!P80</f>
        <v>0</v>
      </c>
      <c r="Q8" s="9">
        <f>'Item Database'!Q80</f>
        <v>0</v>
      </c>
      <c r="R8" s="9">
        <f>'Item Database'!R80</f>
        <v>0</v>
      </c>
      <c r="S8" s="9">
        <f>'Item Database'!S80</f>
        <v>0</v>
      </c>
      <c r="T8" s="53" t="str">
        <f>HYPERLINK('Item Database'!T80)</f>
        <v>https://classic.wowhead.com/item=19891</v>
      </c>
      <c r="U8" s="9">
        <f>IF(C8&lt;&gt;0,C8-Gear!$C$12,0)</f>
        <v>10.12869011979369</v>
      </c>
    </row>
    <row r="9" spans="1:21" x14ac:dyDescent="0.25">
      <c r="A9" s="24">
        <f>'Item Database'!A104</f>
        <v>11662</v>
      </c>
      <c r="B9" s="9" t="str">
        <f>'Item Database'!B104</f>
        <v>Ban'thok Sash</v>
      </c>
      <c r="C9" s="12">
        <f>'Item Database'!C104</f>
        <v>7.9746118713807252</v>
      </c>
      <c r="D9" s="9" t="str">
        <f>'Item Database'!D104</f>
        <v>Waist</v>
      </c>
      <c r="E9" s="9">
        <f>'Item Database'!E104</f>
        <v>43</v>
      </c>
      <c r="F9" s="9">
        <f>'Item Database'!F104</f>
        <v>0</v>
      </c>
      <c r="G9" s="9">
        <f>'Item Database'!G104</f>
        <v>10</v>
      </c>
      <c r="H9" s="9">
        <f>'Item Database'!H104</f>
        <v>0</v>
      </c>
      <c r="I9" s="9">
        <f>'Item Database'!I104</f>
        <v>11</v>
      </c>
      <c r="J9" s="9">
        <f>'Item Database'!J104</f>
        <v>0</v>
      </c>
      <c r="K9" s="9">
        <f>'Item Database'!K104</f>
        <v>12</v>
      </c>
      <c r="L9" s="35">
        <f>'Item Database'!L104</f>
        <v>0</v>
      </c>
      <c r="M9" s="35">
        <f>'Item Database'!M104</f>
        <v>0.01</v>
      </c>
      <c r="N9" s="9">
        <f>'Item Database'!N104</f>
        <v>0</v>
      </c>
      <c r="O9" s="9">
        <f>'Item Database'!O104</f>
        <v>0</v>
      </c>
      <c r="P9" s="9">
        <f>'Item Database'!P104</f>
        <v>0</v>
      </c>
      <c r="Q9" s="9">
        <f>'Item Database'!Q104</f>
        <v>0</v>
      </c>
      <c r="R9" s="9">
        <f>'Item Database'!R104</f>
        <v>0</v>
      </c>
      <c r="S9" s="9">
        <f>'Item Database'!S104</f>
        <v>0</v>
      </c>
      <c r="T9" s="53" t="str">
        <f>HYPERLINK('Item Database'!T104)</f>
        <v>https://classic.wowhead.com/item=11662</v>
      </c>
      <c r="U9" s="9">
        <f>IF(C9&lt;&gt;0,C9-Gear!$C$12,0)</f>
        <v>7.9746118713807252</v>
      </c>
    </row>
    <row r="10" spans="1:21" x14ac:dyDescent="0.25">
      <c r="A10" s="24">
        <f>'Item Database'!A113</f>
        <v>22821</v>
      </c>
      <c r="B10" s="9" t="str">
        <f>'Item Database'!B113</f>
        <v>Doomfinger</v>
      </c>
      <c r="C10" s="12">
        <f>'Item Database'!C113</f>
        <v>8.1948520362345718</v>
      </c>
      <c r="D10" s="9" t="str">
        <f>'Item Database'!D113</f>
        <v>Wand</v>
      </c>
      <c r="E10" s="9">
        <f>'Item Database'!E113</f>
        <v>0</v>
      </c>
      <c r="F10" s="9">
        <f>'Item Database'!F113</f>
        <v>0</v>
      </c>
      <c r="G10" s="9">
        <f>'Item Database'!G113</f>
        <v>0</v>
      </c>
      <c r="H10" s="9">
        <f>'Item Database'!H113</f>
        <v>0</v>
      </c>
      <c r="I10" s="9">
        <f>'Item Database'!I113</f>
        <v>0</v>
      </c>
      <c r="J10" s="9">
        <f>'Item Database'!J113</f>
        <v>0</v>
      </c>
      <c r="K10" s="9">
        <f>'Item Database'!K113</f>
        <v>16</v>
      </c>
      <c r="L10" s="35">
        <f>'Item Database'!L113</f>
        <v>0.01</v>
      </c>
      <c r="M10" s="35">
        <f>'Item Database'!M113</f>
        <v>0</v>
      </c>
      <c r="N10" s="9">
        <f>'Item Database'!N113</f>
        <v>0</v>
      </c>
      <c r="O10" s="9">
        <f>'Item Database'!O113</f>
        <v>0</v>
      </c>
      <c r="P10" s="9">
        <f>'Item Database'!P113</f>
        <v>0</v>
      </c>
      <c r="Q10" s="9">
        <f>'Item Database'!Q113</f>
        <v>0</v>
      </c>
      <c r="R10" s="9">
        <f>'Item Database'!R113</f>
        <v>0</v>
      </c>
      <c r="S10" s="9">
        <f>'Item Database'!S113</f>
        <v>0</v>
      </c>
      <c r="T10" s="53" t="str">
        <f>HYPERLINK('Item Database'!T113)</f>
        <v>https://classic.wowhead.com/item=22821</v>
      </c>
      <c r="U10" s="9">
        <f>IF(C10&lt;&gt;0,C10-Gear!$C$12,0)</f>
        <v>8.1948520362345718</v>
      </c>
    </row>
    <row r="11" spans="1:21" x14ac:dyDescent="0.25">
      <c r="A11" s="24">
        <f>'Item Database'!A119</f>
        <v>22721</v>
      </c>
      <c r="B11" s="9" t="str">
        <f>'Item Database'!B119</f>
        <v>Band of Servitude</v>
      </c>
      <c r="C11" s="12">
        <f>'Item Database'!C119</f>
        <v>8.6279855045891924</v>
      </c>
      <c r="D11" s="9" t="str">
        <f>'Item Database'!D119</f>
        <v>Ring</v>
      </c>
      <c r="E11" s="9">
        <f>'Item Database'!E119</f>
        <v>0</v>
      </c>
      <c r="F11" s="9">
        <f>'Item Database'!F119</f>
        <v>0</v>
      </c>
      <c r="G11" s="9">
        <f>'Item Database'!G119</f>
        <v>8</v>
      </c>
      <c r="H11" s="9">
        <f>'Item Database'!H119</f>
        <v>0</v>
      </c>
      <c r="I11" s="9">
        <f>'Item Database'!I119</f>
        <v>9</v>
      </c>
      <c r="J11" s="9">
        <f>'Item Database'!J119</f>
        <v>0</v>
      </c>
      <c r="K11" s="9">
        <f>'Item Database'!K119</f>
        <v>23</v>
      </c>
      <c r="L11" s="35">
        <f>'Item Database'!L119</f>
        <v>0</v>
      </c>
      <c r="M11" s="35">
        <f>'Item Database'!M119</f>
        <v>0</v>
      </c>
      <c r="N11" s="9">
        <f>'Item Database'!N119</f>
        <v>0</v>
      </c>
      <c r="O11" s="9">
        <f>'Item Database'!O119</f>
        <v>0</v>
      </c>
      <c r="P11" s="9">
        <f>'Item Database'!P119</f>
        <v>0</v>
      </c>
      <c r="Q11" s="9">
        <f>'Item Database'!Q119</f>
        <v>0</v>
      </c>
      <c r="R11" s="9">
        <f>'Item Database'!R119</f>
        <v>0</v>
      </c>
      <c r="S11" s="9">
        <f>'Item Database'!S119</f>
        <v>0</v>
      </c>
      <c r="T11" s="53" t="str">
        <f>HYPERLINK('Item Database'!T119)</f>
        <v>https://classic.wowhead.com/item=22721</v>
      </c>
      <c r="U11" s="9">
        <f>IF(C11&lt;&gt;0,C11-Gear!$C$12,0)</f>
        <v>8.6279855045891924</v>
      </c>
    </row>
    <row r="12" spans="1:21" x14ac:dyDescent="0.25">
      <c r="A12" s="24">
        <f>'Item Database'!A138</f>
        <v>13968</v>
      </c>
      <c r="B12" s="9" t="str">
        <f>'Item Database'!B138</f>
        <v>Eye of the Beast</v>
      </c>
      <c r="C12" s="12">
        <f>'Item Database'!C138</f>
        <v>4.9012867475999995</v>
      </c>
      <c r="D12" s="9" t="str">
        <f>'Item Database'!D138</f>
        <v>Trinket</v>
      </c>
      <c r="E12" s="9">
        <f>'Item Database'!E138</f>
        <v>0</v>
      </c>
      <c r="F12" s="9">
        <f>'Item Database'!F138</f>
        <v>0</v>
      </c>
      <c r="G12" s="9">
        <f>'Item Database'!G138</f>
        <v>0</v>
      </c>
      <c r="H12" s="9">
        <f>'Item Database'!H138</f>
        <v>0</v>
      </c>
      <c r="I12" s="9">
        <f>'Item Database'!I138</f>
        <v>0</v>
      </c>
      <c r="J12" s="9">
        <f>'Item Database'!J138</f>
        <v>0</v>
      </c>
      <c r="K12" s="9">
        <f>'Item Database'!K138</f>
        <v>0</v>
      </c>
      <c r="L12" s="35">
        <f>'Item Database'!L138</f>
        <v>0.02</v>
      </c>
      <c r="M12" s="35">
        <f>'Item Database'!M138</f>
        <v>0</v>
      </c>
      <c r="N12" s="9">
        <f>'Item Database'!N138</f>
        <v>0</v>
      </c>
      <c r="O12" s="9">
        <f>'Item Database'!O138</f>
        <v>0</v>
      </c>
      <c r="P12" s="9">
        <f>'Item Database'!P138</f>
        <v>0</v>
      </c>
      <c r="Q12" s="9">
        <f>'Item Database'!Q138</f>
        <v>0</v>
      </c>
      <c r="R12" s="9">
        <f>'Item Database'!R138</f>
        <v>0</v>
      </c>
      <c r="S12" s="9">
        <f>'Item Database'!S138</f>
        <v>0</v>
      </c>
      <c r="T12" s="53" t="str">
        <f>HYPERLINK('Item Database'!T138)</f>
        <v>https://classic.wowhead.com/item=13968</v>
      </c>
      <c r="U12" s="9">
        <f>IF(C12&lt;&gt;0,C12-Gear!$C$12,0)</f>
        <v>4.9012867475999995</v>
      </c>
    </row>
    <row r="13" spans="1:21" x14ac:dyDescent="0.25">
      <c r="A13" s="24">
        <f>'Item Database'!A142</f>
        <v>19094</v>
      </c>
      <c r="B13" s="9" t="str">
        <f>'Item Database'!B142</f>
        <v>Stormpike Cloth Girdle</v>
      </c>
      <c r="C13" s="12">
        <f>'Item Database'!C142</f>
        <v>6.8741075811716676</v>
      </c>
      <c r="D13" s="9" t="str">
        <f>'Item Database'!D142</f>
        <v>Waist</v>
      </c>
      <c r="E13" s="9">
        <f>'Item Database'!E142</f>
        <v>48</v>
      </c>
      <c r="F13" s="9">
        <f>'Item Database'!F142</f>
        <v>0</v>
      </c>
      <c r="G13" s="9">
        <f>'Item Database'!G142</f>
        <v>11</v>
      </c>
      <c r="H13" s="9">
        <f>'Item Database'!H142</f>
        <v>0</v>
      </c>
      <c r="I13" s="9">
        <f>'Item Database'!I142</f>
        <v>10</v>
      </c>
      <c r="J13" s="9">
        <f>'Item Database'!J142</f>
        <v>0</v>
      </c>
      <c r="K13" s="9">
        <f>'Item Database'!K142</f>
        <v>18</v>
      </c>
      <c r="L13" s="35">
        <f>'Item Database'!L142</f>
        <v>0</v>
      </c>
      <c r="M13" s="35">
        <f>'Item Database'!M142</f>
        <v>0</v>
      </c>
      <c r="N13" s="9">
        <f>'Item Database'!N142</f>
        <v>0</v>
      </c>
      <c r="O13" s="9">
        <f>'Item Database'!O142</f>
        <v>0</v>
      </c>
      <c r="P13" s="9">
        <f>'Item Database'!P142</f>
        <v>5</v>
      </c>
      <c r="Q13" s="9">
        <f>'Item Database'!Q142</f>
        <v>0</v>
      </c>
      <c r="R13" s="9">
        <f>'Item Database'!R142</f>
        <v>0</v>
      </c>
      <c r="S13" s="9">
        <f>'Item Database'!S142</f>
        <v>0</v>
      </c>
      <c r="T13" s="53" t="str">
        <f>HYPERLINK('Item Database'!T142)</f>
        <v>https://classic.wowhead.com/item=19094</v>
      </c>
      <c r="U13" s="9">
        <f>IF(C13&lt;&gt;0,C13-Gear!$C$12,0)</f>
        <v>6.8741075811716676</v>
      </c>
    </row>
    <row r="14" spans="1:21" x14ac:dyDescent="0.25">
      <c r="A14" s="9">
        <f>'Item Database'!A192</f>
        <v>21678</v>
      </c>
      <c r="B14" s="9" t="str">
        <f>'Item Database'!B192</f>
        <v>Necklace of Purity</v>
      </c>
      <c r="C14" s="12">
        <f>'Item Database'!C192</f>
        <v>3.4075390179298912</v>
      </c>
      <c r="D14" s="9" t="str">
        <f>'Item Database'!D192</f>
        <v>Neck</v>
      </c>
      <c r="E14" s="9">
        <f>'Item Database'!E192</f>
        <v>0</v>
      </c>
      <c r="F14" s="9">
        <f>'Item Database'!F192</f>
        <v>0</v>
      </c>
      <c r="G14" s="9">
        <f>'Item Database'!G192</f>
        <v>9</v>
      </c>
      <c r="H14" s="9">
        <f>'Item Database'!H192</f>
        <v>0</v>
      </c>
      <c r="I14" s="9">
        <f>'Item Database'!I192</f>
        <v>13</v>
      </c>
      <c r="J14" s="9">
        <f>'Item Database'!J192</f>
        <v>0</v>
      </c>
      <c r="K14" s="9">
        <f>'Item Database'!K192</f>
        <v>8</v>
      </c>
      <c r="L14" s="35">
        <f>'Item Database'!L192</f>
        <v>0</v>
      </c>
      <c r="M14" s="35">
        <f>'Item Database'!M192</f>
        <v>0</v>
      </c>
      <c r="N14" s="9">
        <f>'Item Database'!N192</f>
        <v>0</v>
      </c>
      <c r="O14" s="9">
        <f>'Item Database'!O192</f>
        <v>0</v>
      </c>
      <c r="P14" s="9">
        <f>'Item Database'!P192</f>
        <v>0</v>
      </c>
      <c r="Q14" s="9">
        <f>'Item Database'!Q192</f>
        <v>20</v>
      </c>
      <c r="R14" s="9">
        <f>'Item Database'!R192</f>
        <v>0</v>
      </c>
      <c r="S14" s="9">
        <f>'Item Database'!S192</f>
        <v>0</v>
      </c>
      <c r="T14" s="53" t="str">
        <f>HYPERLINK('Item Database'!T192)</f>
        <v>https://classic.wowhead.com/item=21678</v>
      </c>
      <c r="U14" s="9">
        <f>IF(C14&lt;&gt;0,C14-Gear!$C$12,0)</f>
        <v>3.4075390179298912</v>
      </c>
    </row>
    <row r="15" spans="1:21" x14ac:dyDescent="0.25">
      <c r="A15" s="24">
        <f>'Item Database'!A197</f>
        <v>10572</v>
      </c>
      <c r="B15" s="9" t="str">
        <f>'Item Database'!B197</f>
        <v>Freezing Shard</v>
      </c>
      <c r="C15" s="12">
        <f>'Item Database'!C197</f>
        <v>3.5901304140216079</v>
      </c>
      <c r="D15" s="9" t="str">
        <f>'Item Database'!D197</f>
        <v>Wand</v>
      </c>
      <c r="E15" s="9">
        <f>'Item Database'!E197</f>
        <v>0</v>
      </c>
      <c r="F15" s="9">
        <f>'Item Database'!F197</f>
        <v>0</v>
      </c>
      <c r="G15" s="9">
        <f>'Item Database'!G197</f>
        <v>0</v>
      </c>
      <c r="H15" s="9">
        <f>'Item Database'!H197</f>
        <v>0</v>
      </c>
      <c r="I15" s="9">
        <f>'Item Database'!I197</f>
        <v>0</v>
      </c>
      <c r="J15" s="9">
        <f>'Item Database'!J197</f>
        <v>0</v>
      </c>
      <c r="K15" s="9">
        <f>'Item Database'!K197</f>
        <v>10</v>
      </c>
      <c r="L15" s="35">
        <f>'Item Database'!L197</f>
        <v>0</v>
      </c>
      <c r="M15" s="35">
        <f>'Item Database'!M197</f>
        <v>0</v>
      </c>
      <c r="N15" s="9">
        <f>'Item Database'!N197</f>
        <v>0</v>
      </c>
      <c r="O15" s="9">
        <f>'Item Database'!O197</f>
        <v>0</v>
      </c>
      <c r="P15" s="9">
        <f>'Item Database'!P197</f>
        <v>0</v>
      </c>
      <c r="Q15" s="9">
        <f>'Item Database'!Q197</f>
        <v>0</v>
      </c>
      <c r="R15" s="9">
        <f>'Item Database'!R197</f>
        <v>0</v>
      </c>
      <c r="S15" s="9">
        <f>'Item Database'!S197</f>
        <v>0</v>
      </c>
      <c r="T15" s="53" t="str">
        <f>HYPERLINK('Item Database'!T197)</f>
        <v>https://classic.wowhead.com/item=10572</v>
      </c>
      <c r="U15" s="9">
        <f>IF(C15&lt;&gt;0,C15-Gear!$C$12,0)</f>
        <v>3.5901304140216079</v>
      </c>
    </row>
    <row r="16" spans="1:21" x14ac:dyDescent="0.25">
      <c r="A16" s="24">
        <f>'Item Database'!A216</f>
        <v>13345</v>
      </c>
      <c r="B16" s="9" t="str">
        <f>'Item Database'!B216</f>
        <v>Seal of Rivendare</v>
      </c>
      <c r="C16" s="12">
        <f>'Item Database'!C216</f>
        <v>0.7001838210857142</v>
      </c>
      <c r="D16" s="9" t="str">
        <f>'Item Database'!D216</f>
        <v>Ring</v>
      </c>
      <c r="E16" s="9">
        <f>'Item Database'!E216</f>
        <v>0</v>
      </c>
      <c r="F16" s="9">
        <f>'Item Database'!F216</f>
        <v>0</v>
      </c>
      <c r="G16" s="9">
        <f>'Item Database'!G216</f>
        <v>0</v>
      </c>
      <c r="H16" s="9">
        <f>'Item Database'!H216</f>
        <v>0</v>
      </c>
      <c r="I16" s="9">
        <f>'Item Database'!I216</f>
        <v>17</v>
      </c>
      <c r="J16" s="9">
        <f>'Item Database'!J216</f>
        <v>7</v>
      </c>
      <c r="K16" s="9">
        <f>'Item Database'!K216</f>
        <v>0</v>
      </c>
      <c r="L16" s="35">
        <f>'Item Database'!L216</f>
        <v>0</v>
      </c>
      <c r="M16" s="35">
        <f>'Item Database'!M216</f>
        <v>0</v>
      </c>
      <c r="N16" s="9">
        <f>'Item Database'!N216</f>
        <v>0</v>
      </c>
      <c r="O16" s="9">
        <f>'Item Database'!O216</f>
        <v>0</v>
      </c>
      <c r="P16" s="9">
        <f>'Item Database'!P216</f>
        <v>0</v>
      </c>
      <c r="Q16" s="9">
        <f>'Item Database'!Q216</f>
        <v>0</v>
      </c>
      <c r="R16" s="9">
        <f>'Item Database'!R216</f>
        <v>0</v>
      </c>
      <c r="S16" s="9">
        <f>'Item Database'!S216</f>
        <v>0</v>
      </c>
      <c r="T16" s="53" t="str">
        <f>HYPERLINK('Item Database'!T216)</f>
        <v>https://classic.wowhead.com/item=13345</v>
      </c>
      <c r="U16" s="9">
        <f>IF(C16&lt;&gt;0,C16-Gear!$C$12,0)</f>
        <v>0.7001838210857142</v>
      </c>
    </row>
    <row r="17" spans="1:21" x14ac:dyDescent="0.25">
      <c r="A17" s="24">
        <f>'Item Database'!A247</f>
        <v>17110</v>
      </c>
      <c r="B17" s="9" t="str">
        <f>'Item Database'!B247</f>
        <v>Seal of the Archmagus</v>
      </c>
      <c r="C17" s="12">
        <f>'Item Database'!C247</f>
        <v>0.45306011952605041</v>
      </c>
      <c r="D17" s="9" t="str">
        <f>'Item Database'!D247</f>
        <v>Ring</v>
      </c>
      <c r="E17" s="9">
        <f>'Item Database'!E247</f>
        <v>0</v>
      </c>
      <c r="F17" s="9">
        <f>'Item Database'!F247</f>
        <v>0</v>
      </c>
      <c r="G17" s="9">
        <f>'Item Database'!G247</f>
        <v>11</v>
      </c>
      <c r="H17" s="9">
        <f>'Item Database'!H247</f>
        <v>0</v>
      </c>
      <c r="I17" s="9">
        <f>'Item Database'!I247</f>
        <v>11</v>
      </c>
      <c r="J17" s="9">
        <f>'Item Database'!J247</f>
        <v>11</v>
      </c>
      <c r="K17" s="9">
        <f>'Item Database'!K247</f>
        <v>0</v>
      </c>
      <c r="L17" s="35">
        <f>'Item Database'!L247</f>
        <v>0</v>
      </c>
      <c r="M17" s="35">
        <f>'Item Database'!M247</f>
        <v>0</v>
      </c>
      <c r="N17" s="9">
        <f>'Item Database'!N247</f>
        <v>3</v>
      </c>
      <c r="O17" s="9">
        <f>'Item Database'!O247</f>
        <v>6</v>
      </c>
      <c r="P17" s="9">
        <f>'Item Database'!P247</f>
        <v>6</v>
      </c>
      <c r="Q17" s="9">
        <f>'Item Database'!Q247</f>
        <v>6</v>
      </c>
      <c r="R17" s="9">
        <f>'Item Database'!R247</f>
        <v>6</v>
      </c>
      <c r="S17" s="9">
        <f>'Item Database'!S247</f>
        <v>6</v>
      </c>
      <c r="T17" s="53" t="str">
        <f>HYPERLINK('Item Database'!T247)</f>
        <v>https://classic.wowhead.com/item=17110</v>
      </c>
      <c r="U17" s="9">
        <f>IF(C17&lt;&gt;0,C17-Gear!$C$12,0)</f>
        <v>0.45306011952605041</v>
      </c>
    </row>
    <row r="18" spans="1:21" x14ac:dyDescent="0.25">
      <c r="U18" s="9">
        <f>IF(C18&lt;&gt;0,C18-Gear!$C$12,0)</f>
        <v>0</v>
      </c>
    </row>
    <row r="19" spans="1:21" x14ac:dyDescent="0.25">
      <c r="U19" s="9">
        <f>IF(C19&lt;&gt;0,C19-Gear!$C$12,0)</f>
        <v>0</v>
      </c>
    </row>
    <row r="20" spans="1:21" x14ac:dyDescent="0.25">
      <c r="U20" s="9">
        <f>IF(C20&lt;&gt;0,C20-Gear!$C$12,0)</f>
        <v>0</v>
      </c>
    </row>
    <row r="21" spans="1:21" x14ac:dyDescent="0.25">
      <c r="U21" s="9">
        <f>IF(C21&lt;&gt;0,C21-Gear!$C$12,0)</f>
        <v>0</v>
      </c>
    </row>
    <row r="22" spans="1:21" x14ac:dyDescent="0.25">
      <c r="U22" s="9">
        <f>IF(C22&lt;&gt;0,C22-Gear!$C$12,0)</f>
        <v>0</v>
      </c>
    </row>
    <row r="23" spans="1:21" x14ac:dyDescent="0.25">
      <c r="U23" s="9">
        <f>IF(C23&lt;&gt;0,C23-Gear!$C$12,0)</f>
        <v>0</v>
      </c>
    </row>
    <row r="24" spans="1:21" x14ac:dyDescent="0.25">
      <c r="U24" s="9">
        <f>IF(C24&lt;&gt;0,C24-Gear!$C$12,0)</f>
        <v>0</v>
      </c>
    </row>
    <row r="25" spans="1:21" x14ac:dyDescent="0.25">
      <c r="U25" s="9">
        <f>IF(C25&lt;&gt;0,C25-Gear!$C$12,0)</f>
        <v>0</v>
      </c>
    </row>
    <row r="26" spans="1:21" x14ac:dyDescent="0.25">
      <c r="U26" s="9">
        <f>IF(C26&lt;&gt;0,C26-Gear!$C$12,0)</f>
        <v>0</v>
      </c>
    </row>
    <row r="27" spans="1:21" x14ac:dyDescent="0.25">
      <c r="U27" s="9">
        <f>IF(C27&lt;&gt;0,C27-Gear!$C$12,0)</f>
        <v>0</v>
      </c>
    </row>
    <row r="28" spans="1:21" x14ac:dyDescent="0.25">
      <c r="T28" s="9">
        <f>IF(C28&lt;&gt;0,C28-Gear!$C$12,0)</f>
        <v>0</v>
      </c>
      <c r="U28" s="9">
        <f>IF(C28&lt;&gt;0,C28-Gear!$C$12,0)</f>
        <v>0</v>
      </c>
    </row>
    <row r="29" spans="1:21" x14ac:dyDescent="0.25">
      <c r="T29" s="9">
        <f>IF(C29&lt;&gt;0,C29-Gear!$C$12,0)</f>
        <v>0</v>
      </c>
      <c r="U29" s="9">
        <f>IF(C29&lt;&gt;0,C29-Gear!$C$12,0)</f>
        <v>0</v>
      </c>
    </row>
    <row r="30" spans="1:21" x14ac:dyDescent="0.25">
      <c r="T30" s="9">
        <f>IF(C30&lt;&gt;0,C30-Gear!$C$12,0)</f>
        <v>0</v>
      </c>
      <c r="U30" s="9">
        <f>IF(C30&lt;&gt;0,C30-Gear!$C$12,0)</f>
        <v>0</v>
      </c>
    </row>
    <row r="31" spans="1:21" x14ac:dyDescent="0.25">
      <c r="T31" s="9">
        <f>IF(C31&lt;&gt;0,C31-Gear!$C$12,0)</f>
        <v>0</v>
      </c>
      <c r="U31" s="9">
        <f>IF(C31&lt;&gt;0,C31-Gear!$C$12,0)</f>
        <v>0</v>
      </c>
    </row>
    <row r="32" spans="1:21" x14ac:dyDescent="0.25">
      <c r="T32" s="9">
        <f>IF(C32&lt;&gt;0,C32-Gear!$C$12,0)</f>
        <v>0</v>
      </c>
      <c r="U32" s="9">
        <f>IF(C32&lt;&gt;0,C32-Gear!$C$12,0)</f>
        <v>0</v>
      </c>
    </row>
    <row r="33" spans="20:21" x14ac:dyDescent="0.25">
      <c r="T33" s="9">
        <f>IF(C33&lt;&gt;0,C33-Gear!$C$12,0)</f>
        <v>0</v>
      </c>
      <c r="U33" s="9">
        <f>IF(C33&lt;&gt;0,C33-Gear!$C$12,0)</f>
        <v>0</v>
      </c>
    </row>
    <row r="34" spans="20:21" x14ac:dyDescent="0.25">
      <c r="T34" s="9">
        <f>IF(C34&lt;&gt;0,C34-Gear!$C$12,0)</f>
        <v>0</v>
      </c>
      <c r="U34" s="9">
        <f>IF(C34&lt;&gt;0,C34-Gear!$C$12,0)</f>
        <v>0</v>
      </c>
    </row>
    <row r="35" spans="20:21" x14ac:dyDescent="0.25">
      <c r="T35" s="9">
        <f>IF(C35&lt;&gt;0,C35-Gear!$C$12,0)</f>
        <v>0</v>
      </c>
      <c r="U35" s="9">
        <f>IF(C35&lt;&gt;0,C35-Gear!$C$12,0)</f>
        <v>0</v>
      </c>
    </row>
    <row r="36" spans="20:21" x14ac:dyDescent="0.25">
      <c r="T36" s="9">
        <f>IF(C36&lt;&gt;0,C36-Gear!$C$12,0)</f>
        <v>0</v>
      </c>
      <c r="U36" s="9">
        <f>IF(C36&lt;&gt;0,C36-Gear!$C$12,0)</f>
        <v>0</v>
      </c>
    </row>
    <row r="37" spans="20:21" x14ac:dyDescent="0.25">
      <c r="T37" s="9">
        <f>IF(C37&lt;&gt;0,C37-Gear!$C$12,0)</f>
        <v>0</v>
      </c>
      <c r="U37" s="9">
        <f>IF(C37&lt;&gt;0,C37-Gear!$C$12,0)</f>
        <v>0</v>
      </c>
    </row>
    <row r="38" spans="20:21" x14ac:dyDescent="0.25">
      <c r="T38" s="9">
        <f>IF(C38&lt;&gt;0,C38-Gear!$C$12,0)</f>
        <v>0</v>
      </c>
      <c r="U38" s="9">
        <f>IF(C38&lt;&gt;0,C38-Gear!$C$12,0)</f>
        <v>0</v>
      </c>
    </row>
    <row r="39" spans="20:21" x14ac:dyDescent="0.25">
      <c r="T39" s="9">
        <f>IF(C39&lt;&gt;0,C39-Gear!$C$12,0)</f>
        <v>0</v>
      </c>
      <c r="U39" s="9">
        <f>IF(C39&lt;&gt;0,C39-Gear!$C$12,0)</f>
        <v>0</v>
      </c>
    </row>
    <row r="40" spans="20:21" x14ac:dyDescent="0.25">
      <c r="T40" s="9">
        <f>IF(C40&lt;&gt;0,C40-Gear!$C$12,0)</f>
        <v>0</v>
      </c>
      <c r="U40" s="9">
        <f>IF(C40&lt;&gt;0,C40-Gear!$C$12,0)</f>
        <v>0</v>
      </c>
    </row>
    <row r="41" spans="20:21" x14ac:dyDescent="0.25">
      <c r="T41" s="9">
        <f>IF(C41&lt;&gt;0,C41-Gear!$C$12,0)</f>
        <v>0</v>
      </c>
      <c r="U41" s="9">
        <f>IF(C41&lt;&gt;0,C41-Gear!$C$12,0)</f>
        <v>0</v>
      </c>
    </row>
    <row r="42" spans="20:21" x14ac:dyDescent="0.25">
      <c r="T42" s="9">
        <f>IF(C42&lt;&gt;0,C42-Gear!$C$12,0)</f>
        <v>0</v>
      </c>
      <c r="U42" s="9">
        <f>IF(C42&lt;&gt;0,C42-Gear!$C$12,0)</f>
        <v>0</v>
      </c>
    </row>
    <row r="43" spans="20:21" x14ac:dyDescent="0.25">
      <c r="T43" s="9">
        <f>IF(C43&lt;&gt;0,C43-Gear!$C$12,0)</f>
        <v>0</v>
      </c>
      <c r="U43" s="9">
        <f>IF(C43&lt;&gt;0,C43-Gear!$C$12,0)</f>
        <v>0</v>
      </c>
    </row>
    <row r="44" spans="20:21" x14ac:dyDescent="0.25">
      <c r="T44" s="9">
        <f>IF(C44&lt;&gt;0,C44-Gear!$C$12,0)</f>
        <v>0</v>
      </c>
      <c r="U44" s="9">
        <f>IF(C44&lt;&gt;0,C44-Gear!$C$12,0)</f>
        <v>0</v>
      </c>
    </row>
    <row r="45" spans="20:21" x14ac:dyDescent="0.25">
      <c r="T45" s="9">
        <f>IF(C45&lt;&gt;0,C45-Gear!$C$12,0)</f>
        <v>0</v>
      </c>
      <c r="U45" s="9">
        <f>IF(C45&lt;&gt;0,C45-Gear!$C$12,0)</f>
        <v>0</v>
      </c>
    </row>
    <row r="46" spans="20:21" x14ac:dyDescent="0.25">
      <c r="T46" s="9">
        <f>IF(C46&lt;&gt;0,C46-Gear!$C$12,0)</f>
        <v>0</v>
      </c>
      <c r="U46" s="9">
        <f>IF(C46&lt;&gt;0,C46-Gear!$C$12,0)</f>
        <v>0</v>
      </c>
    </row>
    <row r="47" spans="20:21" x14ac:dyDescent="0.25">
      <c r="T47" s="9">
        <f>IF(C47&lt;&gt;0,C47-Gear!$C$12,0)</f>
        <v>0</v>
      </c>
      <c r="U47" s="9">
        <f>IF(C47&lt;&gt;0,C47-Gear!$C$12,0)</f>
        <v>0</v>
      </c>
    </row>
    <row r="48" spans="20:21" x14ac:dyDescent="0.25">
      <c r="T48" s="9">
        <f>IF(C48&lt;&gt;0,C48-Gear!$C$12,0)</f>
        <v>0</v>
      </c>
      <c r="U48" s="9">
        <f>IF(C48&lt;&gt;0,C48-Gear!$C$12,0)</f>
        <v>0</v>
      </c>
    </row>
    <row r="49" spans="20:21" x14ac:dyDescent="0.25">
      <c r="T49" s="9">
        <f>IF(C49&lt;&gt;0,C49-Gear!$C$12,0)</f>
        <v>0</v>
      </c>
      <c r="U49" s="9">
        <f>IF(C49&lt;&gt;0,C49-Gear!$C$12,0)</f>
        <v>0</v>
      </c>
    </row>
    <row r="50" spans="20:21" x14ac:dyDescent="0.25">
      <c r="T50" s="9">
        <f>IF(C50&lt;&gt;0,C50-Gear!$C$12,0)</f>
        <v>0</v>
      </c>
      <c r="U50" s="9">
        <f>IF(C50&lt;&gt;0,C50-Gear!$C$12,0)</f>
        <v>0</v>
      </c>
    </row>
    <row r="51" spans="20:21" x14ac:dyDescent="0.25">
      <c r="T51" s="9">
        <f>IF(C51&lt;&gt;0,C51-Gear!$C$12,0)</f>
        <v>0</v>
      </c>
      <c r="U51" s="9">
        <f>IF(C51&lt;&gt;0,C51-Gear!$C$12,0)</f>
        <v>0</v>
      </c>
    </row>
    <row r="52" spans="20:21" x14ac:dyDescent="0.25">
      <c r="T52" s="9">
        <f>IF(C52&lt;&gt;0,C52-Gear!$C$12,0)</f>
        <v>0</v>
      </c>
      <c r="U52" s="9">
        <f>IF(C52&lt;&gt;0,C52-Gear!$C$12,0)</f>
        <v>0</v>
      </c>
    </row>
    <row r="53" spans="20:21" x14ac:dyDescent="0.25">
      <c r="T53" s="9">
        <f>IF(C53&lt;&gt;0,C53-Gear!$C$12,0)</f>
        <v>0</v>
      </c>
      <c r="U53" s="9">
        <f>IF(C53&lt;&gt;0,C53-Gear!$C$12,0)</f>
        <v>0</v>
      </c>
    </row>
    <row r="54" spans="20:21" x14ac:dyDescent="0.25">
      <c r="T54" s="9">
        <f>IF(C54&lt;&gt;0,C54-Gear!$C$12,0)</f>
        <v>0</v>
      </c>
      <c r="U54" s="9">
        <f>IF(C54&lt;&gt;0,C54-Gear!$C$12,0)</f>
        <v>0</v>
      </c>
    </row>
    <row r="55" spans="20:21" x14ac:dyDescent="0.25">
      <c r="T55" s="9">
        <f>IF(C55&lt;&gt;0,C55-Gear!$C$12,0)</f>
        <v>0</v>
      </c>
      <c r="U55" s="9">
        <f>IF(C55&lt;&gt;0,C55-Gear!$C$12,0)</f>
        <v>0</v>
      </c>
    </row>
    <row r="56" spans="20:21" x14ac:dyDescent="0.25">
      <c r="T56" s="9">
        <f>IF(C56&lt;&gt;0,C56-Gear!$C$12,0)</f>
        <v>0</v>
      </c>
      <c r="U56" s="9">
        <f>IF(C56&lt;&gt;0,C56-Gear!$C$12,0)</f>
        <v>0</v>
      </c>
    </row>
    <row r="57" spans="20:21" x14ac:dyDescent="0.25">
      <c r="T57" s="9">
        <f>IF(C57&lt;&gt;0,C57-Gear!$C$12,0)</f>
        <v>0</v>
      </c>
      <c r="U57" s="9">
        <f>IF(C57&lt;&gt;0,C57-Gear!$C$12,0)</f>
        <v>0</v>
      </c>
    </row>
    <row r="58" spans="20:21" x14ac:dyDescent="0.25">
      <c r="T58" s="9">
        <f>IF(C58&lt;&gt;0,C58-Gear!$C$12,0)</f>
        <v>0</v>
      </c>
      <c r="U58" s="9">
        <f>IF(C58&lt;&gt;0,C58-Gear!$C$12,0)</f>
        <v>0</v>
      </c>
    </row>
    <row r="59" spans="20:21" x14ac:dyDescent="0.25">
      <c r="T59" s="9">
        <f>IF(C59&lt;&gt;0,C59-Gear!$C$12,0)</f>
        <v>0</v>
      </c>
      <c r="U59" s="9">
        <f>IF(C59&lt;&gt;0,C59-Gear!$C$12,0)</f>
        <v>0</v>
      </c>
    </row>
    <row r="60" spans="20:21" x14ac:dyDescent="0.25">
      <c r="T60" s="9">
        <f>IF(C60&lt;&gt;0,C60-Gear!$C$12,0)</f>
        <v>0</v>
      </c>
      <c r="U60" s="9">
        <f>IF(C60&lt;&gt;0,C60-Gear!$C$12,0)</f>
        <v>0</v>
      </c>
    </row>
    <row r="61" spans="20:21" x14ac:dyDescent="0.25">
      <c r="T61" s="9">
        <f>IF(C61&lt;&gt;0,C61-Gear!$C$12,0)</f>
        <v>0</v>
      </c>
      <c r="U61" s="9">
        <f>IF(C61&lt;&gt;0,C61-Gear!$C$12,0)</f>
        <v>0</v>
      </c>
    </row>
    <row r="62" spans="20:21" x14ac:dyDescent="0.25">
      <c r="T62" s="9">
        <f>IF(C62&lt;&gt;0,C62-Gear!$C$12,0)</f>
        <v>0</v>
      </c>
      <c r="U62" s="9">
        <f>IF(C62&lt;&gt;0,C62-Gear!$C$12,0)</f>
        <v>0</v>
      </c>
    </row>
    <row r="63" spans="20:21" x14ac:dyDescent="0.25">
      <c r="T63" s="9">
        <f>IF(C63&lt;&gt;0,C63-Gear!$C$12,0)</f>
        <v>0</v>
      </c>
      <c r="U63" s="9">
        <f>IF(C63&lt;&gt;0,C63-Gear!$C$12,0)</f>
        <v>0</v>
      </c>
    </row>
    <row r="64" spans="20:21" x14ac:dyDescent="0.25">
      <c r="T64" s="9">
        <f>IF(C64&lt;&gt;0,C64-Gear!$C$12,0)</f>
        <v>0</v>
      </c>
      <c r="U64" s="9">
        <f>IF(C64&lt;&gt;0,C64-Gear!$C$12,0)</f>
        <v>0</v>
      </c>
    </row>
    <row r="65" spans="20:21" x14ac:dyDescent="0.25">
      <c r="T65" s="9">
        <f>IF(C65&lt;&gt;0,C65-Gear!$C$12,0)</f>
        <v>0</v>
      </c>
      <c r="U65" s="9">
        <f>IF(C65&lt;&gt;0,C65-Gear!$C$12,0)</f>
        <v>0</v>
      </c>
    </row>
    <row r="66" spans="20:21" x14ac:dyDescent="0.25">
      <c r="T66" s="9">
        <f>IF(C66&lt;&gt;0,C66-Gear!$C$12,0)</f>
        <v>0</v>
      </c>
      <c r="U66" s="9">
        <f>IF(C66&lt;&gt;0,C66-Gear!$C$12,0)</f>
        <v>0</v>
      </c>
    </row>
    <row r="67" spans="20:21" x14ac:dyDescent="0.25">
      <c r="T67" s="9">
        <f>IF(C67&lt;&gt;0,C67-Gear!$C$12,0)</f>
        <v>0</v>
      </c>
      <c r="U67" s="9">
        <f>IF(C67&lt;&gt;0,C67-Gear!$C$12,0)</f>
        <v>0</v>
      </c>
    </row>
    <row r="68" spans="20:21" x14ac:dyDescent="0.25">
      <c r="T68" s="9">
        <f>IF(C68&lt;&gt;0,C68-Gear!$C$12,0)</f>
        <v>0</v>
      </c>
      <c r="U68" s="9">
        <f>IF(C68&lt;&gt;0,C68-Gear!$C$12,0)</f>
        <v>0</v>
      </c>
    </row>
    <row r="69" spans="20:21" x14ac:dyDescent="0.25">
      <c r="T69" s="9">
        <f>IF(C69&lt;&gt;0,C69-Gear!$C$12,0)</f>
        <v>0</v>
      </c>
      <c r="U69" s="9">
        <f>IF(C69&lt;&gt;0,C69-Gear!$C$12,0)</f>
        <v>0</v>
      </c>
    </row>
    <row r="70" spans="20:21" x14ac:dyDescent="0.25">
      <c r="T70" s="9">
        <f>IF(C70&lt;&gt;0,C70-Gear!$C$12,0)</f>
        <v>0</v>
      </c>
      <c r="U70" s="9">
        <f>IF(C70&lt;&gt;0,C70-Gear!$C$12,0)</f>
        <v>0</v>
      </c>
    </row>
    <row r="71" spans="20:21" x14ac:dyDescent="0.25">
      <c r="T71" s="9">
        <f>IF(C71&lt;&gt;0,C71-Gear!$C$12,0)</f>
        <v>0</v>
      </c>
      <c r="U71" s="9">
        <f>IF(C71&lt;&gt;0,C71-Gear!$C$12,0)</f>
        <v>0</v>
      </c>
    </row>
    <row r="72" spans="20:21" x14ac:dyDescent="0.25">
      <c r="T72" s="9">
        <f>IF(C72&lt;&gt;0,C72-Gear!$C$12,0)</f>
        <v>0</v>
      </c>
      <c r="U72" s="9">
        <f>IF(C72&lt;&gt;0,C72-Gear!$C$12,0)</f>
        <v>0</v>
      </c>
    </row>
    <row r="73" spans="20:21" x14ac:dyDescent="0.25">
      <c r="T73" s="9">
        <f>IF(C73&lt;&gt;0,C73-Gear!$C$12,0)</f>
        <v>0</v>
      </c>
      <c r="U73" s="9">
        <f>IF(C73&lt;&gt;0,C73-Gear!$C$12,0)</f>
        <v>0</v>
      </c>
    </row>
    <row r="74" spans="20:21" x14ac:dyDescent="0.25">
      <c r="T74" s="9">
        <f>IF(C74&lt;&gt;0,C74-Gear!$C$12,0)</f>
        <v>0</v>
      </c>
      <c r="U74" s="9">
        <f>IF(C74&lt;&gt;0,C74-Gear!$C$12,0)</f>
        <v>0</v>
      </c>
    </row>
    <row r="75" spans="20:21" x14ac:dyDescent="0.25">
      <c r="T75" s="9">
        <f>IF(C75&lt;&gt;0,C75-Gear!$C$12,0)</f>
        <v>0</v>
      </c>
      <c r="U75" s="9">
        <f>IF(C75&lt;&gt;0,C75-Gear!$C$12,0)</f>
        <v>0</v>
      </c>
    </row>
    <row r="76" spans="20:21" x14ac:dyDescent="0.25">
      <c r="T76" s="9">
        <f>IF(C76&lt;&gt;0,C76-Gear!$C$12,0)</f>
        <v>0</v>
      </c>
      <c r="U76" s="9">
        <f>IF(C76&lt;&gt;0,C76-Gear!$C$12,0)</f>
        <v>0</v>
      </c>
    </row>
    <row r="77" spans="20:21" x14ac:dyDescent="0.25">
      <c r="T77" s="9">
        <f>IF(C77&lt;&gt;0,C77-Gear!$C$12,0)</f>
        <v>0</v>
      </c>
      <c r="U77" s="9">
        <f>IF(C77&lt;&gt;0,C77-Gear!$C$12,0)</f>
        <v>0</v>
      </c>
    </row>
    <row r="78" spans="20:21" x14ac:dyDescent="0.25">
      <c r="T78" s="9">
        <f>IF(C78&lt;&gt;0,C78-Gear!$C$12,0)</f>
        <v>0</v>
      </c>
      <c r="U78" s="9">
        <f>IF(C78&lt;&gt;0,C78-Gear!$C$12,0)</f>
        <v>0</v>
      </c>
    </row>
    <row r="79" spans="20:21" x14ac:dyDescent="0.25">
      <c r="T79" s="9">
        <f>IF(C79&lt;&gt;0,C79-Gear!$C$12,0)</f>
        <v>0</v>
      </c>
      <c r="U79" s="9">
        <f>IF(C79&lt;&gt;0,C79-Gear!$C$12,0)</f>
        <v>0</v>
      </c>
    </row>
    <row r="80" spans="20:21" x14ac:dyDescent="0.25">
      <c r="T80" s="9">
        <f>IF(C80&lt;&gt;0,C80-Gear!$C$12,0)</f>
        <v>0</v>
      </c>
      <c r="U80" s="9">
        <f>IF(C80&lt;&gt;0,C80-Gear!$C$12,0)</f>
        <v>0</v>
      </c>
    </row>
    <row r="81" spans="20:21" x14ac:dyDescent="0.25">
      <c r="T81" s="9">
        <f>IF(C81&lt;&gt;0,C81-Gear!$C$12,0)</f>
        <v>0</v>
      </c>
      <c r="U81" s="9">
        <f>IF(C81&lt;&gt;0,C81-Gear!$C$12,0)</f>
        <v>0</v>
      </c>
    </row>
    <row r="82" spans="20:21" x14ac:dyDescent="0.25">
      <c r="T82" s="9">
        <f>IF(C82&lt;&gt;0,C82-Gear!$C$12,0)</f>
        <v>0</v>
      </c>
      <c r="U82" s="9">
        <f>IF(C82&lt;&gt;0,C82-Gear!$C$12,0)</f>
        <v>0</v>
      </c>
    </row>
    <row r="83" spans="20:21" x14ac:dyDescent="0.25">
      <c r="T83" s="9">
        <f>IF(C83&lt;&gt;0,C83-Gear!$C$12,0)</f>
        <v>0</v>
      </c>
      <c r="U83" s="9">
        <f>IF(C83&lt;&gt;0,C83-Gear!$C$12,0)</f>
        <v>0</v>
      </c>
    </row>
    <row r="84" spans="20:21" x14ac:dyDescent="0.25">
      <c r="T84" s="9">
        <f>IF(C84&lt;&gt;0,C84-Gear!$C$12,0)</f>
        <v>0</v>
      </c>
      <c r="U84" s="9">
        <f>IF(C84&lt;&gt;0,C84-Gear!$C$12,0)</f>
        <v>0</v>
      </c>
    </row>
    <row r="85" spans="20:21" x14ac:dyDescent="0.25">
      <c r="T85" s="9">
        <f>IF(C85&lt;&gt;0,C85-Gear!$C$12,0)</f>
        <v>0</v>
      </c>
      <c r="U85" s="9">
        <f>IF(C85&lt;&gt;0,C85-Gear!$C$12,0)</f>
        <v>0</v>
      </c>
    </row>
    <row r="86" spans="20:21" x14ac:dyDescent="0.25">
      <c r="T86" s="9">
        <f>IF(C86&lt;&gt;0,C86-Gear!$C$12,0)</f>
        <v>0</v>
      </c>
      <c r="U86" s="9">
        <f>IF(C86&lt;&gt;0,C86-Gear!$C$12,0)</f>
        <v>0</v>
      </c>
    </row>
    <row r="87" spans="20:21" x14ac:dyDescent="0.25">
      <c r="T87" s="9">
        <f>IF(C87&lt;&gt;0,C87-Gear!$C$12,0)</f>
        <v>0</v>
      </c>
      <c r="U87" s="9">
        <f>IF(C87&lt;&gt;0,C87-Gear!$C$12,0)</f>
        <v>0</v>
      </c>
    </row>
    <row r="88" spans="20:21" x14ac:dyDescent="0.25">
      <c r="T88" s="9">
        <f>IF(C88&lt;&gt;0,C88-Gear!$C$12,0)</f>
        <v>0</v>
      </c>
      <c r="U88" s="9">
        <f>IF(C88&lt;&gt;0,C88-Gear!$C$12,0)</f>
        <v>0</v>
      </c>
    </row>
    <row r="89" spans="20:21" x14ac:dyDescent="0.25">
      <c r="T89" s="9">
        <f>IF(C89&lt;&gt;0,C89-Gear!$C$12,0)</f>
        <v>0</v>
      </c>
      <c r="U89" s="9">
        <f>IF(C89&lt;&gt;0,C89-Gear!$C$12,0)</f>
        <v>0</v>
      </c>
    </row>
    <row r="90" spans="20:21" x14ac:dyDescent="0.25">
      <c r="T90" s="9">
        <f>IF(C90&lt;&gt;0,C90-Gear!$C$12,0)</f>
        <v>0</v>
      </c>
      <c r="U90" s="9">
        <f>IF(C90&lt;&gt;0,C90-Gear!$C$12,0)</f>
        <v>0</v>
      </c>
    </row>
    <row r="91" spans="20:21" x14ac:dyDescent="0.25">
      <c r="T91" s="9">
        <f>IF(C91&lt;&gt;0,C91-Gear!$C$12,0)</f>
        <v>0</v>
      </c>
      <c r="U91" s="9">
        <f>IF(C91&lt;&gt;0,C91-Gear!$C$12,0)</f>
        <v>0</v>
      </c>
    </row>
    <row r="92" spans="20:21" x14ac:dyDescent="0.25">
      <c r="T92" s="9">
        <f>IF(C92&lt;&gt;0,C92-Gear!$C$12,0)</f>
        <v>0</v>
      </c>
      <c r="U92" s="9">
        <f>IF(C92&lt;&gt;0,C92-Gear!$C$12,0)</f>
        <v>0</v>
      </c>
    </row>
    <row r="93" spans="20:21" x14ac:dyDescent="0.25">
      <c r="T93" s="9">
        <f>IF(C93&lt;&gt;0,C93-Gear!$C$12,0)</f>
        <v>0</v>
      </c>
      <c r="U93" s="9">
        <f>IF(C93&lt;&gt;0,C93-Gear!$C$12,0)</f>
        <v>0</v>
      </c>
    </row>
    <row r="94" spans="20:21" x14ac:dyDescent="0.25">
      <c r="T94" s="9">
        <f>IF(C94&lt;&gt;0,C94-Gear!$C$12,0)</f>
        <v>0</v>
      </c>
      <c r="U94" s="9">
        <f>IF(C94&lt;&gt;0,C94-Gear!$C$12,0)</f>
        <v>0</v>
      </c>
    </row>
    <row r="95" spans="20:21" x14ac:dyDescent="0.25">
      <c r="T95" s="9">
        <f>IF(C95&lt;&gt;0,C95-Gear!$C$12,0)</f>
        <v>0</v>
      </c>
      <c r="U95" s="9">
        <f>IF(C95&lt;&gt;0,C95-Gear!$C$12,0)</f>
        <v>0</v>
      </c>
    </row>
    <row r="96" spans="20:21" x14ac:dyDescent="0.25">
      <c r="T96" s="9">
        <f>IF(C96&lt;&gt;0,C96-Gear!$C$12,0)</f>
        <v>0</v>
      </c>
      <c r="U96" s="9">
        <f>IF(C96&lt;&gt;0,C96-Gear!$C$12,0)</f>
        <v>0</v>
      </c>
    </row>
    <row r="97" spans="20:21" x14ac:dyDescent="0.25">
      <c r="T97" s="9">
        <f>IF(C97&lt;&gt;0,C97-Gear!$C$12,0)</f>
        <v>0</v>
      </c>
      <c r="U97" s="9">
        <f>IF(C97&lt;&gt;0,C97-Gear!$C$12,0)</f>
        <v>0</v>
      </c>
    </row>
    <row r="98" spans="20:21" x14ac:dyDescent="0.25">
      <c r="T98" s="9">
        <f>IF(C98&lt;&gt;0,C98-Gear!$C$12,0)</f>
        <v>0</v>
      </c>
      <c r="U98" s="9">
        <f>IF(C98&lt;&gt;0,C98-Gear!$C$12,0)</f>
        <v>0</v>
      </c>
    </row>
    <row r="99" spans="20:21" x14ac:dyDescent="0.25">
      <c r="T99" s="9">
        <f>IF(C99&lt;&gt;0,C99-Gear!$C$12,0)</f>
        <v>0</v>
      </c>
      <c r="U99" s="9">
        <f>IF(C99&lt;&gt;0,C99-Gear!$C$12,0)</f>
        <v>0</v>
      </c>
    </row>
    <row r="100" spans="20:21" x14ac:dyDescent="0.25">
      <c r="T100" s="9">
        <f>IF(C100&lt;&gt;0,C100-Gear!$C$12,0)</f>
        <v>0</v>
      </c>
      <c r="U100" s="9">
        <f>IF(C100&lt;&gt;0,C100-Gear!$C$12,0)</f>
        <v>0</v>
      </c>
    </row>
    <row r="101" spans="20:21" x14ac:dyDescent="0.25">
      <c r="T101" s="9">
        <f>IF(C101&lt;&gt;0,C101-Gear!$C$12,0)</f>
        <v>0</v>
      </c>
      <c r="U101" s="9">
        <f>IF(C101&lt;&gt;0,C101-Gear!$C$12,0)</f>
        <v>0</v>
      </c>
    </row>
    <row r="102" spans="20:21" x14ac:dyDescent="0.25">
      <c r="T102" s="9">
        <f>IF(C102&lt;&gt;0,C102-Gear!$C$12,0)</f>
        <v>0</v>
      </c>
      <c r="U102" s="9">
        <f>IF(C102&lt;&gt;0,C102-Gear!$C$12,0)</f>
        <v>0</v>
      </c>
    </row>
    <row r="103" spans="20:21" x14ac:dyDescent="0.25">
      <c r="T103" s="9">
        <f>IF(C103&lt;&gt;0,C103-Gear!$C$12,0)</f>
        <v>0</v>
      </c>
      <c r="U103" s="9">
        <f>IF(C103&lt;&gt;0,C103-Gear!$C$12,0)</f>
        <v>0</v>
      </c>
    </row>
    <row r="104" spans="20:21" x14ac:dyDescent="0.25">
      <c r="T104" s="9">
        <f>IF(C104&lt;&gt;0,C104-Gear!$C$12,0)</f>
        <v>0</v>
      </c>
      <c r="U104" s="9">
        <f>IF(C104&lt;&gt;0,C104-Gear!$C$12,0)</f>
        <v>0</v>
      </c>
    </row>
    <row r="105" spans="20:21" x14ac:dyDescent="0.25">
      <c r="T105" s="9">
        <f>IF(C105&lt;&gt;0,C105-Gear!$C$12,0)</f>
        <v>0</v>
      </c>
      <c r="U105" s="9">
        <f>IF(C105&lt;&gt;0,C105-Gear!$C$12,0)</f>
        <v>0</v>
      </c>
    </row>
    <row r="106" spans="20:21" x14ac:dyDescent="0.25">
      <c r="T106" s="9">
        <f>IF(C106&lt;&gt;0,C106-Gear!$C$12,0)</f>
        <v>0</v>
      </c>
      <c r="U106" s="9">
        <f>IF(C106&lt;&gt;0,C106-Gear!$C$12,0)</f>
        <v>0</v>
      </c>
    </row>
    <row r="107" spans="20:21" x14ac:dyDescent="0.25">
      <c r="T107" s="9">
        <f>IF(C107&lt;&gt;0,C107-Gear!$C$12,0)</f>
        <v>0</v>
      </c>
      <c r="U107" s="9">
        <f>IF(C107&lt;&gt;0,C107-Gear!$C$12,0)</f>
        <v>0</v>
      </c>
    </row>
    <row r="108" spans="20:21" x14ac:dyDescent="0.25">
      <c r="T108" s="9">
        <f>IF(C108&lt;&gt;0,C108-Gear!$C$12,0)</f>
        <v>0</v>
      </c>
      <c r="U108" s="9">
        <f>IF(C108&lt;&gt;0,C108-Gear!$C$12,0)</f>
        <v>0</v>
      </c>
    </row>
    <row r="109" spans="20:21" x14ac:dyDescent="0.25">
      <c r="T109" s="9">
        <f>IF(C109&lt;&gt;0,C109-Gear!$C$12,0)</f>
        <v>0</v>
      </c>
      <c r="U109" s="9">
        <f>IF(C109&lt;&gt;0,C109-Gear!$C$12,0)</f>
        <v>0</v>
      </c>
    </row>
    <row r="110" spans="20:21" x14ac:dyDescent="0.25">
      <c r="T110" s="9">
        <f>IF(C110&lt;&gt;0,C110-Gear!$C$12,0)</f>
        <v>0</v>
      </c>
      <c r="U110" s="9">
        <f>IF(C110&lt;&gt;0,C110-Gear!$C$12,0)</f>
        <v>0</v>
      </c>
    </row>
    <row r="111" spans="20:21" x14ac:dyDescent="0.25">
      <c r="T111" s="9">
        <f>IF(C111&lt;&gt;0,C111-Gear!$C$12,0)</f>
        <v>0</v>
      </c>
      <c r="U111" s="9">
        <f>IF(C111&lt;&gt;0,C111-Gear!$C$12,0)</f>
        <v>0</v>
      </c>
    </row>
    <row r="112" spans="20:21" x14ac:dyDescent="0.25">
      <c r="T112" s="9">
        <f>IF(C112&lt;&gt;0,C112-Gear!$C$12,0)</f>
        <v>0</v>
      </c>
      <c r="U112" s="9">
        <f>IF(C112&lt;&gt;0,C112-Gear!$C$12,0)</f>
        <v>0</v>
      </c>
    </row>
    <row r="113" spans="20:21" x14ac:dyDescent="0.25">
      <c r="T113" s="9">
        <f>IF(C113&lt;&gt;0,C113-Gear!$C$12,0)</f>
        <v>0</v>
      </c>
      <c r="U113" s="9">
        <f>IF(C113&lt;&gt;0,C113-Gear!$C$12,0)</f>
        <v>0</v>
      </c>
    </row>
    <row r="114" spans="20:21" x14ac:dyDescent="0.25">
      <c r="T114" s="9">
        <f>IF(C114&lt;&gt;0,C114-Gear!$C$12,0)</f>
        <v>0</v>
      </c>
      <c r="U114" s="9">
        <f>IF(C114&lt;&gt;0,C114-Gear!$C$12,0)</f>
        <v>0</v>
      </c>
    </row>
    <row r="115" spans="20:21" x14ac:dyDescent="0.25">
      <c r="T115" s="9">
        <f>IF(C115&lt;&gt;0,C115-Gear!$C$12,0)</f>
        <v>0</v>
      </c>
      <c r="U115" s="9">
        <f>IF(C115&lt;&gt;0,C115-Gear!$C$12,0)</f>
        <v>0</v>
      </c>
    </row>
    <row r="116" spans="20:21" x14ac:dyDescent="0.25">
      <c r="T116" s="9">
        <f>IF(C116&lt;&gt;0,C116-Gear!$C$12,0)</f>
        <v>0</v>
      </c>
      <c r="U116" s="9">
        <f>IF(C116&lt;&gt;0,C116-Gear!$C$12,0)</f>
        <v>0</v>
      </c>
    </row>
    <row r="117" spans="20:21" x14ac:dyDescent="0.25">
      <c r="T117" s="9">
        <f>IF(C117&lt;&gt;0,C117-Gear!$C$12,0)</f>
        <v>0</v>
      </c>
      <c r="U117" s="9">
        <f>IF(C117&lt;&gt;0,C117-Gear!$C$12,0)</f>
        <v>0</v>
      </c>
    </row>
    <row r="118" spans="20:21" x14ac:dyDescent="0.25">
      <c r="T118" s="9">
        <f>IF(C118&lt;&gt;0,C118-Gear!$C$12,0)</f>
        <v>0</v>
      </c>
      <c r="U118" s="9">
        <f>IF(C118&lt;&gt;0,C118-Gear!$C$12,0)</f>
        <v>0</v>
      </c>
    </row>
    <row r="119" spans="20:21" x14ac:dyDescent="0.25">
      <c r="T119" s="9">
        <f>IF(C119&lt;&gt;0,C119-Gear!$C$12,0)</f>
        <v>0</v>
      </c>
      <c r="U119" s="9">
        <f>IF(C119&lt;&gt;0,C119-Gear!$C$12,0)</f>
        <v>0</v>
      </c>
    </row>
    <row r="120" spans="20:21" x14ac:dyDescent="0.25">
      <c r="T120" s="9">
        <f>IF(C120&lt;&gt;0,C120-Gear!$C$12,0)</f>
        <v>0</v>
      </c>
      <c r="U120" s="9">
        <f>IF(C120&lt;&gt;0,C120-Gear!$C$12,0)</f>
        <v>0</v>
      </c>
    </row>
    <row r="121" spans="20:21" x14ac:dyDescent="0.25">
      <c r="T121" s="9">
        <f>IF(C121&lt;&gt;0,C121-Gear!$C$12,0)</f>
        <v>0</v>
      </c>
      <c r="U121" s="9">
        <f>IF(C121&lt;&gt;0,C121-Gear!$C$12,0)</f>
        <v>0</v>
      </c>
    </row>
    <row r="122" spans="20:21" x14ac:dyDescent="0.25">
      <c r="T122" s="9">
        <f>IF(C122&lt;&gt;0,C122-Gear!$C$12,0)</f>
        <v>0</v>
      </c>
      <c r="U122" s="9">
        <f>IF(C122&lt;&gt;0,C122-Gear!$C$12,0)</f>
        <v>0</v>
      </c>
    </row>
    <row r="123" spans="20:21" x14ac:dyDescent="0.25">
      <c r="T123" s="9">
        <f>IF(C123&lt;&gt;0,C123-Gear!$C$12,0)</f>
        <v>0</v>
      </c>
      <c r="U123" s="9">
        <f>IF(C123&lt;&gt;0,C123-Gear!$C$12,0)</f>
        <v>0</v>
      </c>
    </row>
    <row r="124" spans="20:21" x14ac:dyDescent="0.25">
      <c r="T124" s="9">
        <f>IF(C124&lt;&gt;0,C124-Gear!$C$12,0)</f>
        <v>0</v>
      </c>
      <c r="U124" s="9">
        <f>IF(C124&lt;&gt;0,C124-Gear!$C$12,0)</f>
        <v>0</v>
      </c>
    </row>
    <row r="125" spans="20:21" x14ac:dyDescent="0.25">
      <c r="T125" s="9">
        <f>IF(C125&lt;&gt;0,C125-Gear!$C$12,0)</f>
        <v>0</v>
      </c>
      <c r="U125" s="9">
        <f>IF(C125&lt;&gt;0,C125-Gear!$C$12,0)</f>
        <v>0</v>
      </c>
    </row>
    <row r="126" spans="20:21" x14ac:dyDescent="0.25">
      <c r="T126" s="9">
        <f>IF(C126&lt;&gt;0,C126-Gear!$C$12,0)</f>
        <v>0</v>
      </c>
      <c r="U126" s="9">
        <f>IF(C126&lt;&gt;0,C126-Gear!$C$12,0)</f>
        <v>0</v>
      </c>
    </row>
    <row r="127" spans="20:21" x14ac:dyDescent="0.25">
      <c r="T127" s="9">
        <f>IF(C127&lt;&gt;0,C127-Gear!$C$12,0)</f>
        <v>0</v>
      </c>
      <c r="U127" s="9">
        <f>IF(C127&lt;&gt;0,C127-Gear!$C$12,0)</f>
        <v>0</v>
      </c>
    </row>
    <row r="128" spans="20:21" x14ac:dyDescent="0.25">
      <c r="T128" s="9">
        <f>IF(C128&lt;&gt;0,C128-Gear!$C$12,0)</f>
        <v>0</v>
      </c>
      <c r="U128" s="9">
        <f>IF(C128&lt;&gt;0,C128-Gear!$C$12,0)</f>
        <v>0</v>
      </c>
    </row>
    <row r="129" spans="20:21" x14ac:dyDescent="0.25">
      <c r="T129" s="9">
        <f>IF(C129&lt;&gt;0,C129-Gear!$C$12,0)</f>
        <v>0</v>
      </c>
      <c r="U129" s="9">
        <f>IF(C129&lt;&gt;0,C129-Gear!$C$12,0)</f>
        <v>0</v>
      </c>
    </row>
    <row r="130" spans="20:21" x14ac:dyDescent="0.25">
      <c r="T130" s="9">
        <f>IF(C130&lt;&gt;0,C130-Gear!$C$12,0)</f>
        <v>0</v>
      </c>
      <c r="U130" s="9">
        <f>IF(C130&lt;&gt;0,C130-Gear!$C$12,0)</f>
        <v>0</v>
      </c>
    </row>
    <row r="131" spans="20:21" x14ac:dyDescent="0.25">
      <c r="T131" s="9">
        <f>IF(C131&lt;&gt;0,C131-Gear!$C$12,0)</f>
        <v>0</v>
      </c>
      <c r="U131" s="9">
        <f>IF(C131&lt;&gt;0,C131-Gear!$C$12,0)</f>
        <v>0</v>
      </c>
    </row>
    <row r="132" spans="20:21" x14ac:dyDescent="0.25">
      <c r="T132" s="9">
        <f>IF(C132&lt;&gt;0,C132-Gear!$C$12,0)</f>
        <v>0</v>
      </c>
      <c r="U132" s="9">
        <f>IF(C132&lt;&gt;0,C132-Gear!$C$12,0)</f>
        <v>0</v>
      </c>
    </row>
    <row r="133" spans="20:21" x14ac:dyDescent="0.25">
      <c r="T133" s="9">
        <f>IF(C133&lt;&gt;0,C133-Gear!$C$12,0)</f>
        <v>0</v>
      </c>
      <c r="U133" s="9">
        <f>IF(C133&lt;&gt;0,C133-Gear!$C$12,0)</f>
        <v>0</v>
      </c>
    </row>
    <row r="134" spans="20:21" x14ac:dyDescent="0.25">
      <c r="T134" s="9">
        <f>IF(C134&lt;&gt;0,C134-Gear!$C$12,0)</f>
        <v>0</v>
      </c>
      <c r="U134" s="9">
        <f>IF(C134&lt;&gt;0,C134-Gear!$C$12,0)</f>
        <v>0</v>
      </c>
    </row>
    <row r="135" spans="20:21" x14ac:dyDescent="0.25">
      <c r="T135" s="9">
        <f>IF(C135&lt;&gt;0,C135-Gear!$C$12,0)</f>
        <v>0</v>
      </c>
      <c r="U135" s="9">
        <f>IF(C135&lt;&gt;0,C135-Gear!$C$12,0)</f>
        <v>0</v>
      </c>
    </row>
    <row r="136" spans="20:21" x14ac:dyDescent="0.25">
      <c r="T136" s="9">
        <f>IF(C136&lt;&gt;0,C136-Gear!$C$12,0)</f>
        <v>0</v>
      </c>
      <c r="U136" s="9">
        <f>IF(C136&lt;&gt;0,C136-Gear!$C$12,0)</f>
        <v>0</v>
      </c>
    </row>
    <row r="137" spans="20:21" x14ac:dyDescent="0.25">
      <c r="T137" s="9">
        <f>IF(C137&lt;&gt;0,C137-Gear!$C$12,0)</f>
        <v>0</v>
      </c>
      <c r="U137" s="9">
        <f>IF(C137&lt;&gt;0,C137-Gear!$C$12,0)</f>
        <v>0</v>
      </c>
    </row>
    <row r="138" spans="20:21" x14ac:dyDescent="0.25">
      <c r="T138" s="9">
        <f>IF(C138&lt;&gt;0,C138-Gear!$C$12,0)</f>
        <v>0</v>
      </c>
      <c r="U138" s="9">
        <f>IF(C138&lt;&gt;0,C138-Gear!$C$12,0)</f>
        <v>0</v>
      </c>
    </row>
    <row r="139" spans="20:21" x14ac:dyDescent="0.25">
      <c r="T139" s="9">
        <f>IF(C139&lt;&gt;0,C139-Gear!$C$12,0)</f>
        <v>0</v>
      </c>
      <c r="U139" s="9">
        <f>IF(C139&lt;&gt;0,C139-Gear!$C$12,0)</f>
        <v>0</v>
      </c>
    </row>
    <row r="140" spans="20:21" x14ac:dyDescent="0.25">
      <c r="T140" s="9">
        <f>IF(C140&lt;&gt;0,C140-Gear!$C$12,0)</f>
        <v>0</v>
      </c>
      <c r="U140" s="9">
        <f>IF(C140&lt;&gt;0,C140-Gear!$C$12,0)</f>
        <v>0</v>
      </c>
    </row>
    <row r="141" spans="20:21" x14ac:dyDescent="0.25">
      <c r="T141" s="9">
        <f>IF(C141&lt;&gt;0,C141-Gear!$C$12,0)</f>
        <v>0</v>
      </c>
      <c r="U141" s="9">
        <f>IF(C141&lt;&gt;0,C141-Gear!$C$12,0)</f>
        <v>0</v>
      </c>
    </row>
    <row r="142" spans="20:21" x14ac:dyDescent="0.25">
      <c r="T142" s="9">
        <f>IF(C142&lt;&gt;0,C142-Gear!$C$12,0)</f>
        <v>0</v>
      </c>
      <c r="U142" s="9">
        <f>IF(C142&lt;&gt;0,C142-Gear!$C$12,0)</f>
        <v>0</v>
      </c>
    </row>
    <row r="143" spans="20:21" x14ac:dyDescent="0.25">
      <c r="T143" s="9">
        <f>IF(C143&lt;&gt;0,C143-Gear!$C$12,0)</f>
        <v>0</v>
      </c>
      <c r="U143" s="9">
        <f>IF(C143&lt;&gt;0,C143-Gear!$C$12,0)</f>
        <v>0</v>
      </c>
    </row>
    <row r="144" spans="20:21" x14ac:dyDescent="0.25">
      <c r="T144" s="9">
        <f>IF(C144&lt;&gt;0,C144-Gear!$C$12,0)</f>
        <v>0</v>
      </c>
      <c r="U144" s="9">
        <f>IF(C144&lt;&gt;0,C144-Gear!$C$12,0)</f>
        <v>0</v>
      </c>
    </row>
    <row r="145" spans="20:21" x14ac:dyDescent="0.25">
      <c r="T145" s="9">
        <f>IF(C145&lt;&gt;0,C145-Gear!$C$12,0)</f>
        <v>0</v>
      </c>
      <c r="U145" s="9">
        <f>IF(C145&lt;&gt;0,C145-Gear!$C$12,0)</f>
        <v>0</v>
      </c>
    </row>
    <row r="146" spans="20:21" x14ac:dyDescent="0.25">
      <c r="T146" s="9">
        <f>IF(C146&lt;&gt;0,C146-Gear!$C$12,0)</f>
        <v>0</v>
      </c>
      <c r="U146" s="9">
        <f>IF(C146&lt;&gt;0,C146-Gear!$C$12,0)</f>
        <v>0</v>
      </c>
    </row>
    <row r="147" spans="20:21" x14ac:dyDescent="0.25">
      <c r="T147" s="9">
        <f>IF(C147&lt;&gt;0,C147-Gear!$C$12,0)</f>
        <v>0</v>
      </c>
      <c r="U147" s="9">
        <f>IF(C147&lt;&gt;0,C147-Gear!$C$12,0)</f>
        <v>0</v>
      </c>
    </row>
    <row r="148" spans="20:21" x14ac:dyDescent="0.25">
      <c r="T148" s="9">
        <f>IF(C148&lt;&gt;0,C148-Gear!$C$12,0)</f>
        <v>0</v>
      </c>
      <c r="U148" s="9">
        <f>IF(C148&lt;&gt;0,C148-Gear!$C$12,0)</f>
        <v>0</v>
      </c>
    </row>
    <row r="149" spans="20:21" x14ac:dyDescent="0.25">
      <c r="T149" s="9">
        <f>IF(C149&lt;&gt;0,C149-Gear!$C$12,0)</f>
        <v>0</v>
      </c>
      <c r="U149" s="9">
        <f>IF(C149&lt;&gt;0,C149-Gear!$C$12,0)</f>
        <v>0</v>
      </c>
    </row>
    <row r="150" spans="20:21" x14ac:dyDescent="0.25">
      <c r="T150" s="9">
        <f>IF(C150&lt;&gt;0,C150-Gear!$C$12,0)</f>
        <v>0</v>
      </c>
      <c r="U150" s="9">
        <f>IF(C150&lt;&gt;0,C150-Gear!$C$12,0)</f>
        <v>0</v>
      </c>
    </row>
    <row r="151" spans="20:21" x14ac:dyDescent="0.25">
      <c r="T151" s="9">
        <f>IF(C151&lt;&gt;0,C151-Gear!$C$12,0)</f>
        <v>0</v>
      </c>
      <c r="U151" s="9">
        <f>IF(C151&lt;&gt;0,C151-Gear!$C$12,0)</f>
        <v>0</v>
      </c>
    </row>
    <row r="152" spans="20:21" x14ac:dyDescent="0.25">
      <c r="T152" s="9">
        <f>IF(C152&lt;&gt;0,C152-Gear!$C$12,0)</f>
        <v>0</v>
      </c>
      <c r="U152" s="9">
        <f>IF(C152&lt;&gt;0,C152-Gear!$C$12,0)</f>
        <v>0</v>
      </c>
    </row>
    <row r="153" spans="20:21" x14ac:dyDescent="0.25">
      <c r="T153" s="9">
        <f>IF(C153&lt;&gt;0,C153-Gear!$C$12,0)</f>
        <v>0</v>
      </c>
      <c r="U153" s="9">
        <f>IF(C153&lt;&gt;0,C153-Gear!$C$12,0)</f>
        <v>0</v>
      </c>
    </row>
    <row r="154" spans="20:21" x14ac:dyDescent="0.25">
      <c r="T154" s="9">
        <f>IF(C154&lt;&gt;0,C154-Gear!$C$12,0)</f>
        <v>0</v>
      </c>
      <c r="U154" s="9">
        <f>IF(C154&lt;&gt;0,C154-Gear!$C$12,0)</f>
        <v>0</v>
      </c>
    </row>
    <row r="155" spans="20:21" x14ac:dyDescent="0.25">
      <c r="T155" s="9">
        <f>IF(C155&lt;&gt;0,C155-Gear!$C$12,0)</f>
        <v>0</v>
      </c>
      <c r="U155" s="9">
        <f>IF(C155&lt;&gt;0,C155-Gear!$C$12,0)</f>
        <v>0</v>
      </c>
    </row>
    <row r="156" spans="20:21" x14ac:dyDescent="0.25">
      <c r="T156" s="9">
        <f>IF(C156&lt;&gt;0,C156-Gear!$C$12,0)</f>
        <v>0</v>
      </c>
      <c r="U156" s="9">
        <f>IF(C156&lt;&gt;0,C156-Gear!$C$12,0)</f>
        <v>0</v>
      </c>
    </row>
    <row r="157" spans="20:21" x14ac:dyDescent="0.25">
      <c r="T157" s="9">
        <f>IF(C157&lt;&gt;0,C157-Gear!$C$12,0)</f>
        <v>0</v>
      </c>
      <c r="U157" s="9">
        <f>IF(C157&lt;&gt;0,C157-Gear!$C$12,0)</f>
        <v>0</v>
      </c>
    </row>
    <row r="158" spans="20:21" x14ac:dyDescent="0.25">
      <c r="T158" s="9">
        <f>IF(C158&lt;&gt;0,C158-Gear!$C$12,0)</f>
        <v>0</v>
      </c>
      <c r="U158" s="9">
        <f>IF(C158&lt;&gt;0,C158-Gear!$C$12,0)</f>
        <v>0</v>
      </c>
    </row>
    <row r="159" spans="20:21" x14ac:dyDescent="0.25">
      <c r="T159" s="9">
        <f>IF(C159&lt;&gt;0,C159-Gear!$C$12,0)</f>
        <v>0</v>
      </c>
      <c r="U159" s="9">
        <f>IF(C159&lt;&gt;0,C159-Gear!$C$12,0)</f>
        <v>0</v>
      </c>
    </row>
    <row r="160" spans="20:21" x14ac:dyDescent="0.25">
      <c r="T160" s="9">
        <f>IF(C160&lt;&gt;0,C160-Gear!$C$12,0)</f>
        <v>0</v>
      </c>
      <c r="U160" s="9">
        <f>IF(C160&lt;&gt;0,C160-Gear!$C$12,0)</f>
        <v>0</v>
      </c>
    </row>
    <row r="161" spans="20:21" x14ac:dyDescent="0.25">
      <c r="T161" s="9">
        <f>IF(C161&lt;&gt;0,C161-Gear!$C$12,0)</f>
        <v>0</v>
      </c>
      <c r="U161" s="9">
        <f>IF(C161&lt;&gt;0,C161-Gear!$C$12,0)</f>
        <v>0</v>
      </c>
    </row>
    <row r="162" spans="20:21" x14ac:dyDescent="0.25">
      <c r="T162" s="9">
        <f>IF(C162&lt;&gt;0,C162-Gear!$C$12,0)</f>
        <v>0</v>
      </c>
      <c r="U162" s="9">
        <f>IF(C162&lt;&gt;0,C162-Gear!$C$12,0)</f>
        <v>0</v>
      </c>
    </row>
    <row r="163" spans="20:21" x14ac:dyDescent="0.25">
      <c r="T163" s="9">
        <f>IF(C163&lt;&gt;0,C163-Gear!$C$12,0)</f>
        <v>0</v>
      </c>
      <c r="U163" s="9">
        <f>IF(C163&lt;&gt;0,C163-Gear!$C$12,0)</f>
        <v>0</v>
      </c>
    </row>
    <row r="164" spans="20:21" x14ac:dyDescent="0.25">
      <c r="T164" s="9">
        <f>IF(C164&lt;&gt;0,C164-Gear!$C$12,0)</f>
        <v>0</v>
      </c>
      <c r="U164" s="9">
        <f>IF(C164&lt;&gt;0,C164-Gear!$C$12,0)</f>
        <v>0</v>
      </c>
    </row>
    <row r="165" spans="20:21" x14ac:dyDescent="0.25">
      <c r="T165" s="9">
        <f>IF(C165&lt;&gt;0,C165-Gear!$C$12,0)</f>
        <v>0</v>
      </c>
      <c r="U165" s="9">
        <f>IF(C165&lt;&gt;0,C165-Gear!$C$12,0)</f>
        <v>0</v>
      </c>
    </row>
    <row r="166" spans="20:21" x14ac:dyDescent="0.25">
      <c r="T166" s="9">
        <f>IF(C166&lt;&gt;0,C166-Gear!$C$12,0)</f>
        <v>0</v>
      </c>
      <c r="U166" s="9">
        <f>IF(C166&lt;&gt;0,C166-Gear!$C$12,0)</f>
        <v>0</v>
      </c>
    </row>
    <row r="167" spans="20:21" x14ac:dyDescent="0.25">
      <c r="T167" s="9">
        <f>IF(C167&lt;&gt;0,C167-Gear!$C$12,0)</f>
        <v>0</v>
      </c>
      <c r="U167" s="9">
        <f>IF(C167&lt;&gt;0,C167-Gear!$C$12,0)</f>
        <v>0</v>
      </c>
    </row>
    <row r="168" spans="20:21" x14ac:dyDescent="0.25">
      <c r="T168" s="9">
        <f>IF(C168&lt;&gt;0,C168-Gear!$C$12,0)</f>
        <v>0</v>
      </c>
      <c r="U168" s="9">
        <f>IF(C168&lt;&gt;0,C168-Gear!$C$12,0)</f>
        <v>0</v>
      </c>
    </row>
    <row r="169" spans="20:21" x14ac:dyDescent="0.25">
      <c r="T169" s="9">
        <f>IF(C169&lt;&gt;0,C169-Gear!$C$12,0)</f>
        <v>0</v>
      </c>
      <c r="U169" s="9">
        <f>IF(C169&lt;&gt;0,C169-Gear!$C$12,0)</f>
        <v>0</v>
      </c>
    </row>
    <row r="170" spans="20:21" x14ac:dyDescent="0.25">
      <c r="T170" s="9">
        <f>IF(C170&lt;&gt;0,C170-Gear!$C$12,0)</f>
        <v>0</v>
      </c>
      <c r="U170" s="9">
        <f>IF(C170&lt;&gt;0,C170-Gear!$C$12,0)</f>
        <v>0</v>
      </c>
    </row>
    <row r="171" spans="20:21" x14ac:dyDescent="0.25">
      <c r="T171" s="9">
        <f>IF(C171&lt;&gt;0,C171-Gear!$C$12,0)</f>
        <v>0</v>
      </c>
      <c r="U171" s="9">
        <f>IF(C171&lt;&gt;0,C171-Gear!$C$12,0)</f>
        <v>0</v>
      </c>
    </row>
    <row r="172" spans="20:21" x14ac:dyDescent="0.25">
      <c r="T172" s="9">
        <f>IF(C172&lt;&gt;0,C172-Gear!$C$12,0)</f>
        <v>0</v>
      </c>
      <c r="U172" s="9">
        <f>IF(C172&lt;&gt;0,C172-Gear!$C$12,0)</f>
        <v>0</v>
      </c>
    </row>
    <row r="173" spans="20:21" x14ac:dyDescent="0.25">
      <c r="T173" s="9">
        <f>IF(C173&lt;&gt;0,C173-Gear!$C$12,0)</f>
        <v>0</v>
      </c>
      <c r="U173" s="9">
        <f>IF(C173&lt;&gt;0,C173-Gear!$C$12,0)</f>
        <v>0</v>
      </c>
    </row>
    <row r="174" spans="20:21" x14ac:dyDescent="0.25">
      <c r="T174" s="9">
        <f>IF(C174&lt;&gt;0,C174-Gear!$C$12,0)</f>
        <v>0</v>
      </c>
      <c r="U174" s="9">
        <f>IF(C174&lt;&gt;0,C174-Gear!$C$12,0)</f>
        <v>0</v>
      </c>
    </row>
    <row r="175" spans="20:21" x14ac:dyDescent="0.25">
      <c r="T175" s="9">
        <f>IF(C175&lt;&gt;0,C175-Gear!$C$12,0)</f>
        <v>0</v>
      </c>
      <c r="U175" s="9">
        <f>IF(C175&lt;&gt;0,C175-Gear!$C$12,0)</f>
        <v>0</v>
      </c>
    </row>
    <row r="176" spans="20:21" x14ac:dyDescent="0.25">
      <c r="T176" s="9">
        <f>IF(C176&lt;&gt;0,C176-Gear!$C$12,0)</f>
        <v>0</v>
      </c>
      <c r="U176" s="9">
        <f>IF(C176&lt;&gt;0,C176-Gear!$C$12,0)</f>
        <v>0</v>
      </c>
    </row>
    <row r="177" spans="20:21" x14ac:dyDescent="0.25">
      <c r="T177" s="9">
        <f>IF(C177&lt;&gt;0,C177-Gear!$C$12,0)</f>
        <v>0</v>
      </c>
      <c r="U177" s="9">
        <f>IF(C177&lt;&gt;0,C177-Gear!$C$12,0)</f>
        <v>0</v>
      </c>
    </row>
    <row r="178" spans="20:21" x14ac:dyDescent="0.25">
      <c r="T178" s="9">
        <f>IF(C178&lt;&gt;0,C178-Gear!$C$12,0)</f>
        <v>0</v>
      </c>
      <c r="U178" s="9">
        <f>IF(C178&lt;&gt;0,C178-Gear!$C$12,0)</f>
        <v>0</v>
      </c>
    </row>
    <row r="179" spans="20:21" x14ac:dyDescent="0.25">
      <c r="T179" s="9">
        <f>IF(C179&lt;&gt;0,C179-Gear!$C$12,0)</f>
        <v>0</v>
      </c>
      <c r="U179" s="9">
        <f>IF(C179&lt;&gt;0,C179-Gear!$C$12,0)</f>
        <v>0</v>
      </c>
    </row>
    <row r="180" spans="20:21" x14ac:dyDescent="0.25">
      <c r="T180" s="9">
        <f>IF(C180&lt;&gt;0,C180-Gear!$C$12,0)</f>
        <v>0</v>
      </c>
      <c r="U180" s="9">
        <f>IF(C180&lt;&gt;0,C180-Gear!$C$12,0)</f>
        <v>0</v>
      </c>
    </row>
    <row r="181" spans="20:21" x14ac:dyDescent="0.25">
      <c r="T181" s="9">
        <f>IF(C181&lt;&gt;0,C181-Gear!$C$12,0)</f>
        <v>0</v>
      </c>
      <c r="U181" s="9">
        <f>IF(C181&lt;&gt;0,C181-Gear!$C$12,0)</f>
        <v>0</v>
      </c>
    </row>
    <row r="182" spans="20:21" x14ac:dyDescent="0.25">
      <c r="T182" s="9">
        <f>IF(C182&lt;&gt;0,C182-Gear!$C$12,0)</f>
        <v>0</v>
      </c>
      <c r="U182" s="9">
        <f>IF(C182&lt;&gt;0,C182-Gear!$C$12,0)</f>
        <v>0</v>
      </c>
    </row>
    <row r="183" spans="20:21" x14ac:dyDescent="0.25">
      <c r="T183" s="9">
        <f>IF(C183&lt;&gt;0,C183-Gear!$C$12,0)</f>
        <v>0</v>
      </c>
      <c r="U183" s="9">
        <f>IF(C183&lt;&gt;0,C183-Gear!$C$12,0)</f>
        <v>0</v>
      </c>
    </row>
    <row r="184" spans="20:21" x14ac:dyDescent="0.25">
      <c r="T184" s="9">
        <f>IF(C184&lt;&gt;0,C184-Gear!$C$12,0)</f>
        <v>0</v>
      </c>
      <c r="U184" s="9">
        <f>IF(C184&lt;&gt;0,C184-Gear!$C$12,0)</f>
        <v>0</v>
      </c>
    </row>
    <row r="185" spans="20:21" x14ac:dyDescent="0.25">
      <c r="T185" s="9">
        <f>IF(C185&lt;&gt;0,C185-Gear!$C$12,0)</f>
        <v>0</v>
      </c>
      <c r="U185" s="9">
        <f>IF(C185&lt;&gt;0,C185-Gear!$C$12,0)</f>
        <v>0</v>
      </c>
    </row>
    <row r="186" spans="20:21" x14ac:dyDescent="0.25">
      <c r="T186" s="9">
        <f>IF(C186&lt;&gt;0,C186-Gear!$C$12,0)</f>
        <v>0</v>
      </c>
      <c r="U186" s="9">
        <f>IF(C186&lt;&gt;0,C186-Gear!$C$12,0)</f>
        <v>0</v>
      </c>
    </row>
    <row r="187" spans="20:21" x14ac:dyDescent="0.25">
      <c r="T187" s="9">
        <f>IF(C187&lt;&gt;0,C187-Gear!$C$12,0)</f>
        <v>0</v>
      </c>
      <c r="U187" s="9">
        <f>IF(C187&lt;&gt;0,C187-Gear!$C$12,0)</f>
        <v>0</v>
      </c>
    </row>
    <row r="188" spans="20:21" x14ac:dyDescent="0.25">
      <c r="T188" s="9">
        <f>IF(C188&lt;&gt;0,C188-Gear!$C$12,0)</f>
        <v>0</v>
      </c>
      <c r="U188" s="9">
        <f>IF(C188&lt;&gt;0,C188-Gear!$C$12,0)</f>
        <v>0</v>
      </c>
    </row>
    <row r="189" spans="20:21" x14ac:dyDescent="0.25">
      <c r="T189" s="9">
        <f>IF(C189&lt;&gt;0,C189-Gear!$C$12,0)</f>
        <v>0</v>
      </c>
      <c r="U189" s="9">
        <f>IF(C189&lt;&gt;0,C189-Gear!$C$12,0)</f>
        <v>0</v>
      </c>
    </row>
    <row r="190" spans="20:21" x14ac:dyDescent="0.25">
      <c r="T190" s="9">
        <f>IF(C190&lt;&gt;0,C190-Gear!$C$12,0)</f>
        <v>0</v>
      </c>
      <c r="U190" s="9">
        <f>IF(C190&lt;&gt;0,C190-Gear!$C$12,0)</f>
        <v>0</v>
      </c>
    </row>
    <row r="191" spans="20:21" x14ac:dyDescent="0.25">
      <c r="T191" s="9">
        <f>IF(C191&lt;&gt;0,C191-Gear!$C$12,0)</f>
        <v>0</v>
      </c>
      <c r="U191" s="9">
        <f>IF(C191&lt;&gt;0,C191-Gear!$C$12,0)</f>
        <v>0</v>
      </c>
    </row>
    <row r="192" spans="20:21" x14ac:dyDescent="0.25">
      <c r="T192" s="9">
        <f>IF(C192&lt;&gt;0,C192-Gear!$C$12,0)</f>
        <v>0</v>
      </c>
      <c r="U192" s="9">
        <f>IF(C192&lt;&gt;0,C192-Gear!$C$12,0)</f>
        <v>0</v>
      </c>
    </row>
    <row r="193" spans="20:21" x14ac:dyDescent="0.25">
      <c r="T193" s="9">
        <f>IF(C193&lt;&gt;0,C193-Gear!$C$12,0)</f>
        <v>0</v>
      </c>
      <c r="U193" s="9">
        <f>IF(C193&lt;&gt;0,C193-Gear!$C$12,0)</f>
        <v>0</v>
      </c>
    </row>
    <row r="194" spans="20:21" x14ac:dyDescent="0.25">
      <c r="T194" s="9">
        <f>IF(C194&lt;&gt;0,C194-Gear!$C$12,0)</f>
        <v>0</v>
      </c>
      <c r="U194" s="9">
        <f>IF(C194&lt;&gt;0,C194-Gear!$C$12,0)</f>
        <v>0</v>
      </c>
    </row>
    <row r="195" spans="20:21" x14ac:dyDescent="0.25">
      <c r="T195" s="9">
        <f>IF(C195&lt;&gt;0,C195-Gear!$C$12,0)</f>
        <v>0</v>
      </c>
      <c r="U195" s="9">
        <f>IF(C195&lt;&gt;0,C195-Gear!$C$12,0)</f>
        <v>0</v>
      </c>
    </row>
    <row r="196" spans="20:21" x14ac:dyDescent="0.25">
      <c r="T196" s="9">
        <f>IF(C196&lt;&gt;0,C196-Gear!$C$12,0)</f>
        <v>0</v>
      </c>
      <c r="U196" s="9">
        <f>IF(C196&lt;&gt;0,C196-Gear!$C$12,0)</f>
        <v>0</v>
      </c>
    </row>
    <row r="197" spans="20:21" x14ac:dyDescent="0.25">
      <c r="T197" s="9">
        <f>IF(C197&lt;&gt;0,C197-Gear!$C$12,0)</f>
        <v>0</v>
      </c>
      <c r="U197" s="9">
        <f>IF(C197&lt;&gt;0,C197-Gear!$C$12,0)</f>
        <v>0</v>
      </c>
    </row>
    <row r="198" spans="20:21" x14ac:dyDescent="0.25">
      <c r="T198" s="9">
        <f>IF(C198&lt;&gt;0,C198-Gear!$C$12,0)</f>
        <v>0</v>
      </c>
      <c r="U198" s="9">
        <f>IF(C198&lt;&gt;0,C198-Gear!$C$12,0)</f>
        <v>0</v>
      </c>
    </row>
    <row r="199" spans="20:21" x14ac:dyDescent="0.25">
      <c r="T199" s="9">
        <f>IF(C199&lt;&gt;0,C199-Gear!$C$12,0)</f>
        <v>0</v>
      </c>
      <c r="U199" s="9">
        <f>IF(C199&lt;&gt;0,C199-Gear!$C$12,0)</f>
        <v>0</v>
      </c>
    </row>
    <row r="200" spans="20:21" x14ac:dyDescent="0.25">
      <c r="T200" s="9">
        <f>IF(C200&lt;&gt;0,C200-Gear!$C$12,0)</f>
        <v>0</v>
      </c>
      <c r="U200" s="9">
        <f>IF(C200&lt;&gt;0,C200-Gear!$C$12,0)</f>
        <v>0</v>
      </c>
    </row>
    <row r="201" spans="20:21" x14ac:dyDescent="0.25">
      <c r="T201" s="9">
        <f>IF(C201&lt;&gt;0,C201-Gear!$C$12,0)</f>
        <v>0</v>
      </c>
      <c r="U201" s="9">
        <f>IF(C201&lt;&gt;0,C201-Gear!$C$12,0)</f>
        <v>0</v>
      </c>
    </row>
    <row r="202" spans="20:21" x14ac:dyDescent="0.25">
      <c r="T202" s="9">
        <f>IF(C202&lt;&gt;0,C202-Gear!$C$12,0)</f>
        <v>0</v>
      </c>
      <c r="U202" s="9">
        <f>IF(C202&lt;&gt;0,C202-Gear!$C$12,0)</f>
        <v>0</v>
      </c>
    </row>
    <row r="203" spans="20:21" x14ac:dyDescent="0.25">
      <c r="T203" s="9">
        <f>IF(C203&lt;&gt;0,C203-Gear!$C$12,0)</f>
        <v>0</v>
      </c>
      <c r="U203" s="9">
        <f>IF(C203&lt;&gt;0,C203-Gear!$C$12,0)</f>
        <v>0</v>
      </c>
    </row>
    <row r="204" spans="20:21" x14ac:dyDescent="0.25">
      <c r="T204" s="9">
        <f>IF(C204&lt;&gt;0,C204-Gear!$C$12,0)</f>
        <v>0</v>
      </c>
      <c r="U204" s="9">
        <f>IF(C204&lt;&gt;0,C204-Gear!$C$12,0)</f>
        <v>0</v>
      </c>
    </row>
    <row r="205" spans="20:21" x14ac:dyDescent="0.25">
      <c r="T205" s="9">
        <f>IF(C205&lt;&gt;0,C205-Gear!$C$12,0)</f>
        <v>0</v>
      </c>
      <c r="U205" s="9">
        <f>IF(C205&lt;&gt;0,C205-Gear!$C$12,0)</f>
        <v>0</v>
      </c>
    </row>
    <row r="206" spans="20:21" x14ac:dyDescent="0.25">
      <c r="T206" s="9">
        <f>IF(C206&lt;&gt;0,C206-Gear!$C$12,0)</f>
        <v>0</v>
      </c>
      <c r="U206" s="9">
        <f>IF(C206&lt;&gt;0,C206-Gear!$C$12,0)</f>
        <v>0</v>
      </c>
    </row>
    <row r="207" spans="20:21" x14ac:dyDescent="0.25">
      <c r="T207" s="9">
        <f>IF(C207&lt;&gt;0,C207-Gear!$C$12,0)</f>
        <v>0</v>
      </c>
      <c r="U207" s="9">
        <f>IF(C207&lt;&gt;0,C207-Gear!$C$12,0)</f>
        <v>0</v>
      </c>
    </row>
    <row r="208" spans="20:21" x14ac:dyDescent="0.25">
      <c r="T208" s="9">
        <f>IF(C208&lt;&gt;0,C208-Gear!$C$12,0)</f>
        <v>0</v>
      </c>
      <c r="U208" s="9">
        <f>IF(C208&lt;&gt;0,C208-Gear!$C$12,0)</f>
        <v>0</v>
      </c>
    </row>
    <row r="209" spans="20:21" x14ac:dyDescent="0.25">
      <c r="T209" s="9">
        <f>IF(C209&lt;&gt;0,C209-Gear!$C$12,0)</f>
        <v>0</v>
      </c>
      <c r="U209" s="9">
        <f>IF(C209&lt;&gt;0,C209-Gear!$C$12,0)</f>
        <v>0</v>
      </c>
    </row>
    <row r="210" spans="20:21" x14ac:dyDescent="0.25">
      <c r="T210" s="9">
        <f>IF(C210&lt;&gt;0,C210-Gear!$C$12,0)</f>
        <v>0</v>
      </c>
      <c r="U210" s="9">
        <f>IF(C210&lt;&gt;0,C210-Gear!$C$12,0)</f>
        <v>0</v>
      </c>
    </row>
    <row r="211" spans="20:21" x14ac:dyDescent="0.25">
      <c r="T211" s="9">
        <f>IF(C211&lt;&gt;0,C211-Gear!$C$12,0)</f>
        <v>0</v>
      </c>
      <c r="U211" s="9">
        <f>IF(C211&lt;&gt;0,C211-Gear!$C$12,0)</f>
        <v>0</v>
      </c>
    </row>
    <row r="212" spans="20:21" x14ac:dyDescent="0.25">
      <c r="T212" s="9">
        <f>IF(C212&lt;&gt;0,C212-Gear!$C$12,0)</f>
        <v>0</v>
      </c>
      <c r="U212" s="9">
        <f>IF(C212&lt;&gt;0,C212-Gear!$C$12,0)</f>
        <v>0</v>
      </c>
    </row>
    <row r="213" spans="20:21" x14ac:dyDescent="0.25">
      <c r="T213" s="9">
        <f>IF(C213&lt;&gt;0,C213-Gear!$C$12,0)</f>
        <v>0</v>
      </c>
      <c r="U213" s="9">
        <f>IF(C213&lt;&gt;0,C213-Gear!$C$12,0)</f>
        <v>0</v>
      </c>
    </row>
    <row r="214" spans="20:21" x14ac:dyDescent="0.25">
      <c r="T214" s="9">
        <f>IF(C214&lt;&gt;0,C214-Gear!$C$12,0)</f>
        <v>0</v>
      </c>
      <c r="U214" s="9">
        <f>IF(C214&lt;&gt;0,C214-Gear!$C$12,0)</f>
        <v>0</v>
      </c>
    </row>
    <row r="215" spans="20:21" x14ac:dyDescent="0.25">
      <c r="T215" s="9">
        <f>IF(C215&lt;&gt;0,C215-Gear!$C$12,0)</f>
        <v>0</v>
      </c>
      <c r="U215" s="9">
        <f>IF(C215&lt;&gt;0,C215-Gear!$C$12,0)</f>
        <v>0</v>
      </c>
    </row>
    <row r="216" spans="20:21" x14ac:dyDescent="0.25">
      <c r="T216" s="9">
        <f>IF(C216&lt;&gt;0,C216-Gear!$C$12,0)</f>
        <v>0</v>
      </c>
      <c r="U216" s="9">
        <f>IF(C216&lt;&gt;0,C216-Gear!$C$12,0)</f>
        <v>0</v>
      </c>
    </row>
    <row r="217" spans="20:21" x14ac:dyDescent="0.25">
      <c r="T217" s="9">
        <f>IF(C217&lt;&gt;0,C217-Gear!$C$12,0)</f>
        <v>0</v>
      </c>
      <c r="U217" s="9">
        <f>IF(C217&lt;&gt;0,C217-Gear!$C$12,0)</f>
        <v>0</v>
      </c>
    </row>
    <row r="218" spans="20:21" x14ac:dyDescent="0.25">
      <c r="T218" s="9">
        <f>IF(C218&lt;&gt;0,C218-Gear!$C$12,0)</f>
        <v>0</v>
      </c>
      <c r="U218" s="9">
        <f>IF(C218&lt;&gt;0,C218-Gear!$C$12,0)</f>
        <v>0</v>
      </c>
    </row>
    <row r="219" spans="20:21" x14ac:dyDescent="0.25">
      <c r="T219" s="9">
        <f>IF(C219&lt;&gt;0,C219-Gear!$C$12,0)</f>
        <v>0</v>
      </c>
      <c r="U219" s="9">
        <f>IF(C219&lt;&gt;0,C219-Gear!$C$12,0)</f>
        <v>0</v>
      </c>
    </row>
    <row r="220" spans="20:21" x14ac:dyDescent="0.25">
      <c r="T220" s="9">
        <f>IF(C220&lt;&gt;0,C220-Gear!$C$12,0)</f>
        <v>0</v>
      </c>
      <c r="U220" s="9">
        <f>IF(C220&lt;&gt;0,C220-Gear!$C$12,0)</f>
        <v>0</v>
      </c>
    </row>
    <row r="221" spans="20:21" x14ac:dyDescent="0.25">
      <c r="T221" s="9">
        <f>IF(C221&lt;&gt;0,C221-Gear!$C$12,0)</f>
        <v>0</v>
      </c>
      <c r="U221" s="9">
        <f>IF(C221&lt;&gt;0,C221-Gear!$C$12,0)</f>
        <v>0</v>
      </c>
    </row>
    <row r="222" spans="20:21" x14ac:dyDescent="0.25">
      <c r="T222" s="9">
        <f>IF(C222&lt;&gt;0,C222-Gear!$C$12,0)</f>
        <v>0</v>
      </c>
      <c r="U222" s="9">
        <f>IF(C222&lt;&gt;0,C222-Gear!$C$12,0)</f>
        <v>0</v>
      </c>
    </row>
    <row r="223" spans="20:21" x14ac:dyDescent="0.25">
      <c r="T223" s="9">
        <f>IF(C223&lt;&gt;0,C223-Gear!$C$12,0)</f>
        <v>0</v>
      </c>
      <c r="U223" s="9">
        <f>IF(C223&lt;&gt;0,C223-Gear!$C$12,0)</f>
        <v>0</v>
      </c>
    </row>
    <row r="224" spans="20:21" x14ac:dyDescent="0.25">
      <c r="T224" s="9">
        <f>IF(C224&lt;&gt;0,C224-Gear!$C$12,0)</f>
        <v>0</v>
      </c>
      <c r="U224" s="9">
        <f>IF(C224&lt;&gt;0,C224-Gear!$C$12,0)</f>
        <v>0</v>
      </c>
    </row>
    <row r="225" spans="20:21" x14ac:dyDescent="0.25">
      <c r="T225" s="9">
        <f>IF(C225&lt;&gt;0,C225-Gear!$C$12,0)</f>
        <v>0</v>
      </c>
      <c r="U225" s="9">
        <f>IF(C225&lt;&gt;0,C225-Gear!$C$12,0)</f>
        <v>0</v>
      </c>
    </row>
    <row r="226" spans="20:21" x14ac:dyDescent="0.25">
      <c r="T226" s="9">
        <f>IF(C226&lt;&gt;0,C226-Gear!$C$12,0)</f>
        <v>0</v>
      </c>
      <c r="U226" s="9">
        <f>IF(C226&lt;&gt;0,C226-Gear!$C$12,0)</f>
        <v>0</v>
      </c>
    </row>
    <row r="227" spans="20:21" x14ac:dyDescent="0.25">
      <c r="T227" s="9">
        <f>IF(C227&lt;&gt;0,C227-Gear!$C$12,0)</f>
        <v>0</v>
      </c>
      <c r="U227" s="9">
        <f>IF(C227&lt;&gt;0,C227-Gear!$C$12,0)</f>
        <v>0</v>
      </c>
    </row>
    <row r="228" spans="20:21" x14ac:dyDescent="0.25">
      <c r="T228" s="9">
        <f>IF(C228&lt;&gt;0,C228-Gear!$C$12,0)</f>
        <v>0</v>
      </c>
      <c r="U228" s="9">
        <f>IF(C228&lt;&gt;0,C228-Gear!$C$12,0)</f>
        <v>0</v>
      </c>
    </row>
    <row r="229" spans="20:21" x14ac:dyDescent="0.25">
      <c r="T229" s="9">
        <f>IF(C229&lt;&gt;0,C229-Gear!$C$12,0)</f>
        <v>0</v>
      </c>
      <c r="U229" s="9">
        <f>IF(C229&lt;&gt;0,C229-Gear!$C$12,0)</f>
        <v>0</v>
      </c>
    </row>
    <row r="230" spans="20:21" x14ac:dyDescent="0.25">
      <c r="T230" s="9">
        <f>IF(C230&lt;&gt;0,C230-Gear!$C$12,0)</f>
        <v>0</v>
      </c>
      <c r="U230" s="9">
        <f>IF(C230&lt;&gt;0,C230-Gear!$C$12,0)</f>
        <v>0</v>
      </c>
    </row>
    <row r="231" spans="20:21" x14ac:dyDescent="0.25">
      <c r="T231" s="9">
        <f>IF(C231&lt;&gt;0,C231-Gear!$C$12,0)</f>
        <v>0</v>
      </c>
      <c r="U231" s="9">
        <f>IF(C231&lt;&gt;0,C231-Gear!$C$12,0)</f>
        <v>0</v>
      </c>
    </row>
    <row r="232" spans="20:21" x14ac:dyDescent="0.25">
      <c r="T232" s="9">
        <f>IF(C232&lt;&gt;0,C232-Gear!$C$12,0)</f>
        <v>0</v>
      </c>
      <c r="U232" s="9">
        <f>IF(C232&lt;&gt;0,C232-Gear!$C$12,0)</f>
        <v>0</v>
      </c>
    </row>
    <row r="233" spans="20:21" x14ac:dyDescent="0.25">
      <c r="T233" s="9">
        <f>IF(C233&lt;&gt;0,C233-Gear!$C$12,0)</f>
        <v>0</v>
      </c>
      <c r="U233" s="9">
        <f>IF(C233&lt;&gt;0,C233-Gear!$C$12,0)</f>
        <v>0</v>
      </c>
    </row>
    <row r="234" spans="20:21" x14ac:dyDescent="0.25">
      <c r="T234" s="9">
        <f>IF(C234&lt;&gt;0,C234-Gear!$C$12,0)</f>
        <v>0</v>
      </c>
      <c r="U234" s="9">
        <f>IF(C234&lt;&gt;0,C234-Gear!$C$12,0)</f>
        <v>0</v>
      </c>
    </row>
    <row r="235" spans="20:21" x14ac:dyDescent="0.25">
      <c r="T235" s="9">
        <f>IF(C235&lt;&gt;0,C235-Gear!$C$12,0)</f>
        <v>0</v>
      </c>
      <c r="U235" s="9">
        <f>IF(C235&lt;&gt;0,C235-Gear!$C$12,0)</f>
        <v>0</v>
      </c>
    </row>
    <row r="236" spans="20:21" x14ac:dyDescent="0.25">
      <c r="T236" s="9">
        <f>IF(C236&lt;&gt;0,C236-Gear!$C$12,0)</f>
        <v>0</v>
      </c>
      <c r="U236" s="9">
        <f>IF(C236&lt;&gt;0,C236-Gear!$C$12,0)</f>
        <v>0</v>
      </c>
    </row>
    <row r="237" spans="20:21" x14ac:dyDescent="0.25">
      <c r="T237" s="9">
        <f>IF(C237&lt;&gt;0,C237-Gear!$C$12,0)</f>
        <v>0</v>
      </c>
      <c r="U237" s="9">
        <f>IF(C237&lt;&gt;0,C237-Gear!$C$12,0)</f>
        <v>0</v>
      </c>
    </row>
    <row r="238" spans="20:21" x14ac:dyDescent="0.25">
      <c r="T238" s="9">
        <f>IF(C238&lt;&gt;0,C238-Gear!$C$12,0)</f>
        <v>0</v>
      </c>
      <c r="U238" s="9">
        <f>IF(C238&lt;&gt;0,C238-Gear!$C$12,0)</f>
        <v>0</v>
      </c>
    </row>
    <row r="239" spans="20:21" x14ac:dyDescent="0.25">
      <c r="T239" s="9">
        <f>IF(C239&lt;&gt;0,C239-Gear!$C$12,0)</f>
        <v>0</v>
      </c>
      <c r="U239" s="9">
        <f>IF(C239&lt;&gt;0,C239-Gear!$C$12,0)</f>
        <v>0</v>
      </c>
    </row>
    <row r="240" spans="20:21" x14ac:dyDescent="0.25">
      <c r="T240" s="9">
        <f>IF(C240&lt;&gt;0,C240-Gear!$C$12,0)</f>
        <v>0</v>
      </c>
      <c r="U240" s="9">
        <f>IF(C240&lt;&gt;0,C240-Gear!$C$12,0)</f>
        <v>0</v>
      </c>
    </row>
    <row r="241" spans="20:21" x14ac:dyDescent="0.25">
      <c r="T241" s="9">
        <f>IF(C241&lt;&gt;0,C241-Gear!$C$12,0)</f>
        <v>0</v>
      </c>
      <c r="U241" s="9">
        <f>IF(C241&lt;&gt;0,C241-Gear!$C$12,0)</f>
        <v>0</v>
      </c>
    </row>
    <row r="242" spans="20:21" x14ac:dyDescent="0.25">
      <c r="T242" s="9">
        <f>IF(C242&lt;&gt;0,C242-Gear!$C$12,0)</f>
        <v>0</v>
      </c>
      <c r="U242" s="9">
        <f>IF(C242&lt;&gt;0,C242-Gear!$C$12,0)</f>
        <v>0</v>
      </c>
    </row>
    <row r="243" spans="20:21" x14ac:dyDescent="0.25">
      <c r="T243" s="9">
        <f>IF(C243&lt;&gt;0,C243-Gear!$C$12,0)</f>
        <v>0</v>
      </c>
      <c r="U243" s="9">
        <f>IF(C243&lt;&gt;0,C243-Gear!$C$12,0)</f>
        <v>0</v>
      </c>
    </row>
    <row r="244" spans="20:21" x14ac:dyDescent="0.25">
      <c r="T244" s="9">
        <f>IF(C244&lt;&gt;0,C244-Gear!$C$12,0)</f>
        <v>0</v>
      </c>
      <c r="U244" s="9">
        <f>IF(C244&lt;&gt;0,C244-Gear!$C$12,0)</f>
        <v>0</v>
      </c>
    </row>
    <row r="245" spans="20:21" x14ac:dyDescent="0.25">
      <c r="T245" s="9">
        <f>IF(C245&lt;&gt;0,C245-Gear!$C$12,0)</f>
        <v>0</v>
      </c>
      <c r="U245" s="9">
        <f>IF(C245&lt;&gt;0,C245-Gear!$C$12,0)</f>
        <v>0</v>
      </c>
    </row>
    <row r="246" spans="20:21" x14ac:dyDescent="0.25">
      <c r="T246" s="9">
        <f>IF(C246&lt;&gt;0,C246-Gear!$C$12,0)</f>
        <v>0</v>
      </c>
      <c r="U246" s="9">
        <f>IF(C246&lt;&gt;0,C246-Gear!$C$12,0)</f>
        <v>0</v>
      </c>
    </row>
    <row r="247" spans="20:21" x14ac:dyDescent="0.25">
      <c r="T247" s="9">
        <f>IF(C247&lt;&gt;0,C247-Gear!$C$12,0)</f>
        <v>0</v>
      </c>
      <c r="U247" s="9">
        <f>IF(C247&lt;&gt;0,C247-Gear!$C$12,0)</f>
        <v>0</v>
      </c>
    </row>
    <row r="248" spans="20:21" x14ac:dyDescent="0.25">
      <c r="T248" s="9">
        <f>IF(C248&lt;&gt;0,C248-Gear!$C$12,0)</f>
        <v>0</v>
      </c>
      <c r="U248" s="9">
        <f>IF(C248&lt;&gt;0,C248-Gear!$C$12,0)</f>
        <v>0</v>
      </c>
    </row>
    <row r="249" spans="20:21" x14ac:dyDescent="0.25">
      <c r="T249" s="9">
        <f>IF(C249&lt;&gt;0,C249-Gear!$C$12,0)</f>
        <v>0</v>
      </c>
      <c r="U249" s="9">
        <f>IF(C249&lt;&gt;0,C249-Gear!$C$12,0)</f>
        <v>0</v>
      </c>
    </row>
    <row r="250" spans="20:21" x14ac:dyDescent="0.25">
      <c r="T250" s="9">
        <f>IF(C250&lt;&gt;0,C250-Gear!$C$12,0)</f>
        <v>0</v>
      </c>
      <c r="U250" s="9">
        <f>IF(C250&lt;&gt;0,C250-Gear!$C$12,0)</f>
        <v>0</v>
      </c>
    </row>
    <row r="251" spans="20:21" x14ac:dyDescent="0.25">
      <c r="T251" s="9">
        <f>IF(C251&lt;&gt;0,C251-Gear!$C$12,0)</f>
        <v>0</v>
      </c>
      <c r="U251" s="9">
        <f>IF(C251&lt;&gt;0,C251-Gear!$C$12,0)</f>
        <v>0</v>
      </c>
    </row>
    <row r="252" spans="20:21" x14ac:dyDescent="0.25">
      <c r="T252" s="9">
        <f>IF(C252&lt;&gt;0,C252-Gear!$C$12,0)</f>
        <v>0</v>
      </c>
      <c r="U252" s="9">
        <f>IF(C252&lt;&gt;0,C252-Gear!$C$12,0)</f>
        <v>0</v>
      </c>
    </row>
    <row r="253" spans="20:21" x14ac:dyDescent="0.25">
      <c r="T253" s="9">
        <f>IF(C253&lt;&gt;0,C253-Gear!$C$12,0)</f>
        <v>0</v>
      </c>
      <c r="U253" s="9">
        <f>IF(C253&lt;&gt;0,C253-Gear!$C$12,0)</f>
        <v>0</v>
      </c>
    </row>
    <row r="254" spans="20:21" x14ac:dyDescent="0.25">
      <c r="T254" s="9">
        <f>IF(C254&lt;&gt;0,C254-Gear!$C$12,0)</f>
        <v>0</v>
      </c>
      <c r="U254" s="9">
        <f>IF(C254&lt;&gt;0,C254-Gear!$C$12,0)</f>
        <v>0</v>
      </c>
    </row>
    <row r="255" spans="20:21" x14ac:dyDescent="0.25">
      <c r="T255" s="9">
        <f>IF(C255&lt;&gt;0,C255-Gear!$C$12,0)</f>
        <v>0</v>
      </c>
      <c r="U255" s="9">
        <f>IF(C255&lt;&gt;0,C255-Gear!$C$12,0)</f>
        <v>0</v>
      </c>
    </row>
    <row r="256" spans="20:21" x14ac:dyDescent="0.25">
      <c r="T256" s="9">
        <f>IF(C256&lt;&gt;0,C256-Gear!$C$12,0)</f>
        <v>0</v>
      </c>
      <c r="U256" s="9">
        <f>IF(C256&lt;&gt;0,C256-Gear!$C$12,0)</f>
        <v>0</v>
      </c>
    </row>
    <row r="257" spans="20:21" x14ac:dyDescent="0.25">
      <c r="T257" s="9">
        <f>IF(C257&lt;&gt;0,C257-Gear!$C$12,0)</f>
        <v>0</v>
      </c>
      <c r="U257" s="9">
        <f>IF(C257&lt;&gt;0,C257-Gear!$C$12,0)</f>
        <v>0</v>
      </c>
    </row>
    <row r="258" spans="20:21" x14ac:dyDescent="0.25">
      <c r="T258" s="9">
        <f>IF(C258&lt;&gt;0,C258-Gear!$C$12,0)</f>
        <v>0</v>
      </c>
      <c r="U258" s="9">
        <f>IF(C258&lt;&gt;0,C258-Gear!$C$12,0)</f>
        <v>0</v>
      </c>
    </row>
    <row r="259" spans="20:21" x14ac:dyDescent="0.25">
      <c r="T259" s="9">
        <f>IF(C259&lt;&gt;0,C259-Gear!$C$12,0)</f>
        <v>0</v>
      </c>
      <c r="U259" s="9">
        <f>IF(C259&lt;&gt;0,C259-Gear!$C$12,0)</f>
        <v>0</v>
      </c>
    </row>
    <row r="260" spans="20:21" x14ac:dyDescent="0.25">
      <c r="T260" s="9">
        <f>IF(C260&lt;&gt;0,C260-Gear!$C$12,0)</f>
        <v>0</v>
      </c>
      <c r="U260" s="9">
        <f>IF(C260&lt;&gt;0,C260-Gear!$C$12,0)</f>
        <v>0</v>
      </c>
    </row>
    <row r="261" spans="20:21" x14ac:dyDescent="0.25">
      <c r="T261" s="9">
        <f>IF(C261&lt;&gt;0,C261-Gear!$C$12,0)</f>
        <v>0</v>
      </c>
      <c r="U261" s="9">
        <f>IF(C261&lt;&gt;0,C261-Gear!$C$12,0)</f>
        <v>0</v>
      </c>
    </row>
    <row r="262" spans="20:21" x14ac:dyDescent="0.25">
      <c r="T262" s="9">
        <f>IF(C262&lt;&gt;0,C262-Gear!$C$12,0)</f>
        <v>0</v>
      </c>
      <c r="U262" s="9">
        <f>IF(C262&lt;&gt;0,C262-Gear!$C$12,0)</f>
        <v>0</v>
      </c>
    </row>
    <row r="263" spans="20:21" x14ac:dyDescent="0.25">
      <c r="T263" s="9">
        <f>IF(C263&lt;&gt;0,C263-Gear!$C$12,0)</f>
        <v>0</v>
      </c>
      <c r="U263" s="9">
        <f>IF(C263&lt;&gt;0,C263-Gear!$C$12,0)</f>
        <v>0</v>
      </c>
    </row>
    <row r="264" spans="20:21" x14ac:dyDescent="0.25">
      <c r="T264" s="9">
        <f>IF(C264&lt;&gt;0,C264-Gear!$C$12,0)</f>
        <v>0</v>
      </c>
      <c r="U264" s="9">
        <f>IF(C264&lt;&gt;0,C264-Gear!$C$12,0)</f>
        <v>0</v>
      </c>
    </row>
    <row r="265" spans="20:21" x14ac:dyDescent="0.25">
      <c r="T265" s="9">
        <f>IF(C265&lt;&gt;0,C265-Gear!$C$12,0)</f>
        <v>0</v>
      </c>
      <c r="U265" s="9">
        <f>IF(C265&lt;&gt;0,C265-Gear!$C$12,0)</f>
        <v>0</v>
      </c>
    </row>
    <row r="266" spans="20:21" x14ac:dyDescent="0.25">
      <c r="T266" s="9">
        <f>IF(C266&lt;&gt;0,C266-Gear!$C$12,0)</f>
        <v>0</v>
      </c>
      <c r="U266" s="9">
        <f>IF(C266&lt;&gt;0,C266-Gear!$C$12,0)</f>
        <v>0</v>
      </c>
    </row>
    <row r="267" spans="20:21" x14ac:dyDescent="0.25">
      <c r="T267" s="9">
        <f>IF(C267&lt;&gt;0,C267-Gear!$C$12,0)</f>
        <v>0</v>
      </c>
      <c r="U267" s="9">
        <f>IF(C267&lt;&gt;0,C267-Gear!$C$12,0)</f>
        <v>0</v>
      </c>
    </row>
    <row r="268" spans="20:21" x14ac:dyDescent="0.25">
      <c r="T268" s="9">
        <f>IF(C268&lt;&gt;0,C268-Gear!$C$12,0)</f>
        <v>0</v>
      </c>
      <c r="U268" s="9">
        <f>IF(C268&lt;&gt;0,C268-Gear!$C$12,0)</f>
        <v>0</v>
      </c>
    </row>
    <row r="269" spans="20:21" x14ac:dyDescent="0.25">
      <c r="T269" s="9">
        <f>IF(C269&lt;&gt;0,C269-Gear!$C$12,0)</f>
        <v>0</v>
      </c>
      <c r="U269" s="9">
        <f>IF(C269&lt;&gt;0,C269-Gear!$C$12,0)</f>
        <v>0</v>
      </c>
    </row>
    <row r="270" spans="20:21" x14ac:dyDescent="0.25">
      <c r="T270" s="9">
        <f>IF(C270&lt;&gt;0,C270-Gear!$C$12,0)</f>
        <v>0</v>
      </c>
      <c r="U270" s="9">
        <f>IF(C270&lt;&gt;0,C270-Gear!$C$12,0)</f>
        <v>0</v>
      </c>
    </row>
    <row r="271" spans="20:21" x14ac:dyDescent="0.25">
      <c r="T271" s="9">
        <f>IF(C271&lt;&gt;0,C271-Gear!$C$12,0)</f>
        <v>0</v>
      </c>
      <c r="U271" s="9">
        <f>IF(C271&lt;&gt;0,C271-Gear!$C$12,0)</f>
        <v>0</v>
      </c>
    </row>
    <row r="272" spans="20:21" x14ac:dyDescent="0.25">
      <c r="T272" s="9">
        <f>IF(C272&lt;&gt;0,C272-Gear!$C$12,0)</f>
        <v>0</v>
      </c>
      <c r="U272" s="9">
        <f>IF(C272&lt;&gt;0,C272-Gear!$C$12,0)</f>
        <v>0</v>
      </c>
    </row>
    <row r="273" spans="20:21" x14ac:dyDescent="0.25">
      <c r="T273" s="9">
        <f>IF(C273&lt;&gt;0,C273-Gear!$C$12,0)</f>
        <v>0</v>
      </c>
      <c r="U273" s="9">
        <f>IF(C273&lt;&gt;0,C273-Gear!$C$12,0)</f>
        <v>0</v>
      </c>
    </row>
    <row r="274" spans="20:21" x14ac:dyDescent="0.25">
      <c r="T274" s="9">
        <f>IF(C274&lt;&gt;0,C274-Gear!$C$12,0)</f>
        <v>0</v>
      </c>
      <c r="U274" s="9">
        <f>IF(C274&lt;&gt;0,C274-Gear!$C$12,0)</f>
        <v>0</v>
      </c>
    </row>
    <row r="275" spans="20:21" x14ac:dyDescent="0.25">
      <c r="T275" s="9">
        <f>IF(C275&lt;&gt;0,C275-Gear!$C$12,0)</f>
        <v>0</v>
      </c>
      <c r="U275" s="9">
        <f>IF(C275&lt;&gt;0,C275-Gear!$C$12,0)</f>
        <v>0</v>
      </c>
    </row>
    <row r="276" spans="20:21" x14ac:dyDescent="0.25">
      <c r="T276" s="9">
        <f>IF(C276&lt;&gt;0,C276-Gear!$C$12,0)</f>
        <v>0</v>
      </c>
      <c r="U276" s="9">
        <f>IF(C276&lt;&gt;0,C276-Gear!$C$12,0)</f>
        <v>0</v>
      </c>
    </row>
    <row r="277" spans="20:21" x14ac:dyDescent="0.25">
      <c r="T277" s="9">
        <f>IF(C277&lt;&gt;0,C277-Gear!$C$12,0)</f>
        <v>0</v>
      </c>
      <c r="U277" s="9">
        <f>IF(C277&lt;&gt;0,C277-Gear!$C$12,0)</f>
        <v>0</v>
      </c>
    </row>
    <row r="278" spans="20:21" x14ac:dyDescent="0.25">
      <c r="T278" s="9">
        <f>IF(C278&lt;&gt;0,C278-Gear!$C$12,0)</f>
        <v>0</v>
      </c>
      <c r="U278" s="9">
        <f>IF(C278&lt;&gt;0,C278-Gear!$C$12,0)</f>
        <v>0</v>
      </c>
    </row>
    <row r="279" spans="20:21" x14ac:dyDescent="0.25">
      <c r="T279" s="9">
        <f>IF(C279&lt;&gt;0,C279-Gear!$C$12,0)</f>
        <v>0</v>
      </c>
      <c r="U279" s="9">
        <f>IF(C279&lt;&gt;0,C279-Gear!$C$12,0)</f>
        <v>0</v>
      </c>
    </row>
    <row r="280" spans="20:21" x14ac:dyDescent="0.25">
      <c r="T280" s="9">
        <f>IF(C280&lt;&gt;0,C280-Gear!$C$12,0)</f>
        <v>0</v>
      </c>
      <c r="U280" s="9">
        <f>IF(C280&lt;&gt;0,C280-Gear!$C$12,0)</f>
        <v>0</v>
      </c>
    </row>
    <row r="281" spans="20:21" x14ac:dyDescent="0.25">
      <c r="T281" s="9">
        <f>IF(C281&lt;&gt;0,C281-Gear!$C$12,0)</f>
        <v>0</v>
      </c>
      <c r="U281" s="9">
        <f>IF(C281&lt;&gt;0,C281-Gear!$C$12,0)</f>
        <v>0</v>
      </c>
    </row>
    <row r="282" spans="20:21" x14ac:dyDescent="0.25">
      <c r="T282" s="9">
        <f>IF(C282&lt;&gt;0,C282-Gear!$C$12,0)</f>
        <v>0</v>
      </c>
      <c r="U282" s="9">
        <f>IF(C282&lt;&gt;0,C282-Gear!$C$12,0)</f>
        <v>0</v>
      </c>
    </row>
    <row r="283" spans="20:21" x14ac:dyDescent="0.25">
      <c r="T283" s="9">
        <f>IF(C283&lt;&gt;0,C283-Gear!$C$12,0)</f>
        <v>0</v>
      </c>
      <c r="U283" s="9">
        <f>IF(C283&lt;&gt;0,C283-Gear!$C$12,0)</f>
        <v>0</v>
      </c>
    </row>
    <row r="284" spans="20:21" x14ac:dyDescent="0.25">
      <c r="T284" s="9">
        <f>IF(C284&lt;&gt;0,C284-Gear!$C$12,0)</f>
        <v>0</v>
      </c>
      <c r="U284" s="9">
        <f>IF(C284&lt;&gt;0,C284-Gear!$C$12,0)</f>
        <v>0</v>
      </c>
    </row>
    <row r="285" spans="20:21" x14ac:dyDescent="0.25">
      <c r="T285" s="9">
        <f>IF(C285&lt;&gt;0,C285-Gear!$C$12,0)</f>
        <v>0</v>
      </c>
      <c r="U285" s="9">
        <f>IF(C285&lt;&gt;0,C285-Gear!$C$12,0)</f>
        <v>0</v>
      </c>
    </row>
    <row r="286" spans="20:21" x14ac:dyDescent="0.25">
      <c r="T286" s="9">
        <f>IF(C286&lt;&gt;0,C286-Gear!$C$12,0)</f>
        <v>0</v>
      </c>
      <c r="U286" s="9">
        <f>IF(C286&lt;&gt;0,C286-Gear!$C$12,0)</f>
        <v>0</v>
      </c>
    </row>
    <row r="287" spans="20:21" x14ac:dyDescent="0.25">
      <c r="T287" s="9">
        <f>IF(C287&lt;&gt;0,C287-Gear!$C$12,0)</f>
        <v>0</v>
      </c>
      <c r="U287" s="9">
        <f>IF(C287&lt;&gt;0,C287-Gear!$C$12,0)</f>
        <v>0</v>
      </c>
    </row>
    <row r="288" spans="20:21" x14ac:dyDescent="0.25">
      <c r="T288" s="9">
        <f>IF(C288&lt;&gt;0,C288-Gear!$C$12,0)</f>
        <v>0</v>
      </c>
      <c r="U288" s="9">
        <f>IF(C288&lt;&gt;0,C288-Gear!$C$12,0)</f>
        <v>0</v>
      </c>
    </row>
    <row r="289" spans="20:21" x14ac:dyDescent="0.25">
      <c r="T289" s="9">
        <f>IF(C289&lt;&gt;0,C289-Gear!$C$12,0)</f>
        <v>0</v>
      </c>
      <c r="U289" s="9">
        <f>IF(C289&lt;&gt;0,C289-Gear!$C$12,0)</f>
        <v>0</v>
      </c>
    </row>
    <row r="290" spans="20:21" x14ac:dyDescent="0.25">
      <c r="T290" s="9">
        <f>IF(C290&lt;&gt;0,C290-Gear!$C$12,0)</f>
        <v>0</v>
      </c>
      <c r="U290" s="9">
        <f>IF(C290&lt;&gt;0,C290-Gear!$C$12,0)</f>
        <v>0</v>
      </c>
    </row>
    <row r="291" spans="20:21" x14ac:dyDescent="0.25">
      <c r="T291" s="9">
        <f>IF(C291&lt;&gt;0,C291-Gear!$C$12,0)</f>
        <v>0</v>
      </c>
      <c r="U291" s="9">
        <f>IF(C291&lt;&gt;0,C291-Gear!$C$12,0)</f>
        <v>0</v>
      </c>
    </row>
    <row r="292" spans="20:21" x14ac:dyDescent="0.25">
      <c r="T292" s="9">
        <f>IF(C292&lt;&gt;0,C292-Gear!$C$12,0)</f>
        <v>0</v>
      </c>
      <c r="U292" s="9">
        <f>IF(C292&lt;&gt;0,C292-Gear!$C$12,0)</f>
        <v>0</v>
      </c>
    </row>
    <row r="293" spans="20:21" x14ac:dyDescent="0.25">
      <c r="T293" s="9">
        <f>IF(C293&lt;&gt;0,C293-Gear!$C$12,0)</f>
        <v>0</v>
      </c>
      <c r="U293" s="9">
        <f>IF(C293&lt;&gt;0,C293-Gear!$C$12,0)</f>
        <v>0</v>
      </c>
    </row>
    <row r="294" spans="20:21" x14ac:dyDescent="0.25">
      <c r="T294" s="9">
        <f>IF(C294&lt;&gt;0,C294-Gear!$C$12,0)</f>
        <v>0</v>
      </c>
      <c r="U294" s="9">
        <f>IF(C294&lt;&gt;0,C294-Gear!$C$12,0)</f>
        <v>0</v>
      </c>
    </row>
    <row r="295" spans="20:21" x14ac:dyDescent="0.25">
      <c r="T295" s="9">
        <f>IF(C295&lt;&gt;0,C295-Gear!$C$12,0)</f>
        <v>0</v>
      </c>
      <c r="U295" s="9">
        <f>IF(C295&lt;&gt;0,C295-Gear!$C$12,0)</f>
        <v>0</v>
      </c>
    </row>
    <row r="296" spans="20:21" x14ac:dyDescent="0.25">
      <c r="T296" s="9">
        <f>IF(C296&lt;&gt;0,C296-Gear!$C$12,0)</f>
        <v>0</v>
      </c>
      <c r="U296" s="9">
        <f>IF(C296&lt;&gt;0,C296-Gear!$C$12,0)</f>
        <v>0</v>
      </c>
    </row>
    <row r="297" spans="20:21" x14ac:dyDescent="0.25">
      <c r="T297" s="9">
        <f>IF(C297&lt;&gt;0,C297-Gear!$C$12,0)</f>
        <v>0</v>
      </c>
      <c r="U297" s="9">
        <f>IF(C297&lt;&gt;0,C297-Gear!$C$12,0)</f>
        <v>0</v>
      </c>
    </row>
    <row r="298" spans="20:21" x14ac:dyDescent="0.25">
      <c r="T298" s="9">
        <f>IF(C298&lt;&gt;0,C298-Gear!$C$12,0)</f>
        <v>0</v>
      </c>
      <c r="U298" s="9">
        <f>IF(C298&lt;&gt;0,C298-Gear!$C$12,0)</f>
        <v>0</v>
      </c>
    </row>
    <row r="299" spans="20:21" x14ac:dyDescent="0.25">
      <c r="T299" s="9">
        <f>IF(C299&lt;&gt;0,C299-Gear!$C$12,0)</f>
        <v>0</v>
      </c>
      <c r="U299" s="9">
        <f>IF(C299&lt;&gt;0,C299-Gear!$C$12,0)</f>
        <v>0</v>
      </c>
    </row>
    <row r="300" spans="20:21" x14ac:dyDescent="0.25">
      <c r="T300" s="9">
        <f>IF(C300&lt;&gt;0,C300-Gear!$C$12,0)</f>
        <v>0</v>
      </c>
      <c r="U300" s="9">
        <f>IF(C300&lt;&gt;0,C300-Gear!$C$12,0)</f>
        <v>0</v>
      </c>
    </row>
    <row r="301" spans="20:21" x14ac:dyDescent="0.25">
      <c r="T301" s="9">
        <f>IF(C301&lt;&gt;0,C301-Gear!$C$12,0)</f>
        <v>0</v>
      </c>
      <c r="U301" s="9">
        <f>IF(C301&lt;&gt;0,C301-Gear!$C$12,0)</f>
        <v>0</v>
      </c>
    </row>
    <row r="302" spans="20:21" x14ac:dyDescent="0.25">
      <c r="T302" s="9">
        <f>IF(C302&lt;&gt;0,C302-Gear!$C$12,0)</f>
        <v>0</v>
      </c>
      <c r="U302" s="9">
        <f>IF(C302&lt;&gt;0,C302-Gear!$C$12,0)</f>
        <v>0</v>
      </c>
    </row>
    <row r="303" spans="20:21" x14ac:dyDescent="0.25">
      <c r="T303" s="9">
        <f>IF(C303&lt;&gt;0,C303-Gear!$C$12,0)</f>
        <v>0</v>
      </c>
      <c r="U303" s="9">
        <f>IF(C303&lt;&gt;0,C303-Gear!$C$12,0)</f>
        <v>0</v>
      </c>
    </row>
    <row r="304" spans="20:21" x14ac:dyDescent="0.25">
      <c r="T304" s="9">
        <f>IF(C304&lt;&gt;0,C304-Gear!$C$12,0)</f>
        <v>0</v>
      </c>
      <c r="U304" s="9">
        <f>IF(C304&lt;&gt;0,C304-Gear!$C$12,0)</f>
        <v>0</v>
      </c>
    </row>
    <row r="305" spans="20:21" x14ac:dyDescent="0.25">
      <c r="T305" s="9">
        <f>IF(C305&lt;&gt;0,C305-Gear!$C$12,0)</f>
        <v>0</v>
      </c>
      <c r="U305" s="9">
        <f>IF(C305&lt;&gt;0,C305-Gear!$C$12,0)</f>
        <v>0</v>
      </c>
    </row>
    <row r="306" spans="20:21" x14ac:dyDescent="0.25">
      <c r="T306" s="9">
        <f>IF(C306&lt;&gt;0,C306-Gear!$C$12,0)</f>
        <v>0</v>
      </c>
      <c r="U306" s="9">
        <f>IF(C306&lt;&gt;0,C306-Gear!$C$12,0)</f>
        <v>0</v>
      </c>
    </row>
    <row r="307" spans="20:21" x14ac:dyDescent="0.25">
      <c r="T307" s="9">
        <f>IF(C307&lt;&gt;0,C307-Gear!$C$12,0)</f>
        <v>0</v>
      </c>
      <c r="U307" s="9">
        <f>IF(C307&lt;&gt;0,C307-Gear!$C$12,0)</f>
        <v>0</v>
      </c>
    </row>
    <row r="308" spans="20:21" x14ac:dyDescent="0.25">
      <c r="T308" s="9">
        <f>IF(C308&lt;&gt;0,C308-Gear!$C$12,0)</f>
        <v>0</v>
      </c>
      <c r="U308" s="9">
        <f>IF(C308&lt;&gt;0,C308-Gear!$C$12,0)</f>
        <v>0</v>
      </c>
    </row>
    <row r="309" spans="20:21" x14ac:dyDescent="0.25">
      <c r="T309" s="9">
        <f>IF(C309&lt;&gt;0,C309-Gear!$C$12,0)</f>
        <v>0</v>
      </c>
      <c r="U309" s="9">
        <f>IF(C309&lt;&gt;0,C309-Gear!$C$12,0)</f>
        <v>0</v>
      </c>
    </row>
    <row r="310" spans="20:21" x14ac:dyDescent="0.25">
      <c r="T310" s="9">
        <f>IF(C310&lt;&gt;0,C310-Gear!$C$12,0)</f>
        <v>0</v>
      </c>
      <c r="U310" s="9">
        <f>IF(C310&lt;&gt;0,C310-Gear!$C$12,0)</f>
        <v>0</v>
      </c>
    </row>
    <row r="311" spans="20:21" x14ac:dyDescent="0.25">
      <c r="T311" s="9">
        <f>IF(C311&lt;&gt;0,C311-Gear!$C$12,0)</f>
        <v>0</v>
      </c>
      <c r="U311" s="9">
        <f>IF(C311&lt;&gt;0,C311-Gear!$C$12,0)</f>
        <v>0</v>
      </c>
    </row>
    <row r="312" spans="20:21" x14ac:dyDescent="0.25">
      <c r="T312" s="9">
        <f>IF(C312&lt;&gt;0,C312-Gear!$C$12,0)</f>
        <v>0</v>
      </c>
      <c r="U312" s="9">
        <f>IF(C312&lt;&gt;0,C312-Gear!$C$12,0)</f>
        <v>0</v>
      </c>
    </row>
    <row r="313" spans="20:21" x14ac:dyDescent="0.25">
      <c r="T313" s="9">
        <f>IF(C313&lt;&gt;0,C313-Gear!$C$12,0)</f>
        <v>0</v>
      </c>
      <c r="U313" s="9">
        <f>IF(C313&lt;&gt;0,C313-Gear!$C$12,0)</f>
        <v>0</v>
      </c>
    </row>
    <row r="314" spans="20:21" x14ac:dyDescent="0.25">
      <c r="T314" s="9">
        <f>IF(C314&lt;&gt;0,C314-Gear!$C$12,0)</f>
        <v>0</v>
      </c>
      <c r="U314" s="9">
        <f>IF(C314&lt;&gt;0,C314-Gear!$C$12,0)</f>
        <v>0</v>
      </c>
    </row>
    <row r="315" spans="20:21" x14ac:dyDescent="0.25">
      <c r="T315" s="9">
        <f>IF(C315&lt;&gt;0,C315-Gear!$C$12,0)</f>
        <v>0</v>
      </c>
      <c r="U315" s="9">
        <f>IF(C315&lt;&gt;0,C315-Gear!$C$12,0)</f>
        <v>0</v>
      </c>
    </row>
    <row r="316" spans="20:21" x14ac:dyDescent="0.25">
      <c r="T316" s="9">
        <f>IF(C316&lt;&gt;0,C316-Gear!$C$12,0)</f>
        <v>0</v>
      </c>
      <c r="U316" s="9">
        <f>IF(C316&lt;&gt;0,C316-Gear!$C$12,0)</f>
        <v>0</v>
      </c>
    </row>
    <row r="317" spans="20:21" x14ac:dyDescent="0.25">
      <c r="T317" s="9">
        <f>IF(C317&lt;&gt;0,C317-Gear!$C$12,0)</f>
        <v>0</v>
      </c>
      <c r="U317" s="9">
        <f>IF(C317&lt;&gt;0,C317-Gear!$C$12,0)</f>
        <v>0</v>
      </c>
    </row>
    <row r="318" spans="20:21" x14ac:dyDescent="0.25">
      <c r="T318" s="9">
        <f>IF(C318&lt;&gt;0,C318-Gear!$C$12,0)</f>
        <v>0</v>
      </c>
      <c r="U318" s="9">
        <f>IF(C318&lt;&gt;0,C318-Gear!$C$12,0)</f>
        <v>0</v>
      </c>
    </row>
    <row r="319" spans="20:21" x14ac:dyDescent="0.25">
      <c r="T319" s="9">
        <f>IF(C319&lt;&gt;0,C319-Gear!$C$12,0)</f>
        <v>0</v>
      </c>
      <c r="U319" s="9">
        <f>IF(C319&lt;&gt;0,C319-Gear!$C$12,0)</f>
        <v>0</v>
      </c>
    </row>
    <row r="320" spans="20:21" x14ac:dyDescent="0.25">
      <c r="T320" s="9">
        <f>IF(C320&lt;&gt;0,C320-Gear!$C$12,0)</f>
        <v>0</v>
      </c>
      <c r="U320" s="9">
        <f>IF(C320&lt;&gt;0,C320-Gear!$C$12,0)</f>
        <v>0</v>
      </c>
    </row>
    <row r="321" spans="20:21" x14ac:dyDescent="0.25">
      <c r="T321" s="9">
        <f>IF(C321&lt;&gt;0,C321-Gear!$C$12,0)</f>
        <v>0</v>
      </c>
      <c r="U321" s="9">
        <f>IF(C321&lt;&gt;0,C321-Gear!$C$12,0)</f>
        <v>0</v>
      </c>
    </row>
    <row r="322" spans="20:21" x14ac:dyDescent="0.25">
      <c r="T322" s="9">
        <f>IF(C322&lt;&gt;0,C322-Gear!$C$12,0)</f>
        <v>0</v>
      </c>
      <c r="U322" s="9">
        <f>IF(C322&lt;&gt;0,C322-Gear!$C$12,0)</f>
        <v>0</v>
      </c>
    </row>
    <row r="323" spans="20:21" x14ac:dyDescent="0.25">
      <c r="T323" s="9">
        <f>IF(C323&lt;&gt;0,C323-Gear!$C$12,0)</f>
        <v>0</v>
      </c>
      <c r="U323" s="9">
        <f>IF(C323&lt;&gt;0,C323-Gear!$C$12,0)</f>
        <v>0</v>
      </c>
    </row>
    <row r="324" spans="20:21" x14ac:dyDescent="0.25">
      <c r="T324" s="9">
        <f>IF(C324&lt;&gt;0,C324-Gear!$C$12,0)</f>
        <v>0</v>
      </c>
      <c r="U324" s="9">
        <f>IF(C324&lt;&gt;0,C324-Gear!$C$12,0)</f>
        <v>0</v>
      </c>
    </row>
    <row r="325" spans="20:21" x14ac:dyDescent="0.25">
      <c r="T325" s="9">
        <f>IF(C325&lt;&gt;0,C325-Gear!$C$12,0)</f>
        <v>0</v>
      </c>
      <c r="U325" s="9">
        <f>IF(C325&lt;&gt;0,C325-Gear!$C$12,0)</f>
        <v>0</v>
      </c>
    </row>
    <row r="326" spans="20:21" x14ac:dyDescent="0.25">
      <c r="T326" s="9">
        <f>IF(C326&lt;&gt;0,C326-Gear!$C$12,0)</f>
        <v>0</v>
      </c>
      <c r="U326" s="9">
        <f>IF(C326&lt;&gt;0,C326-Gear!$C$12,0)</f>
        <v>0</v>
      </c>
    </row>
    <row r="327" spans="20:21" x14ac:dyDescent="0.25">
      <c r="T327" s="9">
        <f>IF(C327&lt;&gt;0,C327-Gear!$C$12,0)</f>
        <v>0</v>
      </c>
      <c r="U327" s="9">
        <f>IF(C327&lt;&gt;0,C327-Gear!$C$12,0)</f>
        <v>0</v>
      </c>
    </row>
    <row r="328" spans="20:21" x14ac:dyDescent="0.25">
      <c r="T328" s="9">
        <f>IF(C328&lt;&gt;0,C328-Gear!$C$12,0)</f>
        <v>0</v>
      </c>
      <c r="U328" s="9">
        <f>IF(C328&lt;&gt;0,C328-Gear!$C$12,0)</f>
        <v>0</v>
      </c>
    </row>
    <row r="329" spans="20:21" x14ac:dyDescent="0.25">
      <c r="T329" s="9">
        <f>IF(C329&lt;&gt;0,C329-Gear!$C$12,0)</f>
        <v>0</v>
      </c>
      <c r="U329" s="9">
        <f>IF(C329&lt;&gt;0,C329-Gear!$C$12,0)</f>
        <v>0</v>
      </c>
    </row>
    <row r="330" spans="20:21" x14ac:dyDescent="0.25">
      <c r="T330" s="9">
        <f>IF(C330&lt;&gt;0,C330-Gear!$C$12,0)</f>
        <v>0</v>
      </c>
      <c r="U330" s="9">
        <f>IF(C330&lt;&gt;0,C330-Gear!$C$12,0)</f>
        <v>0</v>
      </c>
    </row>
    <row r="331" spans="20:21" x14ac:dyDescent="0.25">
      <c r="T331" s="9">
        <f>IF(C331&lt;&gt;0,C331-Gear!$C$12,0)</f>
        <v>0</v>
      </c>
      <c r="U331" s="9">
        <f>IF(C331&lt;&gt;0,C331-Gear!$C$12,0)</f>
        <v>0</v>
      </c>
    </row>
    <row r="332" spans="20:21" x14ac:dyDescent="0.25">
      <c r="T332" s="9">
        <f>IF(C332&lt;&gt;0,C332-Gear!$C$12,0)</f>
        <v>0</v>
      </c>
      <c r="U332" s="9">
        <f>IF(C332&lt;&gt;0,C332-Gear!$C$12,0)</f>
        <v>0</v>
      </c>
    </row>
    <row r="333" spans="20:21" x14ac:dyDescent="0.25">
      <c r="T333" s="9">
        <f>IF(C333&lt;&gt;0,C333-Gear!$C$12,0)</f>
        <v>0</v>
      </c>
      <c r="U333" s="9">
        <f>IF(C333&lt;&gt;0,C333-Gear!$C$12,0)</f>
        <v>0</v>
      </c>
    </row>
    <row r="334" spans="20:21" x14ac:dyDescent="0.25">
      <c r="T334" s="9">
        <f>IF(C334&lt;&gt;0,C334-Gear!$C$12,0)</f>
        <v>0</v>
      </c>
      <c r="U334" s="9">
        <f>IF(C334&lt;&gt;0,C334-Gear!$C$12,0)</f>
        <v>0</v>
      </c>
    </row>
    <row r="335" spans="20:21" x14ac:dyDescent="0.25">
      <c r="T335" s="9">
        <f>IF(C335&lt;&gt;0,C335-Gear!$C$12,0)</f>
        <v>0</v>
      </c>
      <c r="U335" s="9">
        <f>IF(C335&lt;&gt;0,C335-Gear!$C$12,0)</f>
        <v>0</v>
      </c>
    </row>
    <row r="336" spans="20:21" x14ac:dyDescent="0.25">
      <c r="T336" s="9">
        <f>IF(C336&lt;&gt;0,C336-Gear!$C$12,0)</f>
        <v>0</v>
      </c>
      <c r="U336" s="9">
        <f>IF(C336&lt;&gt;0,C336-Gear!$C$12,0)</f>
        <v>0</v>
      </c>
    </row>
    <row r="337" spans="20:21" x14ac:dyDescent="0.25">
      <c r="T337" s="9">
        <f>IF(C337&lt;&gt;0,C337-Gear!$C$12,0)</f>
        <v>0</v>
      </c>
      <c r="U337" s="9">
        <f>IF(C337&lt;&gt;0,C337-Gear!$C$12,0)</f>
        <v>0</v>
      </c>
    </row>
    <row r="338" spans="20:21" x14ac:dyDescent="0.25">
      <c r="T338" s="9">
        <f>IF(C338&lt;&gt;0,C338-Gear!$C$12,0)</f>
        <v>0</v>
      </c>
      <c r="U338" s="9">
        <f>IF(C338&lt;&gt;0,C338-Gear!$C$12,0)</f>
        <v>0</v>
      </c>
    </row>
    <row r="339" spans="20:21" x14ac:dyDescent="0.25">
      <c r="T339" s="9">
        <f>IF(C339&lt;&gt;0,C339-Gear!$C$12,0)</f>
        <v>0</v>
      </c>
      <c r="U339" s="9">
        <f>IF(C339&lt;&gt;0,C339-Gear!$C$12,0)</f>
        <v>0</v>
      </c>
    </row>
    <row r="340" spans="20:21" x14ac:dyDescent="0.25">
      <c r="T340" s="9">
        <f>IF(C340&lt;&gt;0,C340-Gear!$C$12,0)</f>
        <v>0</v>
      </c>
      <c r="U340" s="9">
        <f>IF(C340&lt;&gt;0,C340-Gear!$C$12,0)</f>
        <v>0</v>
      </c>
    </row>
    <row r="341" spans="20:21" x14ac:dyDescent="0.25">
      <c r="T341" s="9">
        <f>IF(C341&lt;&gt;0,C341-Gear!$C$12,0)</f>
        <v>0</v>
      </c>
      <c r="U341" s="9">
        <f>IF(C341&lt;&gt;0,C341-Gear!$C$12,0)</f>
        <v>0</v>
      </c>
    </row>
    <row r="342" spans="20:21" x14ac:dyDescent="0.25">
      <c r="T342" s="9">
        <f>IF(C342&lt;&gt;0,C342-Gear!$C$12,0)</f>
        <v>0</v>
      </c>
      <c r="U342" s="9">
        <f>IF(C342&lt;&gt;0,C342-Gear!$C$12,0)</f>
        <v>0</v>
      </c>
    </row>
    <row r="343" spans="20:21" x14ac:dyDescent="0.25">
      <c r="T343" s="9">
        <f>IF(C343&lt;&gt;0,C343-Gear!$C$12,0)</f>
        <v>0</v>
      </c>
      <c r="U343" s="9">
        <f>IF(C343&lt;&gt;0,C343-Gear!$C$12,0)</f>
        <v>0</v>
      </c>
    </row>
    <row r="344" spans="20:21" x14ac:dyDescent="0.25">
      <c r="T344" s="9">
        <f>IF(C344&lt;&gt;0,C344-Gear!$C$12,0)</f>
        <v>0</v>
      </c>
      <c r="U344" s="9">
        <f>IF(C344&lt;&gt;0,C344-Gear!$C$12,0)</f>
        <v>0</v>
      </c>
    </row>
    <row r="345" spans="20:21" x14ac:dyDescent="0.25">
      <c r="T345" s="9">
        <f>IF(C345&lt;&gt;0,C345-Gear!$C$12,0)</f>
        <v>0</v>
      </c>
      <c r="U345" s="9">
        <f>IF(C345&lt;&gt;0,C345-Gear!$C$12,0)</f>
        <v>0</v>
      </c>
    </row>
    <row r="346" spans="20:21" x14ac:dyDescent="0.25">
      <c r="T346" s="9">
        <f>IF(C346&lt;&gt;0,C346-Gear!$C$12,0)</f>
        <v>0</v>
      </c>
      <c r="U346" s="9">
        <f>IF(C346&lt;&gt;0,C346-Gear!$C$12,0)</f>
        <v>0</v>
      </c>
    </row>
    <row r="347" spans="20:21" x14ac:dyDescent="0.25">
      <c r="T347" s="9">
        <f>IF(C347&lt;&gt;0,C347-Gear!$C$12,0)</f>
        <v>0</v>
      </c>
      <c r="U347" s="9">
        <f>IF(C347&lt;&gt;0,C347-Gear!$C$12,0)</f>
        <v>0</v>
      </c>
    </row>
    <row r="348" spans="20:21" x14ac:dyDescent="0.25">
      <c r="T348" s="9">
        <f>IF(C348&lt;&gt;0,C348-Gear!$C$12,0)</f>
        <v>0</v>
      </c>
      <c r="U348" s="9">
        <f>IF(C348&lt;&gt;0,C348-Gear!$C$12,0)</f>
        <v>0</v>
      </c>
    </row>
    <row r="349" spans="20:21" x14ac:dyDescent="0.25">
      <c r="T349" s="9">
        <f>IF(C349&lt;&gt;0,C349-Gear!$C$12,0)</f>
        <v>0</v>
      </c>
      <c r="U349" s="9">
        <f>IF(C349&lt;&gt;0,C349-Gear!$C$12,0)</f>
        <v>0</v>
      </c>
    </row>
    <row r="350" spans="20:21" x14ac:dyDescent="0.25">
      <c r="T350" s="9">
        <f>IF(C350&lt;&gt;0,C350-Gear!$C$12,0)</f>
        <v>0</v>
      </c>
      <c r="U350" s="9">
        <f>IF(C350&lt;&gt;0,C350-Gear!$C$12,0)</f>
        <v>0</v>
      </c>
    </row>
    <row r="351" spans="20:21" x14ac:dyDescent="0.25">
      <c r="T351" s="9">
        <f>IF(C351&lt;&gt;0,C351-Gear!$C$12,0)</f>
        <v>0</v>
      </c>
      <c r="U351" s="9">
        <f>IF(C351&lt;&gt;0,C351-Gear!$C$12,0)</f>
        <v>0</v>
      </c>
    </row>
    <row r="352" spans="20:21" x14ac:dyDescent="0.25">
      <c r="T352" s="9">
        <f>IF(C352&lt;&gt;0,C352-Gear!$C$12,0)</f>
        <v>0</v>
      </c>
      <c r="U352" s="9">
        <f>IF(C352&lt;&gt;0,C352-Gear!$C$12,0)</f>
        <v>0</v>
      </c>
    </row>
    <row r="353" spans="20:21" x14ac:dyDescent="0.25">
      <c r="T353" s="9">
        <f>IF(C353&lt;&gt;0,C353-Gear!$C$12,0)</f>
        <v>0</v>
      </c>
      <c r="U353" s="9">
        <f>IF(C353&lt;&gt;0,C353-Gear!$C$12,0)</f>
        <v>0</v>
      </c>
    </row>
    <row r="354" spans="20:21" x14ac:dyDescent="0.25">
      <c r="T354" s="9">
        <f>IF(C354&lt;&gt;0,C354-Gear!$C$12,0)</f>
        <v>0</v>
      </c>
      <c r="U354" s="9">
        <f>IF(C354&lt;&gt;0,C354-Gear!$C$12,0)</f>
        <v>0</v>
      </c>
    </row>
    <row r="355" spans="20:21" x14ac:dyDescent="0.25">
      <c r="T355" s="9">
        <f>IF(C355&lt;&gt;0,C355-Gear!$C$12,0)</f>
        <v>0</v>
      </c>
      <c r="U355" s="9">
        <f>IF(C355&lt;&gt;0,C355-Gear!$C$12,0)</f>
        <v>0</v>
      </c>
    </row>
    <row r="356" spans="20:21" x14ac:dyDescent="0.25">
      <c r="T356" s="9">
        <f>IF(C356&lt;&gt;0,C356-Gear!$C$12,0)</f>
        <v>0</v>
      </c>
      <c r="U356" s="9">
        <f>IF(C356&lt;&gt;0,C356-Gear!$C$12,0)</f>
        <v>0</v>
      </c>
    </row>
    <row r="357" spans="20:21" x14ac:dyDescent="0.25">
      <c r="T357" s="9">
        <f>IF(C357&lt;&gt;0,C357-Gear!$C$12,0)</f>
        <v>0</v>
      </c>
      <c r="U357" s="9">
        <f>IF(C357&lt;&gt;0,C357-Gear!$C$12,0)</f>
        <v>0</v>
      </c>
    </row>
    <row r="358" spans="20:21" x14ac:dyDescent="0.25">
      <c r="T358" s="9">
        <f>IF(C358&lt;&gt;0,C358-Gear!$C$12,0)</f>
        <v>0</v>
      </c>
      <c r="U358" s="9">
        <f>IF(C358&lt;&gt;0,C358-Gear!$C$12,0)</f>
        <v>0</v>
      </c>
    </row>
    <row r="359" spans="20:21" x14ac:dyDescent="0.25">
      <c r="T359" s="9">
        <f>IF(C359&lt;&gt;0,C359-Gear!$C$12,0)</f>
        <v>0</v>
      </c>
      <c r="U359" s="9">
        <f>IF(C359&lt;&gt;0,C359-Gear!$C$12,0)</f>
        <v>0</v>
      </c>
    </row>
    <row r="360" spans="20:21" x14ac:dyDescent="0.25">
      <c r="T360" s="9">
        <f>IF(C360&lt;&gt;0,C360-Gear!$C$12,0)</f>
        <v>0</v>
      </c>
      <c r="U360" s="9">
        <f>IF(C360&lt;&gt;0,C360-Gear!$C$12,0)</f>
        <v>0</v>
      </c>
    </row>
    <row r="361" spans="20:21" x14ac:dyDescent="0.25">
      <c r="T361" s="9">
        <f>IF(C361&lt;&gt;0,C361-Gear!$C$12,0)</f>
        <v>0</v>
      </c>
      <c r="U361" s="9">
        <f>IF(C361&lt;&gt;0,C361-Gear!$C$12,0)</f>
        <v>0</v>
      </c>
    </row>
    <row r="362" spans="20:21" x14ac:dyDescent="0.25">
      <c r="T362" s="9">
        <f>IF(C362&lt;&gt;0,C362-Gear!$C$12,0)</f>
        <v>0</v>
      </c>
      <c r="U362" s="9">
        <f>IF(C362&lt;&gt;0,C362-Gear!$C$12,0)</f>
        <v>0</v>
      </c>
    </row>
    <row r="363" spans="20:21" x14ac:dyDescent="0.25">
      <c r="T363" s="9">
        <f>IF(C363&lt;&gt;0,C363-Gear!$C$12,0)</f>
        <v>0</v>
      </c>
      <c r="U363" s="9">
        <f>IF(C363&lt;&gt;0,C363-Gear!$C$12,0)</f>
        <v>0</v>
      </c>
    </row>
    <row r="364" spans="20:21" x14ac:dyDescent="0.25">
      <c r="T364" s="9">
        <f>IF(C364&lt;&gt;0,C364-Gear!$C$12,0)</f>
        <v>0</v>
      </c>
      <c r="U364" s="9">
        <f>IF(C364&lt;&gt;0,C364-Gear!$C$12,0)</f>
        <v>0</v>
      </c>
    </row>
    <row r="365" spans="20:21" x14ac:dyDescent="0.25">
      <c r="T365" s="9">
        <f>IF(C365&lt;&gt;0,C365-Gear!$C$12,0)</f>
        <v>0</v>
      </c>
      <c r="U365" s="9">
        <f>IF(C365&lt;&gt;0,C365-Gear!$C$12,0)</f>
        <v>0</v>
      </c>
    </row>
    <row r="366" spans="20:21" x14ac:dyDescent="0.25">
      <c r="T366" s="9">
        <f>IF(C366&lt;&gt;0,C366-Gear!$C$12,0)</f>
        <v>0</v>
      </c>
      <c r="U366" s="9">
        <f>IF(C366&lt;&gt;0,C366-Gear!$C$12,0)</f>
        <v>0</v>
      </c>
    </row>
    <row r="367" spans="20:21" x14ac:dyDescent="0.25">
      <c r="T367" s="9">
        <f>IF(C367&lt;&gt;0,C367-Gear!$C$12,0)</f>
        <v>0</v>
      </c>
      <c r="U367" s="9">
        <f>IF(C367&lt;&gt;0,C367-Gear!$C$12,0)</f>
        <v>0</v>
      </c>
    </row>
    <row r="368" spans="20:21" x14ac:dyDescent="0.25">
      <c r="T368" s="9">
        <f>IF(C368&lt;&gt;0,C368-Gear!$C$12,0)</f>
        <v>0</v>
      </c>
      <c r="U368" s="9">
        <f>IF(C368&lt;&gt;0,C368-Gear!$C$12,0)</f>
        <v>0</v>
      </c>
    </row>
    <row r="369" spans="20:21" x14ac:dyDescent="0.25">
      <c r="T369" s="9">
        <f>IF(C369&lt;&gt;0,C369-Gear!$C$12,0)</f>
        <v>0</v>
      </c>
      <c r="U369" s="9">
        <f>IF(C369&lt;&gt;0,C369-Gear!$C$12,0)</f>
        <v>0</v>
      </c>
    </row>
    <row r="370" spans="20:21" x14ac:dyDescent="0.25">
      <c r="T370" s="9">
        <f>IF(C370&lt;&gt;0,C370-Gear!$C$12,0)</f>
        <v>0</v>
      </c>
      <c r="U370" s="9">
        <f>IF(C370&lt;&gt;0,C370-Gear!$C$12,0)</f>
        <v>0</v>
      </c>
    </row>
    <row r="371" spans="20:21" x14ac:dyDescent="0.25">
      <c r="T371" s="9">
        <f>IF(C371&lt;&gt;0,C371-Gear!$C$12,0)</f>
        <v>0</v>
      </c>
      <c r="U371" s="9">
        <f>IF(C371&lt;&gt;0,C371-Gear!$C$12,0)</f>
        <v>0</v>
      </c>
    </row>
    <row r="372" spans="20:21" x14ac:dyDescent="0.25">
      <c r="T372" s="9">
        <f>IF(C372&lt;&gt;0,C372-Gear!$C$12,0)</f>
        <v>0</v>
      </c>
      <c r="U372" s="9">
        <f>IF(C372&lt;&gt;0,C372-Gear!$C$12,0)</f>
        <v>0</v>
      </c>
    </row>
    <row r="373" spans="20:21" x14ac:dyDescent="0.25">
      <c r="T373" s="9">
        <f>IF(C373&lt;&gt;0,C373-Gear!$C$12,0)</f>
        <v>0</v>
      </c>
      <c r="U373" s="9">
        <f>IF(C373&lt;&gt;0,C373-Gear!$C$12,0)</f>
        <v>0</v>
      </c>
    </row>
    <row r="374" spans="20:21" x14ac:dyDescent="0.25">
      <c r="T374" s="9">
        <f>IF(C374&lt;&gt;0,C374-Gear!$C$12,0)</f>
        <v>0</v>
      </c>
      <c r="U374" s="9">
        <f>IF(C374&lt;&gt;0,C374-Gear!$C$12,0)</f>
        <v>0</v>
      </c>
    </row>
    <row r="375" spans="20:21" x14ac:dyDescent="0.25">
      <c r="T375" s="9">
        <f>IF(C375&lt;&gt;0,C375-Gear!$C$12,0)</f>
        <v>0</v>
      </c>
      <c r="U375" s="9">
        <f>IF(C375&lt;&gt;0,C375-Gear!$C$12,0)</f>
        <v>0</v>
      </c>
    </row>
    <row r="376" spans="20:21" x14ac:dyDescent="0.25">
      <c r="T376" s="9">
        <f>IF(C376&lt;&gt;0,C376-Gear!$C$12,0)</f>
        <v>0</v>
      </c>
      <c r="U376" s="9">
        <f>IF(C376&lt;&gt;0,C376-Gear!$C$12,0)</f>
        <v>0</v>
      </c>
    </row>
    <row r="377" spans="20:21" x14ac:dyDescent="0.25">
      <c r="T377" s="9">
        <f>IF(C377&lt;&gt;0,C377-Gear!$C$12,0)</f>
        <v>0</v>
      </c>
      <c r="U377" s="9">
        <f>IF(C377&lt;&gt;0,C377-Gear!$C$12,0)</f>
        <v>0</v>
      </c>
    </row>
    <row r="378" spans="20:21" x14ac:dyDescent="0.25">
      <c r="T378" s="9">
        <f>IF(C378&lt;&gt;0,C378-Gear!$C$12,0)</f>
        <v>0</v>
      </c>
      <c r="U378" s="9">
        <f>IF(C378&lt;&gt;0,C378-Gear!$C$12,0)</f>
        <v>0</v>
      </c>
    </row>
    <row r="379" spans="20:21" x14ac:dyDescent="0.25">
      <c r="T379" s="9">
        <f>IF(C379&lt;&gt;0,C379-Gear!$C$12,0)</f>
        <v>0</v>
      </c>
      <c r="U379" s="9">
        <f>IF(C379&lt;&gt;0,C379-Gear!$C$12,0)</f>
        <v>0</v>
      </c>
    </row>
    <row r="380" spans="20:21" x14ac:dyDescent="0.25">
      <c r="T380" s="9">
        <f>IF(C380&lt;&gt;0,C380-Gear!$C$12,0)</f>
        <v>0</v>
      </c>
      <c r="U380" s="9">
        <f>IF(C380&lt;&gt;0,C380-Gear!$C$12,0)</f>
        <v>0</v>
      </c>
    </row>
    <row r="381" spans="20:21" x14ac:dyDescent="0.25">
      <c r="T381" s="9">
        <f>IF(C381&lt;&gt;0,C381-Gear!$C$12,0)</f>
        <v>0</v>
      </c>
      <c r="U381" s="9">
        <f>IF(C381&lt;&gt;0,C381-Gear!$C$12,0)</f>
        <v>0</v>
      </c>
    </row>
    <row r="382" spans="20:21" x14ac:dyDescent="0.25">
      <c r="T382" s="9">
        <f>IF(C382&lt;&gt;0,C382-Gear!$C$12,0)</f>
        <v>0</v>
      </c>
      <c r="U382" s="9">
        <f>IF(C382&lt;&gt;0,C382-Gear!$C$12,0)</f>
        <v>0</v>
      </c>
    </row>
    <row r="383" spans="20:21" x14ac:dyDescent="0.25">
      <c r="T383" s="9">
        <f>IF(C383&lt;&gt;0,C383-Gear!$C$12,0)</f>
        <v>0</v>
      </c>
      <c r="U383" s="9">
        <f>IF(C383&lt;&gt;0,C383-Gear!$C$12,0)</f>
        <v>0</v>
      </c>
    </row>
    <row r="384" spans="20:21" x14ac:dyDescent="0.25">
      <c r="T384" s="9">
        <f>IF(C384&lt;&gt;0,C384-Gear!$C$12,0)</f>
        <v>0</v>
      </c>
      <c r="U384" s="9">
        <f>IF(C384&lt;&gt;0,C384-Gear!$C$12,0)</f>
        <v>0</v>
      </c>
    </row>
    <row r="385" spans="20:21" x14ac:dyDescent="0.25">
      <c r="T385" s="9">
        <f>IF(C385&lt;&gt;0,C385-Gear!$C$12,0)</f>
        <v>0</v>
      </c>
      <c r="U385" s="9">
        <f>IF(C385&lt;&gt;0,C385-Gear!$C$12,0)</f>
        <v>0</v>
      </c>
    </row>
    <row r="386" spans="20:21" x14ac:dyDescent="0.25">
      <c r="T386" s="9">
        <f>IF(C386&lt;&gt;0,C386-Gear!$C$12,0)</f>
        <v>0</v>
      </c>
      <c r="U386" s="9">
        <f>IF(C386&lt;&gt;0,C386-Gear!$C$12,0)</f>
        <v>0</v>
      </c>
    </row>
    <row r="387" spans="20:21" x14ac:dyDescent="0.25">
      <c r="T387" s="9">
        <f>IF(C387&lt;&gt;0,C387-Gear!$C$12,0)</f>
        <v>0</v>
      </c>
      <c r="U387" s="9">
        <f>IF(C387&lt;&gt;0,C387-Gear!$C$12,0)</f>
        <v>0</v>
      </c>
    </row>
    <row r="388" spans="20:21" x14ac:dyDescent="0.25">
      <c r="T388" s="9">
        <f>IF(C388&lt;&gt;0,C388-Gear!$C$12,0)</f>
        <v>0</v>
      </c>
      <c r="U388" s="9">
        <f>IF(C388&lt;&gt;0,C388-Gear!$C$12,0)</f>
        <v>0</v>
      </c>
    </row>
    <row r="389" spans="20:21" x14ac:dyDescent="0.25">
      <c r="T389" s="9">
        <f>IF(C389&lt;&gt;0,C389-Gear!$C$12,0)</f>
        <v>0</v>
      </c>
      <c r="U389" s="9">
        <f>IF(C389&lt;&gt;0,C389-Gear!$C$12,0)</f>
        <v>0</v>
      </c>
    </row>
    <row r="390" spans="20:21" x14ac:dyDescent="0.25">
      <c r="T390" s="9">
        <f>IF(C390&lt;&gt;0,C390-Gear!$C$12,0)</f>
        <v>0</v>
      </c>
      <c r="U390" s="9">
        <f>IF(C390&lt;&gt;0,C390-Gear!$C$12,0)</f>
        <v>0</v>
      </c>
    </row>
    <row r="391" spans="20:21" x14ac:dyDescent="0.25">
      <c r="T391" s="9">
        <f>IF(C391&lt;&gt;0,C391-Gear!$C$12,0)</f>
        <v>0</v>
      </c>
      <c r="U391" s="9">
        <f>IF(C391&lt;&gt;0,C391-Gear!$C$12,0)</f>
        <v>0</v>
      </c>
    </row>
    <row r="392" spans="20:21" x14ac:dyDescent="0.25">
      <c r="T392" s="9">
        <f>IF(C392&lt;&gt;0,C392-Gear!$C$12,0)</f>
        <v>0</v>
      </c>
      <c r="U392" s="9">
        <f>IF(C392&lt;&gt;0,C392-Gear!$C$12,0)</f>
        <v>0</v>
      </c>
    </row>
    <row r="393" spans="20:21" x14ac:dyDescent="0.25">
      <c r="T393" s="9">
        <f>IF(C393&lt;&gt;0,C393-Gear!$C$12,0)</f>
        <v>0</v>
      </c>
      <c r="U393" s="9">
        <f>IF(C393&lt;&gt;0,C393-Gear!$C$12,0)</f>
        <v>0</v>
      </c>
    </row>
    <row r="394" spans="20:21" x14ac:dyDescent="0.25">
      <c r="T394" s="9">
        <f>IF(C394&lt;&gt;0,C394-Gear!$C$12,0)</f>
        <v>0</v>
      </c>
      <c r="U394" s="9">
        <f>IF(C394&lt;&gt;0,C394-Gear!$C$12,0)</f>
        <v>0</v>
      </c>
    </row>
    <row r="395" spans="20:21" x14ac:dyDescent="0.25">
      <c r="T395" s="9">
        <f>IF(C395&lt;&gt;0,C395-Gear!$C$12,0)</f>
        <v>0</v>
      </c>
      <c r="U395" s="9">
        <f>IF(C395&lt;&gt;0,C395-Gear!$C$12,0)</f>
        <v>0</v>
      </c>
    </row>
    <row r="396" spans="20:21" x14ac:dyDescent="0.25">
      <c r="T396" s="9">
        <f>IF(C396&lt;&gt;0,C396-Gear!$C$12,0)</f>
        <v>0</v>
      </c>
      <c r="U396" s="9">
        <f>IF(C396&lt;&gt;0,C396-Gear!$C$12,0)</f>
        <v>0</v>
      </c>
    </row>
    <row r="397" spans="20:21" x14ac:dyDescent="0.25">
      <c r="T397" s="9">
        <f>IF(C397&lt;&gt;0,C397-Gear!$C$12,0)</f>
        <v>0</v>
      </c>
      <c r="U397" s="9">
        <f>IF(C397&lt;&gt;0,C397-Gear!$C$12,0)</f>
        <v>0</v>
      </c>
    </row>
    <row r="398" spans="20:21" x14ac:dyDescent="0.25">
      <c r="T398" s="9">
        <f>IF(C398&lt;&gt;0,C398-Gear!$C$12,0)</f>
        <v>0</v>
      </c>
      <c r="U398" s="9">
        <f>IF(C398&lt;&gt;0,C398-Gear!$C$12,0)</f>
        <v>0</v>
      </c>
    </row>
    <row r="399" spans="20:21" x14ac:dyDescent="0.25">
      <c r="T399" s="9">
        <f>IF(C399&lt;&gt;0,C399-Gear!$C$12,0)</f>
        <v>0</v>
      </c>
      <c r="U399" s="9">
        <f>IF(C399&lt;&gt;0,C399-Gear!$C$12,0)</f>
        <v>0</v>
      </c>
    </row>
    <row r="400" spans="20:21" x14ac:dyDescent="0.25">
      <c r="T400" s="9">
        <f>IF(C400&lt;&gt;0,C400-Gear!$C$12,0)</f>
        <v>0</v>
      </c>
      <c r="U400" s="9">
        <f>IF(C400&lt;&gt;0,C400-Gear!$C$12,0)</f>
        <v>0</v>
      </c>
    </row>
    <row r="401" spans="20:21" x14ac:dyDescent="0.25">
      <c r="T401" s="9">
        <f>IF(C401&lt;&gt;0,C401-Gear!$C$12,0)</f>
        <v>0</v>
      </c>
      <c r="U401" s="9">
        <f>IF(C401&lt;&gt;0,C401-Gear!$C$12,0)</f>
        <v>0</v>
      </c>
    </row>
    <row r="402" spans="20:21" x14ac:dyDescent="0.25">
      <c r="T402" s="9">
        <f>IF(C402&lt;&gt;0,C402-Gear!$C$12,0)</f>
        <v>0</v>
      </c>
      <c r="U402" s="9">
        <f>IF(C402&lt;&gt;0,C402-Gear!$C$12,0)</f>
        <v>0</v>
      </c>
    </row>
    <row r="403" spans="20:21" x14ac:dyDescent="0.25">
      <c r="T403" s="9">
        <f>IF(C403&lt;&gt;0,C403-Gear!$C$12,0)</f>
        <v>0</v>
      </c>
      <c r="U403" s="9">
        <f>IF(C403&lt;&gt;0,C403-Gear!$C$12,0)</f>
        <v>0</v>
      </c>
    </row>
    <row r="404" spans="20:21" x14ac:dyDescent="0.25">
      <c r="T404" s="9">
        <f>IF(C404&lt;&gt;0,C404-Gear!$C$12,0)</f>
        <v>0</v>
      </c>
      <c r="U404" s="9">
        <f>IF(C404&lt;&gt;0,C404-Gear!$C$12,0)</f>
        <v>0</v>
      </c>
    </row>
    <row r="405" spans="20:21" x14ac:dyDescent="0.25">
      <c r="T405" s="9">
        <f>IF(C405&lt;&gt;0,C405-Gear!$C$12,0)</f>
        <v>0</v>
      </c>
      <c r="U405" s="9">
        <f>IF(C405&lt;&gt;0,C405-Gear!$C$12,0)</f>
        <v>0</v>
      </c>
    </row>
    <row r="406" spans="20:21" x14ac:dyDescent="0.25">
      <c r="T406" s="9">
        <f>IF(C406&lt;&gt;0,C406-Gear!$C$12,0)</f>
        <v>0</v>
      </c>
      <c r="U406" s="9">
        <f>IF(C406&lt;&gt;0,C406-Gear!$C$12,0)</f>
        <v>0</v>
      </c>
    </row>
    <row r="407" spans="20:21" x14ac:dyDescent="0.25">
      <c r="T407" s="9">
        <f>IF(C407&lt;&gt;0,C407-Gear!$C$12,0)</f>
        <v>0</v>
      </c>
      <c r="U407" s="9">
        <f>IF(C407&lt;&gt;0,C407-Gear!$C$12,0)</f>
        <v>0</v>
      </c>
    </row>
    <row r="408" spans="20:21" x14ac:dyDescent="0.25">
      <c r="T408" s="9">
        <f>IF(C408&lt;&gt;0,C408-Gear!$C$12,0)</f>
        <v>0</v>
      </c>
      <c r="U408" s="9">
        <f>IF(C408&lt;&gt;0,C408-Gear!$C$12,0)</f>
        <v>0</v>
      </c>
    </row>
    <row r="409" spans="20:21" x14ac:dyDescent="0.25">
      <c r="T409" s="9">
        <f>IF(C409&lt;&gt;0,C409-Gear!$C$12,0)</f>
        <v>0</v>
      </c>
      <c r="U409" s="9">
        <f>IF(C409&lt;&gt;0,C409-Gear!$C$12,0)</f>
        <v>0</v>
      </c>
    </row>
    <row r="410" spans="20:21" x14ac:dyDescent="0.25">
      <c r="T410" s="9">
        <f>IF(C410&lt;&gt;0,C410-Gear!$C$12,0)</f>
        <v>0</v>
      </c>
      <c r="U410" s="9">
        <f>IF(C410&lt;&gt;0,C410-Gear!$C$12,0)</f>
        <v>0</v>
      </c>
    </row>
    <row r="411" spans="20:21" x14ac:dyDescent="0.25">
      <c r="T411" s="9">
        <f>IF(C411&lt;&gt;0,C411-Gear!$C$12,0)</f>
        <v>0</v>
      </c>
      <c r="U411" s="9">
        <f>IF(C411&lt;&gt;0,C411-Gear!$C$12,0)</f>
        <v>0</v>
      </c>
    </row>
    <row r="412" spans="20:21" x14ac:dyDescent="0.25">
      <c r="T412" s="9">
        <f>IF(C412&lt;&gt;0,C412-Gear!$C$12,0)</f>
        <v>0</v>
      </c>
      <c r="U412" s="9">
        <f>IF(C412&lt;&gt;0,C412-Gear!$C$12,0)</f>
        <v>0</v>
      </c>
    </row>
    <row r="413" spans="20:21" x14ac:dyDescent="0.25">
      <c r="T413" s="9">
        <f>IF(C413&lt;&gt;0,C413-Gear!$C$12,0)</f>
        <v>0</v>
      </c>
      <c r="U413" s="9">
        <f>IF(C413&lt;&gt;0,C413-Gear!$C$12,0)</f>
        <v>0</v>
      </c>
    </row>
    <row r="414" spans="20:21" x14ac:dyDescent="0.25">
      <c r="T414" s="9">
        <f>IF(C414&lt;&gt;0,C414-Gear!$C$12,0)</f>
        <v>0</v>
      </c>
      <c r="U414" s="9">
        <f>IF(C414&lt;&gt;0,C414-Gear!$C$12,0)</f>
        <v>0</v>
      </c>
    </row>
    <row r="415" spans="20:21" x14ac:dyDescent="0.25">
      <c r="T415" s="9">
        <f>IF(C415&lt;&gt;0,C415-Gear!$C$12,0)</f>
        <v>0</v>
      </c>
      <c r="U415" s="9">
        <f>IF(C415&lt;&gt;0,C415-Gear!$C$12,0)</f>
        <v>0</v>
      </c>
    </row>
    <row r="416" spans="20:21" x14ac:dyDescent="0.25">
      <c r="T416" s="9">
        <f>IF(C416&lt;&gt;0,C416-Gear!$C$12,0)</f>
        <v>0</v>
      </c>
      <c r="U416" s="9">
        <f>IF(C416&lt;&gt;0,C416-Gear!$C$12,0)</f>
        <v>0</v>
      </c>
    </row>
    <row r="417" spans="20:21" x14ac:dyDescent="0.25">
      <c r="T417" s="9">
        <f>IF(C417&lt;&gt;0,C417-Gear!$C$12,0)</f>
        <v>0</v>
      </c>
      <c r="U417" s="9">
        <f>IF(C417&lt;&gt;0,C417-Gear!$C$12,0)</f>
        <v>0</v>
      </c>
    </row>
  </sheetData>
  <conditionalFormatting sqref="U2:U417">
    <cfRule type="cellIs" dxfId="4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AEAD-F88E-4EDE-BB27-5F55453EF991}">
  <sheetPr codeName="Tabelle16"/>
  <dimension ref="A1:U467"/>
  <sheetViews>
    <sheetView showGridLines="0" topLeftCell="C1" workbookViewId="0">
      <selection activeCell="T2" sqref="T2"/>
    </sheetView>
  </sheetViews>
  <sheetFormatPr baseColWidth="10" defaultRowHeight="15" x14ac:dyDescent="0.25"/>
  <cols>
    <col min="1" max="1" width="6" style="9" bestFit="1" customWidth="1"/>
    <col min="2" max="2" width="34" style="9" bestFit="1" customWidth="1"/>
    <col min="3" max="3" width="12" style="9" bestFit="1" customWidth="1"/>
    <col min="4" max="4" width="7.285156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  <col min="21" max="21" width="12.7109375" style="9" bestFit="1" customWidth="1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Database'!A10</f>
        <v>22498</v>
      </c>
      <c r="B2" s="9" t="str">
        <f>'Item Database'!B10</f>
        <v>Frostfire Circlet</v>
      </c>
      <c r="C2" s="12">
        <f>'Item Database'!C10</f>
        <v>21.627445974349751</v>
      </c>
      <c r="D2" s="9" t="str">
        <f>'Item Database'!D10</f>
        <v>Head</v>
      </c>
      <c r="E2" s="9">
        <f>'Item Database'!E10</f>
        <v>108</v>
      </c>
      <c r="F2" s="9">
        <f>'Item Database'!F10</f>
        <v>0</v>
      </c>
      <c r="G2" s="9">
        <f>'Item Database'!G10</f>
        <v>22</v>
      </c>
      <c r="H2" s="9">
        <f>'Item Database'!H10</f>
        <v>0</v>
      </c>
      <c r="I2" s="9">
        <f>'Item Database'!I10</f>
        <v>23</v>
      </c>
      <c r="J2" s="9">
        <f>'Item Database'!J10</f>
        <v>0</v>
      </c>
      <c r="K2" s="9">
        <f>'Item Database'!K10</f>
        <v>35</v>
      </c>
      <c r="L2" s="35">
        <f>'Item Database'!L10</f>
        <v>0.02</v>
      </c>
      <c r="M2" s="35">
        <f>'Item Database'!M10</f>
        <v>0.01</v>
      </c>
      <c r="N2" s="9">
        <f>'Item Database'!N10</f>
        <v>0</v>
      </c>
      <c r="O2" s="9">
        <f>'Item Database'!O10</f>
        <v>0</v>
      </c>
      <c r="P2" s="9">
        <f>'Item Database'!P10</f>
        <v>0</v>
      </c>
      <c r="Q2" s="9">
        <f>'Item Database'!Q10</f>
        <v>0</v>
      </c>
      <c r="R2" s="9">
        <f>'Item Database'!R10</f>
        <v>0</v>
      </c>
      <c r="S2" s="9">
        <f>'Item Database'!S10</f>
        <v>0</v>
      </c>
      <c r="T2" s="53" t="str">
        <f>HYPERLINK('Item Database'!T10)</f>
        <v>https://classic.wowhead.com/item=22498</v>
      </c>
      <c r="U2" s="9">
        <f>IF(C2&lt;&gt;0,C2-Gear!$C$14,0)</f>
        <v>21.627445974349751</v>
      </c>
    </row>
    <row r="3" spans="1:21" x14ac:dyDescent="0.25">
      <c r="A3" s="24">
        <f>'Item Database'!A54</f>
        <v>20070</v>
      </c>
      <c r="B3" s="9" t="str">
        <f>'Item Database'!B54</f>
        <v>Sageclaw</v>
      </c>
      <c r="C3" s="12">
        <f>'Item Database'!C54</f>
        <v>13.221034615864824</v>
      </c>
      <c r="D3" s="9" t="str">
        <f>'Item Database'!D54</f>
        <v>Weapon</v>
      </c>
      <c r="E3" s="9">
        <f>'Item Database'!E54</f>
        <v>35</v>
      </c>
      <c r="F3" s="9">
        <f>'Item Database'!F54</f>
        <v>0</v>
      </c>
      <c r="G3" s="9">
        <f>'Item Database'!G54</f>
        <v>8</v>
      </c>
      <c r="H3" s="9">
        <f>'Item Database'!H54</f>
        <v>0</v>
      </c>
      <c r="I3" s="9">
        <f>'Item Database'!I54</f>
        <v>0</v>
      </c>
      <c r="J3" s="9">
        <f>'Item Database'!J54</f>
        <v>0</v>
      </c>
      <c r="K3" s="9">
        <f>'Item Database'!K54</f>
        <v>30</v>
      </c>
      <c r="L3" s="35">
        <f>'Item Database'!L54</f>
        <v>0.01</v>
      </c>
      <c r="M3" s="35">
        <f>'Item Database'!M54</f>
        <v>0</v>
      </c>
      <c r="N3" s="9">
        <f>'Item Database'!N54</f>
        <v>0</v>
      </c>
      <c r="O3" s="9">
        <f>'Item Database'!O54</f>
        <v>0</v>
      </c>
      <c r="P3" s="9">
        <f>'Item Database'!P54</f>
        <v>0</v>
      </c>
      <c r="Q3" s="9">
        <f>'Item Database'!Q54</f>
        <v>0</v>
      </c>
      <c r="R3" s="9">
        <f>'Item Database'!R54</f>
        <v>0</v>
      </c>
      <c r="S3" s="9">
        <f>'Item Database'!S54</f>
        <v>0</v>
      </c>
      <c r="T3" s="53" t="str">
        <f>HYPERLINK('Item Database'!T54)</f>
        <v>https://classic.wowhead.com/item=20070</v>
      </c>
      <c r="U3" s="9">
        <f>IF(C3&lt;&gt;0,C3-Gear!$C$14,0)</f>
        <v>13.221034615864824</v>
      </c>
    </row>
    <row r="4" spans="1:21" x14ac:dyDescent="0.25">
      <c r="A4" s="24">
        <f>'Item Database'!A101</f>
        <v>16440</v>
      </c>
      <c r="B4" s="9" t="str">
        <f>'Item Database'!B101</f>
        <v>Marshal's Silk Gloves</v>
      </c>
      <c r="C4" s="12">
        <f>'Item Database'!C101</f>
        <v>10.187599520977669</v>
      </c>
      <c r="D4" s="9" t="str">
        <f>'Item Database'!D101</f>
        <v>Hands</v>
      </c>
      <c r="E4" s="9">
        <f>'Item Database'!E101</f>
        <v>108</v>
      </c>
      <c r="F4" s="9">
        <f>'Item Database'!F101</f>
        <v>0</v>
      </c>
      <c r="G4" s="9">
        <f>'Item Database'!G101</f>
        <v>22</v>
      </c>
      <c r="H4" s="9">
        <f>'Item Database'!H101</f>
        <v>0</v>
      </c>
      <c r="I4" s="9">
        <f>'Item Database'!I101</f>
        <v>12</v>
      </c>
      <c r="J4" s="9">
        <f>'Item Database'!J101</f>
        <v>5</v>
      </c>
      <c r="K4" s="9">
        <f>'Item Database'!K101</f>
        <v>27</v>
      </c>
      <c r="L4" s="35">
        <f>'Item Database'!L101</f>
        <v>0</v>
      </c>
      <c r="M4" s="35">
        <f>'Item Database'!M101</f>
        <v>0</v>
      </c>
      <c r="N4" s="9">
        <f>'Item Database'!N101</f>
        <v>0</v>
      </c>
      <c r="O4" s="9">
        <f>'Item Database'!O101</f>
        <v>0</v>
      </c>
      <c r="P4" s="9">
        <f>'Item Database'!P101</f>
        <v>0</v>
      </c>
      <c r="Q4" s="9">
        <f>'Item Database'!Q101</f>
        <v>0</v>
      </c>
      <c r="R4" s="9">
        <f>'Item Database'!R101</f>
        <v>0</v>
      </c>
      <c r="S4" s="9">
        <f>'Item Database'!S101</f>
        <v>0</v>
      </c>
      <c r="T4" s="53" t="str">
        <f>HYPERLINK('Item Database'!T101)</f>
        <v>https://classic.wowhead.com/item=16440</v>
      </c>
      <c r="U4" s="9">
        <f>IF(C4&lt;&gt;0,C4-Gear!$C$14,0)</f>
        <v>10.187599520977669</v>
      </c>
    </row>
    <row r="5" spans="1:21" x14ac:dyDescent="0.25">
      <c r="A5" s="24">
        <f>'Item Database'!A144</f>
        <v>19397</v>
      </c>
      <c r="B5" s="9" t="str">
        <f>'Item Database'!B144</f>
        <v>Ring of Blackrock</v>
      </c>
      <c r="C5" s="12">
        <f>'Item Database'!C144</f>
        <v>6.821247786641055</v>
      </c>
      <c r="D5" s="9" t="str">
        <f>'Item Database'!D144</f>
        <v>Ring</v>
      </c>
      <c r="E5" s="9">
        <f>'Item Database'!E144</f>
        <v>0</v>
      </c>
      <c r="F5" s="9">
        <f>'Item Database'!F144</f>
        <v>0</v>
      </c>
      <c r="G5" s="9">
        <f>'Item Database'!G144</f>
        <v>0</v>
      </c>
      <c r="H5" s="9">
        <f>'Item Database'!H144</f>
        <v>0</v>
      </c>
      <c r="I5" s="9">
        <f>'Item Database'!I144</f>
        <v>0</v>
      </c>
      <c r="J5" s="9">
        <f>'Item Database'!J144</f>
        <v>0</v>
      </c>
      <c r="K5" s="9">
        <f>'Item Database'!K144</f>
        <v>19</v>
      </c>
      <c r="L5" s="35">
        <f>'Item Database'!L144</f>
        <v>0</v>
      </c>
      <c r="M5" s="35">
        <f>'Item Database'!M144</f>
        <v>0</v>
      </c>
      <c r="N5" s="9">
        <f>'Item Database'!N144</f>
        <v>9</v>
      </c>
      <c r="O5" s="9">
        <f>'Item Database'!O144</f>
        <v>0</v>
      </c>
      <c r="P5" s="9">
        <f>'Item Database'!P144</f>
        <v>0</v>
      </c>
      <c r="Q5" s="9">
        <f>'Item Database'!Q144</f>
        <v>0</v>
      </c>
      <c r="R5" s="9">
        <f>'Item Database'!R144</f>
        <v>0</v>
      </c>
      <c r="S5" s="9">
        <f>'Item Database'!S144</f>
        <v>0</v>
      </c>
      <c r="T5" s="53" t="str">
        <f>HYPERLINK('Item Database'!T144)</f>
        <v>https://classic.wowhead.com/item=19397</v>
      </c>
      <c r="U5" s="9">
        <f>IF(C5&lt;&gt;0,C5-Gear!$C$14,0)</f>
        <v>6.821247786641055</v>
      </c>
    </row>
    <row r="6" spans="1:21" x14ac:dyDescent="0.25">
      <c r="A6" s="24">
        <f>'Item Database'!A145</f>
        <v>21603</v>
      </c>
      <c r="B6" s="9" t="str">
        <f>'Item Database'!B145</f>
        <v>Wand of Qiraji Nobility</v>
      </c>
      <c r="C6" s="12">
        <f>'Item Database'!C145</f>
        <v>6.821247786641055</v>
      </c>
      <c r="D6" s="9" t="str">
        <f>'Item Database'!D145</f>
        <v>Wand</v>
      </c>
      <c r="E6" s="9">
        <f>'Item Database'!E145</f>
        <v>0</v>
      </c>
      <c r="F6" s="9">
        <f>'Item Database'!F145</f>
        <v>0</v>
      </c>
      <c r="G6" s="9">
        <f>'Item Database'!G145</f>
        <v>5</v>
      </c>
      <c r="H6" s="9">
        <f>'Item Database'!H145</f>
        <v>0</v>
      </c>
      <c r="I6" s="9">
        <f>'Item Database'!I145</f>
        <v>0</v>
      </c>
      <c r="J6" s="9">
        <f>'Item Database'!J145</f>
        <v>0</v>
      </c>
      <c r="K6" s="9">
        <f>'Item Database'!K145</f>
        <v>19</v>
      </c>
      <c r="L6" s="35">
        <f>'Item Database'!L145</f>
        <v>0</v>
      </c>
      <c r="M6" s="35">
        <f>'Item Database'!M145</f>
        <v>0</v>
      </c>
      <c r="N6" s="9">
        <f>'Item Database'!N145</f>
        <v>0</v>
      </c>
      <c r="O6" s="9">
        <f>'Item Database'!O145</f>
        <v>0</v>
      </c>
      <c r="P6" s="9">
        <f>'Item Database'!P145</f>
        <v>0</v>
      </c>
      <c r="Q6" s="9">
        <f>'Item Database'!Q145</f>
        <v>0</v>
      </c>
      <c r="R6" s="9">
        <f>'Item Database'!R145</f>
        <v>0</v>
      </c>
      <c r="S6" s="9">
        <f>'Item Database'!S145</f>
        <v>0</v>
      </c>
      <c r="T6" s="53" t="str">
        <f>HYPERLINK('Item Database'!T145)</f>
        <v>https://classic.wowhead.com/item=21603</v>
      </c>
      <c r="U6" s="9">
        <f>IF(C6&lt;&gt;0,C6-Gear!$C$14,0)</f>
        <v>6.821247786641055</v>
      </c>
    </row>
    <row r="7" spans="1:21" x14ac:dyDescent="0.25">
      <c r="A7" s="24">
        <f>'Item Database'!A179</f>
        <v>18387</v>
      </c>
      <c r="B7" s="9" t="str">
        <f>'Item Database'!B179</f>
        <v>Brightspark Gloves</v>
      </c>
      <c r="C7" s="12">
        <f>'Item Database'!C179</f>
        <v>3.0684526276991595</v>
      </c>
      <c r="D7" s="9" t="str">
        <f>'Item Database'!D179</f>
        <v>Hands</v>
      </c>
      <c r="E7" s="9">
        <f>'Item Database'!E179</f>
        <v>53</v>
      </c>
      <c r="F7" s="9">
        <f>'Item Database'!F179</f>
        <v>0</v>
      </c>
      <c r="G7" s="9">
        <f>'Item Database'!G179</f>
        <v>9</v>
      </c>
      <c r="H7" s="9">
        <f>'Item Database'!H179</f>
        <v>0</v>
      </c>
      <c r="I7" s="9">
        <f>'Item Database'!I179</f>
        <v>15</v>
      </c>
      <c r="J7" s="9">
        <f>'Item Database'!J179</f>
        <v>0</v>
      </c>
      <c r="K7" s="9">
        <f>'Item Database'!K179</f>
        <v>0</v>
      </c>
      <c r="L7" s="35">
        <f>'Item Database'!L179</f>
        <v>0.01</v>
      </c>
      <c r="M7" s="35">
        <f>'Item Database'!M179</f>
        <v>0</v>
      </c>
      <c r="N7" s="9">
        <f>'Item Database'!N179</f>
        <v>0</v>
      </c>
      <c r="O7" s="9">
        <f>'Item Database'!O179</f>
        <v>0</v>
      </c>
      <c r="P7" s="9">
        <f>'Item Database'!P179</f>
        <v>0</v>
      </c>
      <c r="Q7" s="9">
        <f>'Item Database'!Q179</f>
        <v>0</v>
      </c>
      <c r="R7" s="9">
        <f>'Item Database'!R179</f>
        <v>0</v>
      </c>
      <c r="S7" s="9">
        <f>'Item Database'!S179</f>
        <v>0</v>
      </c>
      <c r="T7" s="53" t="str">
        <f>HYPERLINK('Item Database'!T179)</f>
        <v>https://classic.wowhead.com/item=18387</v>
      </c>
      <c r="U7" s="9">
        <f>IF(C7&lt;&gt;0,C7-Gear!$C$14,0)</f>
        <v>3.0684526276991595</v>
      </c>
    </row>
    <row r="8" spans="1:21" x14ac:dyDescent="0.25">
      <c r="A8" s="24">
        <f>'Item Database'!A280</f>
        <v>18820</v>
      </c>
      <c r="B8" s="9" t="str">
        <f>'Item Database'!B280</f>
        <v>Talisman of Ephemeral Power</v>
      </c>
      <c r="C8" s="12">
        <f>'Item Database'!C280</f>
        <v>0</v>
      </c>
      <c r="D8" s="9" t="str">
        <f>'Item Database'!D280</f>
        <v>Trinket</v>
      </c>
      <c r="E8" s="9">
        <f>'Item Database'!E280</f>
        <v>0</v>
      </c>
      <c r="F8" s="9">
        <f>'Item Database'!F280</f>
        <v>0</v>
      </c>
      <c r="G8" s="9">
        <f>'Item Database'!G280</f>
        <v>0</v>
      </c>
      <c r="H8" s="9">
        <f>'Item Database'!H280</f>
        <v>0</v>
      </c>
      <c r="I8" s="9">
        <f>'Item Database'!I280</f>
        <v>0</v>
      </c>
      <c r="J8" s="9">
        <f>'Item Database'!J280</f>
        <v>0</v>
      </c>
      <c r="K8" s="9">
        <f>'Item Database'!K280</f>
        <v>0</v>
      </c>
      <c r="L8" s="35">
        <f>'Item Database'!L280</f>
        <v>0</v>
      </c>
      <c r="M8" s="35">
        <f>'Item Database'!M280</f>
        <v>0</v>
      </c>
      <c r="N8" s="9">
        <f>'Item Database'!N280</f>
        <v>0</v>
      </c>
      <c r="O8" s="9">
        <f>'Item Database'!O280</f>
        <v>0</v>
      </c>
      <c r="P8" s="9">
        <f>'Item Database'!P280</f>
        <v>0</v>
      </c>
      <c r="Q8" s="9">
        <f>'Item Database'!Q280</f>
        <v>0</v>
      </c>
      <c r="R8" s="9">
        <f>'Item Database'!R280</f>
        <v>0</v>
      </c>
      <c r="S8" s="9">
        <f>'Item Database'!S280</f>
        <v>0</v>
      </c>
      <c r="T8" s="53" t="str">
        <f>HYPERLINK('Item Database'!T280)</f>
        <v>https://classic.wowhead.com/item=18820</v>
      </c>
      <c r="U8" s="9">
        <f>IF(C8&lt;&gt;0,C8-Gear!$C$14,0)</f>
        <v>0</v>
      </c>
    </row>
    <row r="9" spans="1:21" x14ac:dyDescent="0.25">
      <c r="A9" s="24">
        <f>'Item Database'!A282</f>
        <v>19339</v>
      </c>
      <c r="B9" s="9" t="str">
        <f>'Item Database'!B282</f>
        <v>Mind Quickening Gem</v>
      </c>
      <c r="C9" s="12">
        <f>'Item Database'!C282</f>
        <v>0</v>
      </c>
      <c r="D9" s="9" t="str">
        <f>'Item Database'!D282</f>
        <v>Trinket</v>
      </c>
      <c r="E9" s="9">
        <f>'Item Database'!E282</f>
        <v>0</v>
      </c>
      <c r="F9" s="9">
        <f>'Item Database'!F282</f>
        <v>0</v>
      </c>
      <c r="G9" s="9">
        <f>'Item Database'!G282</f>
        <v>0</v>
      </c>
      <c r="H9" s="9">
        <f>'Item Database'!H282</f>
        <v>0</v>
      </c>
      <c r="I9" s="9">
        <f>'Item Database'!I282</f>
        <v>0</v>
      </c>
      <c r="J9" s="9">
        <f>'Item Database'!J282</f>
        <v>0</v>
      </c>
      <c r="K9" s="9">
        <f>'Item Database'!K282</f>
        <v>0</v>
      </c>
      <c r="L9" s="35">
        <f>'Item Database'!L282</f>
        <v>0</v>
      </c>
      <c r="M9" s="35">
        <f>'Item Database'!M282</f>
        <v>0</v>
      </c>
      <c r="N9" s="9">
        <f>'Item Database'!N282</f>
        <v>0</v>
      </c>
      <c r="O9" s="9">
        <f>'Item Database'!O282</f>
        <v>0</v>
      </c>
      <c r="P9" s="9">
        <f>'Item Database'!P282</f>
        <v>0</v>
      </c>
      <c r="Q9" s="9">
        <f>'Item Database'!Q282</f>
        <v>0</v>
      </c>
      <c r="R9" s="9">
        <f>'Item Database'!R282</f>
        <v>0</v>
      </c>
      <c r="S9" s="9">
        <f>'Item Database'!S282</f>
        <v>0</v>
      </c>
      <c r="T9" s="53" t="str">
        <f>HYPERLINK('Item Database'!T282)</f>
        <v>https://classic.wowhead.com/item=19339</v>
      </c>
      <c r="U9" s="9">
        <f>IF(C9&lt;&gt;0,C9-Gear!$C$14,0)</f>
        <v>0</v>
      </c>
    </row>
    <row r="10" spans="1:21" x14ac:dyDescent="0.25">
      <c r="A10" s="9">
        <f>'Item Database'!A289</f>
        <v>19950</v>
      </c>
      <c r="B10" s="9" t="str">
        <f>'Item Database'!B289</f>
        <v>Zandalarian Hero Charm</v>
      </c>
      <c r="C10" s="12">
        <f>'Item Database'!C289</f>
        <v>0</v>
      </c>
      <c r="D10" s="9" t="str">
        <f>'Item Database'!D289</f>
        <v>Trinket</v>
      </c>
      <c r="E10" s="9">
        <f>'Item Database'!E289</f>
        <v>0</v>
      </c>
      <c r="F10" s="9">
        <f>'Item Database'!F289</f>
        <v>0</v>
      </c>
      <c r="G10" s="9">
        <f>'Item Database'!G289</f>
        <v>0</v>
      </c>
      <c r="H10" s="9">
        <f>'Item Database'!H289</f>
        <v>0</v>
      </c>
      <c r="I10" s="9">
        <f>'Item Database'!I289</f>
        <v>0</v>
      </c>
      <c r="J10" s="9">
        <f>'Item Database'!J289</f>
        <v>0</v>
      </c>
      <c r="K10" s="9">
        <f>'Item Database'!K289</f>
        <v>0</v>
      </c>
      <c r="L10" s="35">
        <f>'Item Database'!L289</f>
        <v>0</v>
      </c>
      <c r="M10" s="35">
        <f>'Item Database'!M289</f>
        <v>0</v>
      </c>
      <c r="N10" s="9">
        <f>'Item Database'!N289</f>
        <v>0</v>
      </c>
      <c r="O10" s="9">
        <f>'Item Database'!O289</f>
        <v>0</v>
      </c>
      <c r="P10" s="9">
        <f>'Item Database'!P289</f>
        <v>0</v>
      </c>
      <c r="Q10" s="9">
        <f>'Item Database'!Q289</f>
        <v>0</v>
      </c>
      <c r="R10" s="9">
        <f>'Item Database'!R289</f>
        <v>0</v>
      </c>
      <c r="S10" s="9">
        <f>'Item Database'!S289</f>
        <v>0</v>
      </c>
      <c r="T10" s="53" t="str">
        <f>HYPERLINK('Item Database'!T289)</f>
        <v>https://classic.wowhead.com/item=19950</v>
      </c>
      <c r="U10" s="9">
        <f>IF(C10&lt;&gt;0,C10-Gear!$C$14,0)</f>
        <v>0</v>
      </c>
    </row>
    <row r="11" spans="1:21" x14ac:dyDescent="0.25">
      <c r="U11" s="9">
        <f>IF(C11&lt;&gt;0,C11-Gear!$C$14,0)</f>
        <v>0</v>
      </c>
    </row>
    <row r="12" spans="1:21" x14ac:dyDescent="0.25">
      <c r="U12" s="9">
        <f>IF(C12&lt;&gt;0,C12-Gear!$C$14,0)</f>
        <v>0</v>
      </c>
    </row>
    <row r="13" spans="1:21" x14ac:dyDescent="0.25">
      <c r="U13" s="9">
        <f>IF(C13&lt;&gt;0,C13-Gear!$C$14,0)</f>
        <v>0</v>
      </c>
    </row>
    <row r="14" spans="1:21" x14ac:dyDescent="0.25">
      <c r="U14" s="9">
        <f>IF(C14&lt;&gt;0,C14-Gear!$C$14,0)</f>
        <v>0</v>
      </c>
    </row>
    <row r="15" spans="1:21" x14ac:dyDescent="0.25">
      <c r="U15" s="9">
        <f>IF(C15&lt;&gt;0,C15-Gear!$C$14,0)</f>
        <v>0</v>
      </c>
    </row>
    <row r="16" spans="1:21" x14ac:dyDescent="0.25">
      <c r="U16" s="9">
        <f>IF(C16&lt;&gt;0,C16-Gear!$C$14,0)</f>
        <v>0</v>
      </c>
    </row>
    <row r="17" spans="20:21" x14ac:dyDescent="0.25">
      <c r="U17" s="9">
        <f>IF(C17&lt;&gt;0,C17-Gear!$C$14,0)</f>
        <v>0</v>
      </c>
    </row>
    <row r="18" spans="20:21" x14ac:dyDescent="0.25">
      <c r="U18" s="9">
        <f>IF(C18&lt;&gt;0,C18-Gear!$C$14,0)</f>
        <v>0</v>
      </c>
    </row>
    <row r="19" spans="20:21" x14ac:dyDescent="0.25">
      <c r="U19" s="9">
        <f>IF(C19&lt;&gt;0,C19-Gear!$C$14,0)</f>
        <v>0</v>
      </c>
    </row>
    <row r="20" spans="20:21" x14ac:dyDescent="0.25">
      <c r="U20" s="9">
        <f>IF(C20&lt;&gt;0,C20-Gear!$C$14,0)</f>
        <v>0</v>
      </c>
    </row>
    <row r="21" spans="20:21" x14ac:dyDescent="0.25">
      <c r="T21" s="9">
        <f>IF(C21&lt;&gt;0,C21-Gear!$C$14,0)</f>
        <v>0</v>
      </c>
      <c r="U21" s="9">
        <f>IF(C21&lt;&gt;0,C21-Gear!$C$14,0)</f>
        <v>0</v>
      </c>
    </row>
    <row r="22" spans="20:21" x14ac:dyDescent="0.25">
      <c r="T22" s="9">
        <f>IF(C22&lt;&gt;0,C22-Gear!$C$14,0)</f>
        <v>0</v>
      </c>
      <c r="U22" s="9">
        <f>IF(C22&lt;&gt;0,C22-Gear!$C$14,0)</f>
        <v>0</v>
      </c>
    </row>
    <row r="23" spans="20:21" x14ac:dyDescent="0.25">
      <c r="T23" s="9">
        <f>IF(C23&lt;&gt;0,C23-Gear!$C$14,0)</f>
        <v>0</v>
      </c>
      <c r="U23" s="9">
        <f>IF(C23&lt;&gt;0,C23-Gear!$C$14,0)</f>
        <v>0</v>
      </c>
    </row>
    <row r="24" spans="20:21" x14ac:dyDescent="0.25">
      <c r="T24" s="9">
        <f>IF(C24&lt;&gt;0,C24-Gear!$C$14,0)</f>
        <v>0</v>
      </c>
      <c r="U24" s="9">
        <f>IF(C24&lt;&gt;0,C24-Gear!$C$14,0)</f>
        <v>0</v>
      </c>
    </row>
    <row r="25" spans="20:21" x14ac:dyDescent="0.25">
      <c r="T25" s="9">
        <f>IF(C25&lt;&gt;0,C25-Gear!$C$14,0)</f>
        <v>0</v>
      </c>
      <c r="U25" s="9">
        <f>IF(C25&lt;&gt;0,C25-Gear!$C$14,0)</f>
        <v>0</v>
      </c>
    </row>
    <row r="26" spans="20:21" x14ac:dyDescent="0.25">
      <c r="T26" s="9">
        <f>IF(C26&lt;&gt;0,C26-Gear!$C$14,0)</f>
        <v>0</v>
      </c>
      <c r="U26" s="9">
        <f>IF(C26&lt;&gt;0,C26-Gear!$C$14,0)</f>
        <v>0</v>
      </c>
    </row>
    <row r="27" spans="20:21" x14ac:dyDescent="0.25">
      <c r="T27" s="9">
        <f>IF(C27&lt;&gt;0,C27-Gear!$C$14,0)</f>
        <v>0</v>
      </c>
      <c r="U27" s="9">
        <f>IF(C27&lt;&gt;0,C27-Gear!$C$14,0)</f>
        <v>0</v>
      </c>
    </row>
    <row r="28" spans="20:21" x14ac:dyDescent="0.25">
      <c r="T28" s="9">
        <f>IF(C28&lt;&gt;0,C28-Gear!$C$14,0)</f>
        <v>0</v>
      </c>
      <c r="U28" s="9">
        <f>IF(C28&lt;&gt;0,C28-Gear!$C$14,0)</f>
        <v>0</v>
      </c>
    </row>
    <row r="29" spans="20:21" x14ac:dyDescent="0.25">
      <c r="T29" s="9">
        <f>IF(C29&lt;&gt;0,C29-Gear!$C$14,0)</f>
        <v>0</v>
      </c>
      <c r="U29" s="9">
        <f>IF(C29&lt;&gt;0,C29-Gear!$C$14,0)</f>
        <v>0</v>
      </c>
    </row>
    <row r="30" spans="20:21" x14ac:dyDescent="0.25">
      <c r="T30" s="9">
        <f>IF(C30&lt;&gt;0,C30-Gear!$C$14,0)</f>
        <v>0</v>
      </c>
      <c r="U30" s="9">
        <f>IF(C30&lt;&gt;0,C30-Gear!$C$14,0)</f>
        <v>0</v>
      </c>
    </row>
    <row r="31" spans="20:21" x14ac:dyDescent="0.25">
      <c r="T31" s="9">
        <f>IF(C31&lt;&gt;0,C31-Gear!$C$14,0)</f>
        <v>0</v>
      </c>
      <c r="U31" s="9">
        <f>IF(C31&lt;&gt;0,C31-Gear!$C$14,0)</f>
        <v>0</v>
      </c>
    </row>
    <row r="32" spans="20:21" x14ac:dyDescent="0.25">
      <c r="T32" s="9">
        <f>IF(C32&lt;&gt;0,C32-Gear!$C$14,0)</f>
        <v>0</v>
      </c>
      <c r="U32" s="9">
        <f>IF(C32&lt;&gt;0,C32-Gear!$C$14,0)</f>
        <v>0</v>
      </c>
    </row>
    <row r="33" spans="20:21" x14ac:dyDescent="0.25">
      <c r="T33" s="9">
        <f>IF(C33&lt;&gt;0,C33-Gear!$C$14,0)</f>
        <v>0</v>
      </c>
      <c r="U33" s="9">
        <f>IF(C33&lt;&gt;0,C33-Gear!$C$14,0)</f>
        <v>0</v>
      </c>
    </row>
    <row r="34" spans="20:21" x14ac:dyDescent="0.25">
      <c r="T34" s="9">
        <f>IF(C34&lt;&gt;0,C34-Gear!$C$14,0)</f>
        <v>0</v>
      </c>
      <c r="U34" s="9">
        <f>IF(C34&lt;&gt;0,C34-Gear!$C$14,0)</f>
        <v>0</v>
      </c>
    </row>
    <row r="35" spans="20:21" x14ac:dyDescent="0.25">
      <c r="T35" s="9">
        <f>IF(C35&lt;&gt;0,C35-Gear!$C$14,0)</f>
        <v>0</v>
      </c>
      <c r="U35" s="9">
        <f>IF(C35&lt;&gt;0,C35-Gear!$C$14,0)</f>
        <v>0</v>
      </c>
    </row>
    <row r="36" spans="20:21" x14ac:dyDescent="0.25">
      <c r="T36" s="9">
        <f>IF(C36&lt;&gt;0,C36-Gear!$C$14,0)</f>
        <v>0</v>
      </c>
      <c r="U36" s="9">
        <f>IF(C36&lt;&gt;0,C36-Gear!$C$14,0)</f>
        <v>0</v>
      </c>
    </row>
    <row r="37" spans="20:21" x14ac:dyDescent="0.25">
      <c r="T37" s="9">
        <f>IF(C37&lt;&gt;0,C37-Gear!$C$14,0)</f>
        <v>0</v>
      </c>
      <c r="U37" s="9">
        <f>IF(C37&lt;&gt;0,C37-Gear!$C$14,0)</f>
        <v>0</v>
      </c>
    </row>
    <row r="38" spans="20:21" x14ac:dyDescent="0.25">
      <c r="T38" s="9">
        <f>IF(C38&lt;&gt;0,C38-Gear!$C$14,0)</f>
        <v>0</v>
      </c>
      <c r="U38" s="9">
        <f>IF(C38&lt;&gt;0,C38-Gear!$C$14,0)</f>
        <v>0</v>
      </c>
    </row>
    <row r="39" spans="20:21" x14ac:dyDescent="0.25">
      <c r="T39" s="9">
        <f>IF(C39&lt;&gt;0,C39-Gear!$C$14,0)</f>
        <v>0</v>
      </c>
      <c r="U39" s="9">
        <f>IF(C39&lt;&gt;0,C39-Gear!$C$14,0)</f>
        <v>0</v>
      </c>
    </row>
    <row r="40" spans="20:21" x14ac:dyDescent="0.25">
      <c r="T40" s="9">
        <f>IF(C40&lt;&gt;0,C40-Gear!$C$14,0)</f>
        <v>0</v>
      </c>
      <c r="U40" s="9">
        <f>IF(C40&lt;&gt;0,C40-Gear!$C$14,0)</f>
        <v>0</v>
      </c>
    </row>
    <row r="41" spans="20:21" x14ac:dyDescent="0.25">
      <c r="T41" s="9">
        <f>IF(C41&lt;&gt;0,C41-Gear!$C$14,0)</f>
        <v>0</v>
      </c>
      <c r="U41" s="9">
        <f>IF(C41&lt;&gt;0,C41-Gear!$C$14,0)</f>
        <v>0</v>
      </c>
    </row>
    <row r="42" spans="20:21" x14ac:dyDescent="0.25">
      <c r="T42" s="9">
        <f>IF(C42&lt;&gt;0,C42-Gear!$C$14,0)</f>
        <v>0</v>
      </c>
      <c r="U42" s="9">
        <f>IF(C42&lt;&gt;0,C42-Gear!$C$14,0)</f>
        <v>0</v>
      </c>
    </row>
    <row r="43" spans="20:21" x14ac:dyDescent="0.25">
      <c r="T43" s="9">
        <f>IF(C43&lt;&gt;0,C43-Gear!$C$14,0)</f>
        <v>0</v>
      </c>
      <c r="U43" s="9">
        <f>IF(C43&lt;&gt;0,C43-Gear!$C$14,0)</f>
        <v>0</v>
      </c>
    </row>
    <row r="44" spans="20:21" x14ac:dyDescent="0.25">
      <c r="T44" s="9">
        <f>IF(C44&lt;&gt;0,C44-Gear!$C$14,0)</f>
        <v>0</v>
      </c>
      <c r="U44" s="9">
        <f>IF(C44&lt;&gt;0,C44-Gear!$C$14,0)</f>
        <v>0</v>
      </c>
    </row>
    <row r="45" spans="20:21" x14ac:dyDescent="0.25">
      <c r="T45" s="9">
        <f>IF(C45&lt;&gt;0,C45-Gear!$C$14,0)</f>
        <v>0</v>
      </c>
      <c r="U45" s="9">
        <f>IF(C45&lt;&gt;0,C45-Gear!$C$14,0)</f>
        <v>0</v>
      </c>
    </row>
    <row r="46" spans="20:21" x14ac:dyDescent="0.25">
      <c r="T46" s="9">
        <f>IF(C46&lt;&gt;0,C46-Gear!$C$14,0)</f>
        <v>0</v>
      </c>
      <c r="U46" s="9">
        <f>IF(C46&lt;&gt;0,C46-Gear!$C$14,0)</f>
        <v>0</v>
      </c>
    </row>
    <row r="47" spans="20:21" x14ac:dyDescent="0.25">
      <c r="T47" s="9">
        <f>IF(C47&lt;&gt;0,C47-Gear!$C$14,0)</f>
        <v>0</v>
      </c>
      <c r="U47" s="9">
        <f>IF(C47&lt;&gt;0,C47-Gear!$C$14,0)</f>
        <v>0</v>
      </c>
    </row>
    <row r="48" spans="20:21" x14ac:dyDescent="0.25">
      <c r="T48" s="9">
        <f>IF(C48&lt;&gt;0,C48-Gear!$C$14,0)</f>
        <v>0</v>
      </c>
      <c r="U48" s="9">
        <f>IF(C48&lt;&gt;0,C48-Gear!$C$14,0)</f>
        <v>0</v>
      </c>
    </row>
    <row r="49" spans="20:21" x14ac:dyDescent="0.25">
      <c r="T49" s="9">
        <f>IF(C49&lt;&gt;0,C49-Gear!$C$14,0)</f>
        <v>0</v>
      </c>
      <c r="U49" s="9">
        <f>IF(C49&lt;&gt;0,C49-Gear!$C$14,0)</f>
        <v>0</v>
      </c>
    </row>
    <row r="50" spans="20:21" x14ac:dyDescent="0.25">
      <c r="T50" s="9">
        <f>IF(C50&lt;&gt;0,C50-Gear!$C$14,0)</f>
        <v>0</v>
      </c>
      <c r="U50" s="9">
        <f>IF(C50&lt;&gt;0,C50-Gear!$C$14,0)</f>
        <v>0</v>
      </c>
    </row>
    <row r="51" spans="20:21" x14ac:dyDescent="0.25">
      <c r="T51" s="9">
        <f>IF(C51&lt;&gt;0,C51-Gear!$C$14,0)</f>
        <v>0</v>
      </c>
      <c r="U51" s="9">
        <f>IF(C51&lt;&gt;0,C51-Gear!$C$14,0)</f>
        <v>0</v>
      </c>
    </row>
    <row r="52" spans="20:21" x14ac:dyDescent="0.25">
      <c r="T52" s="9">
        <f>IF(C52&lt;&gt;0,C52-Gear!$C$14,0)</f>
        <v>0</v>
      </c>
      <c r="U52" s="9">
        <f>IF(C52&lt;&gt;0,C52-Gear!$C$14,0)</f>
        <v>0</v>
      </c>
    </row>
    <row r="53" spans="20:21" x14ac:dyDescent="0.25">
      <c r="T53" s="9">
        <f>IF(C53&lt;&gt;0,C53-Gear!$C$14,0)</f>
        <v>0</v>
      </c>
      <c r="U53" s="9">
        <f>IF(C53&lt;&gt;0,C53-Gear!$C$14,0)</f>
        <v>0</v>
      </c>
    </row>
    <row r="54" spans="20:21" x14ac:dyDescent="0.25">
      <c r="T54" s="9">
        <f>IF(C54&lt;&gt;0,C54-Gear!$C$14,0)</f>
        <v>0</v>
      </c>
      <c r="U54" s="9">
        <f>IF(C54&lt;&gt;0,C54-Gear!$C$14,0)</f>
        <v>0</v>
      </c>
    </row>
    <row r="55" spans="20:21" x14ac:dyDescent="0.25">
      <c r="T55" s="9">
        <f>IF(C55&lt;&gt;0,C55-Gear!$C$14,0)</f>
        <v>0</v>
      </c>
      <c r="U55" s="9">
        <f>IF(C55&lt;&gt;0,C55-Gear!$C$14,0)</f>
        <v>0</v>
      </c>
    </row>
    <row r="56" spans="20:21" x14ac:dyDescent="0.25">
      <c r="T56" s="9">
        <f>IF(C56&lt;&gt;0,C56-Gear!$C$14,0)</f>
        <v>0</v>
      </c>
      <c r="U56" s="9">
        <f>IF(C56&lt;&gt;0,C56-Gear!$C$14,0)</f>
        <v>0</v>
      </c>
    </row>
    <row r="57" spans="20:21" x14ac:dyDescent="0.25">
      <c r="T57" s="9">
        <f>IF(C57&lt;&gt;0,C57-Gear!$C$14,0)</f>
        <v>0</v>
      </c>
      <c r="U57" s="9">
        <f>IF(C57&lt;&gt;0,C57-Gear!$C$14,0)</f>
        <v>0</v>
      </c>
    </row>
    <row r="58" spans="20:21" x14ac:dyDescent="0.25">
      <c r="T58" s="9">
        <f>IF(C58&lt;&gt;0,C58-Gear!$C$14,0)</f>
        <v>0</v>
      </c>
      <c r="U58" s="9">
        <f>IF(C58&lt;&gt;0,C58-Gear!$C$14,0)</f>
        <v>0</v>
      </c>
    </row>
    <row r="59" spans="20:21" x14ac:dyDescent="0.25">
      <c r="T59" s="9">
        <f>IF(C59&lt;&gt;0,C59-Gear!$C$14,0)</f>
        <v>0</v>
      </c>
      <c r="U59" s="9">
        <f>IF(C59&lt;&gt;0,C59-Gear!$C$14,0)</f>
        <v>0</v>
      </c>
    </row>
    <row r="60" spans="20:21" x14ac:dyDescent="0.25">
      <c r="T60" s="9">
        <f>IF(C60&lt;&gt;0,C60-Gear!$C$14,0)</f>
        <v>0</v>
      </c>
      <c r="U60" s="9">
        <f>IF(C60&lt;&gt;0,C60-Gear!$C$14,0)</f>
        <v>0</v>
      </c>
    </row>
    <row r="61" spans="20:21" x14ac:dyDescent="0.25">
      <c r="T61" s="9">
        <f>IF(C61&lt;&gt;0,C61-Gear!$C$14,0)</f>
        <v>0</v>
      </c>
      <c r="U61" s="9">
        <f>IF(C61&lt;&gt;0,C61-Gear!$C$14,0)</f>
        <v>0</v>
      </c>
    </row>
    <row r="62" spans="20:21" x14ac:dyDescent="0.25">
      <c r="T62" s="9">
        <f>IF(C62&lt;&gt;0,C62-Gear!$C$14,0)</f>
        <v>0</v>
      </c>
      <c r="U62" s="9">
        <f>IF(C62&lt;&gt;0,C62-Gear!$C$14,0)</f>
        <v>0</v>
      </c>
    </row>
    <row r="63" spans="20:21" x14ac:dyDescent="0.25">
      <c r="T63" s="9">
        <f>IF(C63&lt;&gt;0,C63-Gear!$C$14,0)</f>
        <v>0</v>
      </c>
      <c r="U63" s="9">
        <f>IF(C63&lt;&gt;0,C63-Gear!$C$14,0)</f>
        <v>0</v>
      </c>
    </row>
    <row r="64" spans="20:21" x14ac:dyDescent="0.25">
      <c r="T64" s="9">
        <f>IF(C64&lt;&gt;0,C64-Gear!$C$14,0)</f>
        <v>0</v>
      </c>
      <c r="U64" s="9">
        <f>IF(C64&lt;&gt;0,C64-Gear!$C$14,0)</f>
        <v>0</v>
      </c>
    </row>
    <row r="65" spans="20:21" x14ac:dyDescent="0.25">
      <c r="T65" s="9">
        <f>IF(C65&lt;&gt;0,C65-Gear!$C$14,0)</f>
        <v>0</v>
      </c>
      <c r="U65" s="9">
        <f>IF(C65&lt;&gt;0,C65-Gear!$C$14,0)</f>
        <v>0</v>
      </c>
    </row>
    <row r="66" spans="20:21" x14ac:dyDescent="0.25">
      <c r="T66" s="9">
        <f>IF(C66&lt;&gt;0,C66-Gear!$C$14,0)</f>
        <v>0</v>
      </c>
      <c r="U66" s="9">
        <f>IF(C66&lt;&gt;0,C66-Gear!$C$14,0)</f>
        <v>0</v>
      </c>
    </row>
    <row r="67" spans="20:21" x14ac:dyDescent="0.25">
      <c r="T67" s="9">
        <f>IF(C67&lt;&gt;0,C67-Gear!$C$14,0)</f>
        <v>0</v>
      </c>
      <c r="U67" s="9">
        <f>IF(C67&lt;&gt;0,C67-Gear!$C$14,0)</f>
        <v>0</v>
      </c>
    </row>
    <row r="68" spans="20:21" x14ac:dyDescent="0.25">
      <c r="T68" s="9">
        <f>IF(C68&lt;&gt;0,C68-Gear!$C$14,0)</f>
        <v>0</v>
      </c>
      <c r="U68" s="9">
        <f>IF(C68&lt;&gt;0,C68-Gear!$C$14,0)</f>
        <v>0</v>
      </c>
    </row>
    <row r="69" spans="20:21" x14ac:dyDescent="0.25">
      <c r="T69" s="9">
        <f>IF(C69&lt;&gt;0,C69-Gear!$C$14,0)</f>
        <v>0</v>
      </c>
      <c r="U69" s="9">
        <f>IF(C69&lt;&gt;0,C69-Gear!$C$14,0)</f>
        <v>0</v>
      </c>
    </row>
    <row r="70" spans="20:21" x14ac:dyDescent="0.25">
      <c r="T70" s="9">
        <f>IF(C70&lt;&gt;0,C70-Gear!$C$14,0)</f>
        <v>0</v>
      </c>
      <c r="U70" s="9">
        <f>IF(C70&lt;&gt;0,C70-Gear!$C$14,0)</f>
        <v>0</v>
      </c>
    </row>
    <row r="71" spans="20:21" x14ac:dyDescent="0.25">
      <c r="T71" s="9">
        <f>IF(C71&lt;&gt;0,C71-Gear!$C$14,0)</f>
        <v>0</v>
      </c>
      <c r="U71" s="9">
        <f>IF(C71&lt;&gt;0,C71-Gear!$C$14,0)</f>
        <v>0</v>
      </c>
    </row>
    <row r="72" spans="20:21" x14ac:dyDescent="0.25">
      <c r="T72" s="9">
        <f>IF(C72&lt;&gt;0,C72-Gear!$C$14,0)</f>
        <v>0</v>
      </c>
      <c r="U72" s="9">
        <f>IF(C72&lt;&gt;0,C72-Gear!$C$14,0)</f>
        <v>0</v>
      </c>
    </row>
    <row r="73" spans="20:21" x14ac:dyDescent="0.25">
      <c r="T73" s="9">
        <f>IF(C73&lt;&gt;0,C73-Gear!$C$14,0)</f>
        <v>0</v>
      </c>
      <c r="U73" s="9">
        <f>IF(C73&lt;&gt;0,C73-Gear!$C$14,0)</f>
        <v>0</v>
      </c>
    </row>
    <row r="74" spans="20:21" x14ac:dyDescent="0.25">
      <c r="T74" s="9">
        <f>IF(C74&lt;&gt;0,C74-Gear!$C$14,0)</f>
        <v>0</v>
      </c>
      <c r="U74" s="9">
        <f>IF(C74&lt;&gt;0,C74-Gear!$C$14,0)</f>
        <v>0</v>
      </c>
    </row>
    <row r="75" spans="20:21" x14ac:dyDescent="0.25">
      <c r="T75" s="9">
        <f>IF(C75&lt;&gt;0,C75-Gear!$C$14,0)</f>
        <v>0</v>
      </c>
      <c r="U75" s="9">
        <f>IF(C75&lt;&gt;0,C75-Gear!$C$14,0)</f>
        <v>0</v>
      </c>
    </row>
    <row r="76" spans="20:21" x14ac:dyDescent="0.25">
      <c r="T76" s="9">
        <f>IF(C76&lt;&gt;0,C76-Gear!$C$14,0)</f>
        <v>0</v>
      </c>
      <c r="U76" s="9">
        <f>IF(C76&lt;&gt;0,C76-Gear!$C$14,0)</f>
        <v>0</v>
      </c>
    </row>
    <row r="77" spans="20:21" x14ac:dyDescent="0.25">
      <c r="T77" s="9">
        <f>IF(C77&lt;&gt;0,C77-Gear!$C$14,0)</f>
        <v>0</v>
      </c>
      <c r="U77" s="9">
        <f>IF(C77&lt;&gt;0,C77-Gear!$C$14,0)</f>
        <v>0</v>
      </c>
    </row>
    <row r="78" spans="20:21" x14ac:dyDescent="0.25">
      <c r="T78" s="9">
        <f>IF(C78&lt;&gt;0,C78-Gear!$C$14,0)</f>
        <v>0</v>
      </c>
      <c r="U78" s="9">
        <f>IF(C78&lt;&gt;0,C78-Gear!$C$14,0)</f>
        <v>0</v>
      </c>
    </row>
    <row r="79" spans="20:21" x14ac:dyDescent="0.25">
      <c r="T79" s="9">
        <f>IF(C79&lt;&gt;0,C79-Gear!$C$14,0)</f>
        <v>0</v>
      </c>
      <c r="U79" s="9">
        <f>IF(C79&lt;&gt;0,C79-Gear!$C$14,0)</f>
        <v>0</v>
      </c>
    </row>
    <row r="80" spans="20:21" x14ac:dyDescent="0.25">
      <c r="T80" s="9">
        <f>IF(C80&lt;&gt;0,C80-Gear!$C$14,0)</f>
        <v>0</v>
      </c>
      <c r="U80" s="9">
        <f>IF(C80&lt;&gt;0,C80-Gear!$C$14,0)</f>
        <v>0</v>
      </c>
    </row>
    <row r="81" spans="20:21" x14ac:dyDescent="0.25">
      <c r="T81" s="9">
        <f>IF(C81&lt;&gt;0,C81-Gear!$C$14,0)</f>
        <v>0</v>
      </c>
      <c r="U81" s="9">
        <f>IF(C81&lt;&gt;0,C81-Gear!$C$14,0)</f>
        <v>0</v>
      </c>
    </row>
    <row r="82" spans="20:21" x14ac:dyDescent="0.25">
      <c r="T82" s="9">
        <f>IF(C82&lt;&gt;0,C82-Gear!$C$14,0)</f>
        <v>0</v>
      </c>
      <c r="U82" s="9">
        <f>IF(C82&lt;&gt;0,C82-Gear!$C$14,0)</f>
        <v>0</v>
      </c>
    </row>
    <row r="83" spans="20:21" x14ac:dyDescent="0.25">
      <c r="T83" s="9">
        <f>IF(C83&lt;&gt;0,C83-Gear!$C$14,0)</f>
        <v>0</v>
      </c>
      <c r="U83" s="9">
        <f>IF(C83&lt;&gt;0,C83-Gear!$C$14,0)</f>
        <v>0</v>
      </c>
    </row>
    <row r="84" spans="20:21" x14ac:dyDescent="0.25">
      <c r="T84" s="9">
        <f>IF(C84&lt;&gt;0,C84-Gear!$C$14,0)</f>
        <v>0</v>
      </c>
      <c r="U84" s="9">
        <f>IF(C84&lt;&gt;0,C84-Gear!$C$14,0)</f>
        <v>0</v>
      </c>
    </row>
    <row r="85" spans="20:21" x14ac:dyDescent="0.25">
      <c r="T85" s="9">
        <f>IF(C85&lt;&gt;0,C85-Gear!$C$14,0)</f>
        <v>0</v>
      </c>
      <c r="U85" s="9">
        <f>IF(C85&lt;&gt;0,C85-Gear!$C$14,0)</f>
        <v>0</v>
      </c>
    </row>
    <row r="86" spans="20:21" x14ac:dyDescent="0.25">
      <c r="T86" s="9">
        <f>IF(C86&lt;&gt;0,C86-Gear!$C$14,0)</f>
        <v>0</v>
      </c>
      <c r="U86" s="9">
        <f>IF(C86&lt;&gt;0,C86-Gear!$C$14,0)</f>
        <v>0</v>
      </c>
    </row>
    <row r="87" spans="20:21" x14ac:dyDescent="0.25">
      <c r="T87" s="9">
        <f>IF(C87&lt;&gt;0,C87-Gear!$C$14,0)</f>
        <v>0</v>
      </c>
      <c r="U87" s="9">
        <f>IF(C87&lt;&gt;0,C87-Gear!$C$14,0)</f>
        <v>0</v>
      </c>
    </row>
    <row r="88" spans="20:21" x14ac:dyDescent="0.25">
      <c r="T88" s="9">
        <f>IF(C88&lt;&gt;0,C88-Gear!$C$14,0)</f>
        <v>0</v>
      </c>
      <c r="U88" s="9">
        <f>IF(C88&lt;&gt;0,C88-Gear!$C$14,0)</f>
        <v>0</v>
      </c>
    </row>
    <row r="89" spans="20:21" x14ac:dyDescent="0.25">
      <c r="T89" s="9">
        <f>IF(C89&lt;&gt;0,C89-Gear!$C$14,0)</f>
        <v>0</v>
      </c>
      <c r="U89" s="9">
        <f>IF(C89&lt;&gt;0,C89-Gear!$C$14,0)</f>
        <v>0</v>
      </c>
    </row>
    <row r="90" spans="20:21" x14ac:dyDescent="0.25">
      <c r="T90" s="9">
        <f>IF(C90&lt;&gt;0,C90-Gear!$C$14,0)</f>
        <v>0</v>
      </c>
      <c r="U90" s="9">
        <f>IF(C90&lt;&gt;0,C90-Gear!$C$14,0)</f>
        <v>0</v>
      </c>
    </row>
    <row r="91" spans="20:21" x14ac:dyDescent="0.25">
      <c r="T91" s="9">
        <f>IF(C91&lt;&gt;0,C91-Gear!$C$14,0)</f>
        <v>0</v>
      </c>
      <c r="U91" s="9">
        <f>IF(C91&lt;&gt;0,C91-Gear!$C$14,0)</f>
        <v>0</v>
      </c>
    </row>
    <row r="92" spans="20:21" x14ac:dyDescent="0.25">
      <c r="T92" s="9">
        <f>IF(C92&lt;&gt;0,C92-Gear!$C$14,0)</f>
        <v>0</v>
      </c>
      <c r="U92" s="9">
        <f>IF(C92&lt;&gt;0,C92-Gear!$C$14,0)</f>
        <v>0</v>
      </c>
    </row>
    <row r="93" spans="20:21" x14ac:dyDescent="0.25">
      <c r="T93" s="9">
        <f>IF(C93&lt;&gt;0,C93-Gear!$C$14,0)</f>
        <v>0</v>
      </c>
      <c r="U93" s="9">
        <f>IF(C93&lt;&gt;0,C93-Gear!$C$14,0)</f>
        <v>0</v>
      </c>
    </row>
    <row r="94" spans="20:21" x14ac:dyDescent="0.25">
      <c r="T94" s="9">
        <f>IF(C94&lt;&gt;0,C94-Gear!$C$14,0)</f>
        <v>0</v>
      </c>
      <c r="U94" s="9">
        <f>IF(C94&lt;&gt;0,C94-Gear!$C$14,0)</f>
        <v>0</v>
      </c>
    </row>
    <row r="95" spans="20:21" x14ac:dyDescent="0.25">
      <c r="T95" s="9">
        <f>IF(C95&lt;&gt;0,C95-Gear!$C$14,0)</f>
        <v>0</v>
      </c>
      <c r="U95" s="9">
        <f>IF(C95&lt;&gt;0,C95-Gear!$C$14,0)</f>
        <v>0</v>
      </c>
    </row>
    <row r="96" spans="20:21" x14ac:dyDescent="0.25">
      <c r="T96" s="9">
        <f>IF(C96&lt;&gt;0,C96-Gear!$C$14,0)</f>
        <v>0</v>
      </c>
      <c r="U96" s="9">
        <f>IF(C96&lt;&gt;0,C96-Gear!$C$14,0)</f>
        <v>0</v>
      </c>
    </row>
    <row r="97" spans="20:21" x14ac:dyDescent="0.25">
      <c r="T97" s="9">
        <f>IF(C97&lt;&gt;0,C97-Gear!$C$14,0)</f>
        <v>0</v>
      </c>
      <c r="U97" s="9">
        <f>IF(C97&lt;&gt;0,C97-Gear!$C$14,0)</f>
        <v>0</v>
      </c>
    </row>
    <row r="98" spans="20:21" x14ac:dyDescent="0.25">
      <c r="T98" s="9">
        <f>IF(C98&lt;&gt;0,C98-Gear!$C$14,0)</f>
        <v>0</v>
      </c>
      <c r="U98" s="9">
        <f>IF(C98&lt;&gt;0,C98-Gear!$C$14,0)</f>
        <v>0</v>
      </c>
    </row>
    <row r="99" spans="20:21" x14ac:dyDescent="0.25">
      <c r="T99" s="9">
        <f>IF(C99&lt;&gt;0,C99-Gear!$C$14,0)</f>
        <v>0</v>
      </c>
      <c r="U99" s="9">
        <f>IF(C99&lt;&gt;0,C99-Gear!$C$14,0)</f>
        <v>0</v>
      </c>
    </row>
    <row r="100" spans="20:21" x14ac:dyDescent="0.25">
      <c r="T100" s="9">
        <f>IF(C100&lt;&gt;0,C100-Gear!$C$14,0)</f>
        <v>0</v>
      </c>
      <c r="U100" s="9">
        <f>IF(C100&lt;&gt;0,C100-Gear!$C$14,0)</f>
        <v>0</v>
      </c>
    </row>
    <row r="101" spans="20:21" x14ac:dyDescent="0.25">
      <c r="T101" s="9">
        <f>IF(C101&lt;&gt;0,C101-Gear!$C$14,0)</f>
        <v>0</v>
      </c>
      <c r="U101" s="9">
        <f>IF(C101&lt;&gt;0,C101-Gear!$C$14,0)</f>
        <v>0</v>
      </c>
    </row>
    <row r="102" spans="20:21" x14ac:dyDescent="0.25">
      <c r="T102" s="9">
        <f>IF(C102&lt;&gt;0,C102-Gear!$C$14,0)</f>
        <v>0</v>
      </c>
      <c r="U102" s="9">
        <f>IF(C102&lt;&gt;0,C102-Gear!$C$14,0)</f>
        <v>0</v>
      </c>
    </row>
    <row r="103" spans="20:21" x14ac:dyDescent="0.25">
      <c r="T103" s="9">
        <f>IF(C103&lt;&gt;0,C103-Gear!$C$14,0)</f>
        <v>0</v>
      </c>
      <c r="U103" s="9">
        <f>IF(C103&lt;&gt;0,C103-Gear!$C$14,0)</f>
        <v>0</v>
      </c>
    </row>
    <row r="104" spans="20:21" x14ac:dyDescent="0.25">
      <c r="T104" s="9">
        <f>IF(C104&lt;&gt;0,C104-Gear!$C$14,0)</f>
        <v>0</v>
      </c>
      <c r="U104" s="9">
        <f>IF(C104&lt;&gt;0,C104-Gear!$C$14,0)</f>
        <v>0</v>
      </c>
    </row>
    <row r="105" spans="20:21" x14ac:dyDescent="0.25">
      <c r="T105" s="9">
        <f>IF(C105&lt;&gt;0,C105-Gear!$C$14,0)</f>
        <v>0</v>
      </c>
      <c r="U105" s="9">
        <f>IF(C105&lt;&gt;0,C105-Gear!$C$14,0)</f>
        <v>0</v>
      </c>
    </row>
    <row r="106" spans="20:21" x14ac:dyDescent="0.25">
      <c r="T106" s="9">
        <f>IF(C106&lt;&gt;0,C106-Gear!$C$14,0)</f>
        <v>0</v>
      </c>
      <c r="U106" s="9">
        <f>IF(C106&lt;&gt;0,C106-Gear!$C$14,0)</f>
        <v>0</v>
      </c>
    </row>
    <row r="107" spans="20:21" x14ac:dyDescent="0.25">
      <c r="T107" s="9">
        <f>IF(C107&lt;&gt;0,C107-Gear!$C$14,0)</f>
        <v>0</v>
      </c>
      <c r="U107" s="9">
        <f>IF(C107&lt;&gt;0,C107-Gear!$C$14,0)</f>
        <v>0</v>
      </c>
    </row>
    <row r="108" spans="20:21" x14ac:dyDescent="0.25">
      <c r="T108" s="9">
        <f>IF(C108&lt;&gt;0,C108-Gear!$C$14,0)</f>
        <v>0</v>
      </c>
      <c r="U108" s="9">
        <f>IF(C108&lt;&gt;0,C108-Gear!$C$14,0)</f>
        <v>0</v>
      </c>
    </row>
    <row r="109" spans="20:21" x14ac:dyDescent="0.25">
      <c r="T109" s="9">
        <f>IF(C109&lt;&gt;0,C109-Gear!$C$14,0)</f>
        <v>0</v>
      </c>
      <c r="U109" s="9">
        <f>IF(C109&lt;&gt;0,C109-Gear!$C$14,0)</f>
        <v>0</v>
      </c>
    </row>
    <row r="110" spans="20:21" x14ac:dyDescent="0.25">
      <c r="T110" s="9">
        <f>IF(C110&lt;&gt;0,C110-Gear!$C$14,0)</f>
        <v>0</v>
      </c>
      <c r="U110" s="9">
        <f>IF(C110&lt;&gt;0,C110-Gear!$C$14,0)</f>
        <v>0</v>
      </c>
    </row>
    <row r="111" spans="20:21" x14ac:dyDescent="0.25">
      <c r="T111" s="9">
        <f>IF(C111&lt;&gt;0,C111-Gear!$C$14,0)</f>
        <v>0</v>
      </c>
      <c r="U111" s="9">
        <f>IF(C111&lt;&gt;0,C111-Gear!$C$14,0)</f>
        <v>0</v>
      </c>
    </row>
    <row r="112" spans="20:21" x14ac:dyDescent="0.25">
      <c r="T112" s="9">
        <f>IF(C112&lt;&gt;0,C112-Gear!$C$14,0)</f>
        <v>0</v>
      </c>
      <c r="U112" s="9">
        <f>IF(C112&lt;&gt;0,C112-Gear!$C$14,0)</f>
        <v>0</v>
      </c>
    </row>
    <row r="113" spans="20:21" x14ac:dyDescent="0.25">
      <c r="T113" s="9">
        <f>IF(C113&lt;&gt;0,C113-Gear!$C$14,0)</f>
        <v>0</v>
      </c>
      <c r="U113" s="9">
        <f>IF(C113&lt;&gt;0,C113-Gear!$C$14,0)</f>
        <v>0</v>
      </c>
    </row>
    <row r="114" spans="20:21" x14ac:dyDescent="0.25">
      <c r="T114" s="9">
        <f>IF(C114&lt;&gt;0,C114-Gear!$C$14,0)</f>
        <v>0</v>
      </c>
      <c r="U114" s="9">
        <f>IF(C114&lt;&gt;0,C114-Gear!$C$14,0)</f>
        <v>0</v>
      </c>
    </row>
    <row r="115" spans="20:21" x14ac:dyDescent="0.25">
      <c r="T115" s="9">
        <f>IF(C115&lt;&gt;0,C115-Gear!$C$14,0)</f>
        <v>0</v>
      </c>
      <c r="U115" s="9">
        <f>IF(C115&lt;&gt;0,C115-Gear!$C$14,0)</f>
        <v>0</v>
      </c>
    </row>
    <row r="116" spans="20:21" x14ac:dyDescent="0.25">
      <c r="T116" s="9">
        <f>IF(C116&lt;&gt;0,C116-Gear!$C$14,0)</f>
        <v>0</v>
      </c>
      <c r="U116" s="9">
        <f>IF(C116&lt;&gt;0,C116-Gear!$C$14,0)</f>
        <v>0</v>
      </c>
    </row>
    <row r="117" spans="20:21" x14ac:dyDescent="0.25">
      <c r="T117" s="9">
        <f>IF(C117&lt;&gt;0,C117-Gear!$C$14,0)</f>
        <v>0</v>
      </c>
      <c r="U117" s="9">
        <f>IF(C117&lt;&gt;0,C117-Gear!$C$14,0)</f>
        <v>0</v>
      </c>
    </row>
    <row r="118" spans="20:21" x14ac:dyDescent="0.25">
      <c r="T118" s="9">
        <f>IF(C118&lt;&gt;0,C118-Gear!$C$14,0)</f>
        <v>0</v>
      </c>
      <c r="U118" s="9">
        <f>IF(C118&lt;&gt;0,C118-Gear!$C$14,0)</f>
        <v>0</v>
      </c>
    </row>
    <row r="119" spans="20:21" x14ac:dyDescent="0.25">
      <c r="T119" s="9">
        <f>IF(C119&lt;&gt;0,C119-Gear!$C$14,0)</f>
        <v>0</v>
      </c>
      <c r="U119" s="9">
        <f>IF(C119&lt;&gt;0,C119-Gear!$C$14,0)</f>
        <v>0</v>
      </c>
    </row>
    <row r="120" spans="20:21" x14ac:dyDescent="0.25">
      <c r="T120" s="9">
        <f>IF(C120&lt;&gt;0,C120-Gear!$C$14,0)</f>
        <v>0</v>
      </c>
      <c r="U120" s="9">
        <f>IF(C120&lt;&gt;0,C120-Gear!$C$14,0)</f>
        <v>0</v>
      </c>
    </row>
    <row r="121" spans="20:21" x14ac:dyDescent="0.25">
      <c r="T121" s="9">
        <f>IF(C121&lt;&gt;0,C121-Gear!$C$14,0)</f>
        <v>0</v>
      </c>
      <c r="U121" s="9">
        <f>IF(C121&lt;&gt;0,C121-Gear!$C$14,0)</f>
        <v>0</v>
      </c>
    </row>
    <row r="122" spans="20:21" x14ac:dyDescent="0.25">
      <c r="T122" s="9">
        <f>IF(C122&lt;&gt;0,C122-Gear!$C$14,0)</f>
        <v>0</v>
      </c>
      <c r="U122" s="9">
        <f>IF(C122&lt;&gt;0,C122-Gear!$C$14,0)</f>
        <v>0</v>
      </c>
    </row>
    <row r="123" spans="20:21" x14ac:dyDescent="0.25">
      <c r="T123" s="9">
        <f>IF(C123&lt;&gt;0,C123-Gear!$C$14,0)</f>
        <v>0</v>
      </c>
      <c r="U123" s="9">
        <f>IF(C123&lt;&gt;0,C123-Gear!$C$14,0)</f>
        <v>0</v>
      </c>
    </row>
    <row r="124" spans="20:21" x14ac:dyDescent="0.25">
      <c r="T124" s="9">
        <f>IF(C124&lt;&gt;0,C124-Gear!$C$14,0)</f>
        <v>0</v>
      </c>
      <c r="U124" s="9">
        <f>IF(C124&lt;&gt;0,C124-Gear!$C$14,0)</f>
        <v>0</v>
      </c>
    </row>
    <row r="125" spans="20:21" x14ac:dyDescent="0.25">
      <c r="T125" s="9">
        <f>IF(C125&lt;&gt;0,C125-Gear!$C$14,0)</f>
        <v>0</v>
      </c>
      <c r="U125" s="9">
        <f>IF(C125&lt;&gt;0,C125-Gear!$C$14,0)</f>
        <v>0</v>
      </c>
    </row>
    <row r="126" spans="20:21" x14ac:dyDescent="0.25">
      <c r="T126" s="9">
        <f>IF(C126&lt;&gt;0,C126-Gear!$C$14,0)</f>
        <v>0</v>
      </c>
      <c r="U126" s="9">
        <f>IF(C126&lt;&gt;0,C126-Gear!$C$14,0)</f>
        <v>0</v>
      </c>
    </row>
    <row r="127" spans="20:21" x14ac:dyDescent="0.25">
      <c r="T127" s="9">
        <f>IF(C127&lt;&gt;0,C127-Gear!$C$14,0)</f>
        <v>0</v>
      </c>
      <c r="U127" s="9">
        <f>IF(C127&lt;&gt;0,C127-Gear!$C$14,0)</f>
        <v>0</v>
      </c>
    </row>
    <row r="128" spans="20:21" x14ac:dyDescent="0.25">
      <c r="T128" s="9">
        <f>IF(C128&lt;&gt;0,C128-Gear!$C$14,0)</f>
        <v>0</v>
      </c>
      <c r="U128" s="9">
        <f>IF(C128&lt;&gt;0,C128-Gear!$C$14,0)</f>
        <v>0</v>
      </c>
    </row>
    <row r="129" spans="20:21" x14ac:dyDescent="0.25">
      <c r="T129" s="9">
        <f>IF(C129&lt;&gt;0,C129-Gear!$C$14,0)</f>
        <v>0</v>
      </c>
      <c r="U129" s="9">
        <f>IF(C129&lt;&gt;0,C129-Gear!$C$14,0)</f>
        <v>0</v>
      </c>
    </row>
    <row r="130" spans="20:21" x14ac:dyDescent="0.25">
      <c r="T130" s="9">
        <f>IF(C130&lt;&gt;0,C130-Gear!$C$14,0)</f>
        <v>0</v>
      </c>
      <c r="U130" s="9">
        <f>IF(C130&lt;&gt;0,C130-Gear!$C$14,0)</f>
        <v>0</v>
      </c>
    </row>
    <row r="131" spans="20:21" x14ac:dyDescent="0.25">
      <c r="T131" s="9">
        <f>IF(C131&lt;&gt;0,C131-Gear!$C$14,0)</f>
        <v>0</v>
      </c>
      <c r="U131" s="9">
        <f>IF(C131&lt;&gt;0,C131-Gear!$C$14,0)</f>
        <v>0</v>
      </c>
    </row>
    <row r="132" spans="20:21" x14ac:dyDescent="0.25">
      <c r="T132" s="9">
        <f>IF(C132&lt;&gt;0,C132-Gear!$C$14,0)</f>
        <v>0</v>
      </c>
      <c r="U132" s="9">
        <f>IF(C132&lt;&gt;0,C132-Gear!$C$14,0)</f>
        <v>0</v>
      </c>
    </row>
    <row r="133" spans="20:21" x14ac:dyDescent="0.25">
      <c r="T133" s="9">
        <f>IF(C133&lt;&gt;0,C133-Gear!$C$14,0)</f>
        <v>0</v>
      </c>
      <c r="U133" s="9">
        <f>IF(C133&lt;&gt;0,C133-Gear!$C$14,0)</f>
        <v>0</v>
      </c>
    </row>
    <row r="134" spans="20:21" x14ac:dyDescent="0.25">
      <c r="T134" s="9">
        <f>IF(C134&lt;&gt;0,C134-Gear!$C$14,0)</f>
        <v>0</v>
      </c>
      <c r="U134" s="9">
        <f>IF(C134&lt;&gt;0,C134-Gear!$C$14,0)</f>
        <v>0</v>
      </c>
    </row>
    <row r="135" spans="20:21" x14ac:dyDescent="0.25">
      <c r="T135" s="9">
        <f>IF(C135&lt;&gt;0,C135-Gear!$C$14,0)</f>
        <v>0</v>
      </c>
      <c r="U135" s="9">
        <f>IF(C135&lt;&gt;0,C135-Gear!$C$14,0)</f>
        <v>0</v>
      </c>
    </row>
    <row r="136" spans="20:21" x14ac:dyDescent="0.25">
      <c r="T136" s="9">
        <f>IF(C136&lt;&gt;0,C136-Gear!$C$14,0)</f>
        <v>0</v>
      </c>
      <c r="U136" s="9">
        <f>IF(C136&lt;&gt;0,C136-Gear!$C$14,0)</f>
        <v>0</v>
      </c>
    </row>
    <row r="137" spans="20:21" x14ac:dyDescent="0.25">
      <c r="T137" s="9">
        <f>IF(C137&lt;&gt;0,C137-Gear!$C$14,0)</f>
        <v>0</v>
      </c>
      <c r="U137" s="9">
        <f>IF(C137&lt;&gt;0,C137-Gear!$C$14,0)</f>
        <v>0</v>
      </c>
    </row>
    <row r="138" spans="20:21" x14ac:dyDescent="0.25">
      <c r="T138" s="9">
        <f>IF(C138&lt;&gt;0,C138-Gear!$C$14,0)</f>
        <v>0</v>
      </c>
      <c r="U138" s="9">
        <f>IF(C138&lt;&gt;0,C138-Gear!$C$14,0)</f>
        <v>0</v>
      </c>
    </row>
    <row r="139" spans="20:21" x14ac:dyDescent="0.25">
      <c r="T139" s="9">
        <f>IF(C139&lt;&gt;0,C139-Gear!$C$14,0)</f>
        <v>0</v>
      </c>
      <c r="U139" s="9">
        <f>IF(C139&lt;&gt;0,C139-Gear!$C$14,0)</f>
        <v>0</v>
      </c>
    </row>
    <row r="140" spans="20:21" x14ac:dyDescent="0.25">
      <c r="T140" s="9">
        <f>IF(C140&lt;&gt;0,C140-Gear!$C$14,0)</f>
        <v>0</v>
      </c>
      <c r="U140" s="9">
        <f>IF(C140&lt;&gt;0,C140-Gear!$C$14,0)</f>
        <v>0</v>
      </c>
    </row>
    <row r="141" spans="20:21" x14ac:dyDescent="0.25">
      <c r="T141" s="9">
        <f>IF(C141&lt;&gt;0,C141-Gear!$C$14,0)</f>
        <v>0</v>
      </c>
      <c r="U141" s="9">
        <f>IF(C141&lt;&gt;0,C141-Gear!$C$14,0)</f>
        <v>0</v>
      </c>
    </row>
    <row r="142" spans="20:21" x14ac:dyDescent="0.25">
      <c r="T142" s="9">
        <f>IF(C142&lt;&gt;0,C142-Gear!$C$14,0)</f>
        <v>0</v>
      </c>
      <c r="U142" s="9">
        <f>IF(C142&lt;&gt;0,C142-Gear!$C$14,0)</f>
        <v>0</v>
      </c>
    </row>
    <row r="143" spans="20:21" x14ac:dyDescent="0.25">
      <c r="T143" s="9">
        <f>IF(C143&lt;&gt;0,C143-Gear!$C$14,0)</f>
        <v>0</v>
      </c>
      <c r="U143" s="9">
        <f>IF(C143&lt;&gt;0,C143-Gear!$C$14,0)</f>
        <v>0</v>
      </c>
    </row>
    <row r="144" spans="20:21" x14ac:dyDescent="0.25">
      <c r="T144" s="9">
        <f>IF(C144&lt;&gt;0,C144-Gear!$C$14,0)</f>
        <v>0</v>
      </c>
      <c r="U144" s="9">
        <f>IF(C144&lt;&gt;0,C144-Gear!$C$14,0)</f>
        <v>0</v>
      </c>
    </row>
    <row r="145" spans="20:21" x14ac:dyDescent="0.25">
      <c r="T145" s="9">
        <f>IF(C145&lt;&gt;0,C145-Gear!$C$14,0)</f>
        <v>0</v>
      </c>
      <c r="U145" s="9">
        <f>IF(C145&lt;&gt;0,C145-Gear!$C$14,0)</f>
        <v>0</v>
      </c>
    </row>
    <row r="146" spans="20:21" x14ac:dyDescent="0.25">
      <c r="T146" s="9">
        <f>IF(C146&lt;&gt;0,C146-Gear!$C$14,0)</f>
        <v>0</v>
      </c>
      <c r="U146" s="9">
        <f>IF(C146&lt;&gt;0,C146-Gear!$C$14,0)</f>
        <v>0</v>
      </c>
    </row>
    <row r="147" spans="20:21" x14ac:dyDescent="0.25">
      <c r="T147" s="9">
        <f>IF(C147&lt;&gt;0,C147-Gear!$C$14,0)</f>
        <v>0</v>
      </c>
      <c r="U147" s="9">
        <f>IF(C147&lt;&gt;0,C147-Gear!$C$14,0)</f>
        <v>0</v>
      </c>
    </row>
    <row r="148" spans="20:21" x14ac:dyDescent="0.25">
      <c r="T148" s="9">
        <f>IF(C148&lt;&gt;0,C148-Gear!$C$14,0)</f>
        <v>0</v>
      </c>
      <c r="U148" s="9">
        <f>IF(C148&lt;&gt;0,C148-Gear!$C$14,0)</f>
        <v>0</v>
      </c>
    </row>
    <row r="149" spans="20:21" x14ac:dyDescent="0.25">
      <c r="T149" s="9">
        <f>IF(C149&lt;&gt;0,C149-Gear!$C$14,0)</f>
        <v>0</v>
      </c>
      <c r="U149" s="9">
        <f>IF(C149&lt;&gt;0,C149-Gear!$C$14,0)</f>
        <v>0</v>
      </c>
    </row>
    <row r="150" spans="20:21" x14ac:dyDescent="0.25">
      <c r="T150" s="9">
        <f>IF(C150&lt;&gt;0,C150-Gear!$C$14,0)</f>
        <v>0</v>
      </c>
      <c r="U150" s="9">
        <f>IF(C150&lt;&gt;0,C150-Gear!$C$14,0)</f>
        <v>0</v>
      </c>
    </row>
    <row r="151" spans="20:21" x14ac:dyDescent="0.25">
      <c r="T151" s="9">
        <f>IF(C151&lt;&gt;0,C151-Gear!$C$14,0)</f>
        <v>0</v>
      </c>
      <c r="U151" s="9">
        <f>IF(C151&lt;&gt;0,C151-Gear!$C$14,0)</f>
        <v>0</v>
      </c>
    </row>
    <row r="152" spans="20:21" x14ac:dyDescent="0.25">
      <c r="T152" s="9">
        <f>IF(C152&lt;&gt;0,C152-Gear!$C$14,0)</f>
        <v>0</v>
      </c>
      <c r="U152" s="9">
        <f>IF(C152&lt;&gt;0,C152-Gear!$C$14,0)</f>
        <v>0</v>
      </c>
    </row>
    <row r="153" spans="20:21" x14ac:dyDescent="0.25">
      <c r="T153" s="9">
        <f>IF(C153&lt;&gt;0,C153-Gear!$C$14,0)</f>
        <v>0</v>
      </c>
      <c r="U153" s="9">
        <f>IF(C153&lt;&gt;0,C153-Gear!$C$14,0)</f>
        <v>0</v>
      </c>
    </row>
    <row r="154" spans="20:21" x14ac:dyDescent="0.25">
      <c r="T154" s="9">
        <f>IF(C154&lt;&gt;0,C154-Gear!$C$14,0)</f>
        <v>0</v>
      </c>
      <c r="U154" s="9">
        <f>IF(C154&lt;&gt;0,C154-Gear!$C$14,0)</f>
        <v>0</v>
      </c>
    </row>
    <row r="155" spans="20:21" x14ac:dyDescent="0.25">
      <c r="T155" s="9">
        <f>IF(C155&lt;&gt;0,C155-Gear!$C$14,0)</f>
        <v>0</v>
      </c>
      <c r="U155" s="9">
        <f>IF(C155&lt;&gt;0,C155-Gear!$C$14,0)</f>
        <v>0</v>
      </c>
    </row>
    <row r="156" spans="20:21" x14ac:dyDescent="0.25">
      <c r="T156" s="9">
        <f>IF(C156&lt;&gt;0,C156-Gear!$C$14,0)</f>
        <v>0</v>
      </c>
      <c r="U156" s="9">
        <f>IF(C156&lt;&gt;0,C156-Gear!$C$14,0)</f>
        <v>0</v>
      </c>
    </row>
    <row r="157" spans="20:21" x14ac:dyDescent="0.25">
      <c r="T157" s="9">
        <f>IF(C157&lt;&gt;0,C157-Gear!$C$14,0)</f>
        <v>0</v>
      </c>
      <c r="U157" s="9">
        <f>IF(C157&lt;&gt;0,C157-Gear!$C$14,0)</f>
        <v>0</v>
      </c>
    </row>
    <row r="158" spans="20:21" x14ac:dyDescent="0.25">
      <c r="T158" s="9">
        <f>IF(C158&lt;&gt;0,C158-Gear!$C$14,0)</f>
        <v>0</v>
      </c>
      <c r="U158" s="9">
        <f>IF(C158&lt;&gt;0,C158-Gear!$C$14,0)</f>
        <v>0</v>
      </c>
    </row>
    <row r="159" spans="20:21" x14ac:dyDescent="0.25">
      <c r="T159" s="9">
        <f>IF(C159&lt;&gt;0,C159-Gear!$C$14,0)</f>
        <v>0</v>
      </c>
      <c r="U159" s="9">
        <f>IF(C159&lt;&gt;0,C159-Gear!$C$14,0)</f>
        <v>0</v>
      </c>
    </row>
    <row r="160" spans="20:21" x14ac:dyDescent="0.25">
      <c r="T160" s="9">
        <f>IF(C160&lt;&gt;0,C160-Gear!$C$14,0)</f>
        <v>0</v>
      </c>
      <c r="U160" s="9">
        <f>IF(C160&lt;&gt;0,C160-Gear!$C$14,0)</f>
        <v>0</v>
      </c>
    </row>
    <row r="161" spans="20:21" x14ac:dyDescent="0.25">
      <c r="T161" s="9">
        <f>IF(C161&lt;&gt;0,C161-Gear!$C$14,0)</f>
        <v>0</v>
      </c>
      <c r="U161" s="9">
        <f>IF(C161&lt;&gt;0,C161-Gear!$C$14,0)</f>
        <v>0</v>
      </c>
    </row>
    <row r="162" spans="20:21" x14ac:dyDescent="0.25">
      <c r="T162" s="9">
        <f>IF(C162&lt;&gt;0,C162-Gear!$C$14,0)</f>
        <v>0</v>
      </c>
      <c r="U162" s="9">
        <f>IF(C162&lt;&gt;0,C162-Gear!$C$14,0)</f>
        <v>0</v>
      </c>
    </row>
    <row r="163" spans="20:21" x14ac:dyDescent="0.25">
      <c r="T163" s="9">
        <f>IF(C163&lt;&gt;0,C163-Gear!$C$14,0)</f>
        <v>0</v>
      </c>
      <c r="U163" s="9">
        <f>IF(C163&lt;&gt;0,C163-Gear!$C$14,0)</f>
        <v>0</v>
      </c>
    </row>
    <row r="164" spans="20:21" x14ac:dyDescent="0.25">
      <c r="T164" s="9">
        <f>IF(C164&lt;&gt;0,C164-Gear!$C$14,0)</f>
        <v>0</v>
      </c>
      <c r="U164" s="9">
        <f>IF(C164&lt;&gt;0,C164-Gear!$C$14,0)</f>
        <v>0</v>
      </c>
    </row>
    <row r="165" spans="20:21" x14ac:dyDescent="0.25">
      <c r="T165" s="9">
        <f>IF(C165&lt;&gt;0,C165-Gear!$C$14,0)</f>
        <v>0</v>
      </c>
      <c r="U165" s="9">
        <f>IF(C165&lt;&gt;0,C165-Gear!$C$14,0)</f>
        <v>0</v>
      </c>
    </row>
    <row r="166" spans="20:21" x14ac:dyDescent="0.25">
      <c r="T166" s="9">
        <f>IF(C166&lt;&gt;0,C166-Gear!$C$14,0)</f>
        <v>0</v>
      </c>
      <c r="U166" s="9">
        <f>IF(C166&lt;&gt;0,C166-Gear!$C$14,0)</f>
        <v>0</v>
      </c>
    </row>
    <row r="167" spans="20:21" x14ac:dyDescent="0.25">
      <c r="T167" s="9">
        <f>IF(C167&lt;&gt;0,C167-Gear!$C$14,0)</f>
        <v>0</v>
      </c>
      <c r="U167" s="9">
        <f>IF(C167&lt;&gt;0,C167-Gear!$C$14,0)</f>
        <v>0</v>
      </c>
    </row>
    <row r="168" spans="20:21" x14ac:dyDescent="0.25">
      <c r="T168" s="9">
        <f>IF(C168&lt;&gt;0,C168-Gear!$C$14,0)</f>
        <v>0</v>
      </c>
      <c r="U168" s="9">
        <f>IF(C168&lt;&gt;0,C168-Gear!$C$14,0)</f>
        <v>0</v>
      </c>
    </row>
    <row r="169" spans="20:21" x14ac:dyDescent="0.25">
      <c r="T169" s="9">
        <f>IF(C169&lt;&gt;0,C169-Gear!$C$14,0)</f>
        <v>0</v>
      </c>
      <c r="U169" s="9">
        <f>IF(C169&lt;&gt;0,C169-Gear!$C$14,0)</f>
        <v>0</v>
      </c>
    </row>
    <row r="170" spans="20:21" x14ac:dyDescent="0.25">
      <c r="T170" s="9">
        <f>IF(C170&lt;&gt;0,C170-Gear!$C$14,0)</f>
        <v>0</v>
      </c>
      <c r="U170" s="9">
        <f>IF(C170&lt;&gt;0,C170-Gear!$C$14,0)</f>
        <v>0</v>
      </c>
    </row>
    <row r="171" spans="20:21" x14ac:dyDescent="0.25">
      <c r="T171" s="9">
        <f>IF(C171&lt;&gt;0,C171-Gear!$C$14,0)</f>
        <v>0</v>
      </c>
      <c r="U171" s="9">
        <f>IF(C171&lt;&gt;0,C171-Gear!$C$14,0)</f>
        <v>0</v>
      </c>
    </row>
    <row r="172" spans="20:21" x14ac:dyDescent="0.25">
      <c r="T172" s="9">
        <f>IF(C172&lt;&gt;0,C172-Gear!$C$14,0)</f>
        <v>0</v>
      </c>
      <c r="U172" s="9">
        <f>IF(C172&lt;&gt;0,C172-Gear!$C$14,0)</f>
        <v>0</v>
      </c>
    </row>
    <row r="173" spans="20:21" x14ac:dyDescent="0.25">
      <c r="T173" s="9">
        <f>IF(C173&lt;&gt;0,C173-Gear!$C$14,0)</f>
        <v>0</v>
      </c>
      <c r="U173" s="9">
        <f>IF(C173&lt;&gt;0,C173-Gear!$C$14,0)</f>
        <v>0</v>
      </c>
    </row>
    <row r="174" spans="20:21" x14ac:dyDescent="0.25">
      <c r="T174" s="9">
        <f>IF(C174&lt;&gt;0,C174-Gear!$C$14,0)</f>
        <v>0</v>
      </c>
      <c r="U174" s="9">
        <f>IF(C174&lt;&gt;0,C174-Gear!$C$14,0)</f>
        <v>0</v>
      </c>
    </row>
    <row r="175" spans="20:21" x14ac:dyDescent="0.25">
      <c r="T175" s="9">
        <f>IF(C175&lt;&gt;0,C175-Gear!$C$14,0)</f>
        <v>0</v>
      </c>
      <c r="U175" s="9">
        <f>IF(C175&lt;&gt;0,C175-Gear!$C$14,0)</f>
        <v>0</v>
      </c>
    </row>
    <row r="176" spans="20:21" x14ac:dyDescent="0.25">
      <c r="T176" s="9">
        <f>IF(C176&lt;&gt;0,C176-Gear!$C$14,0)</f>
        <v>0</v>
      </c>
      <c r="U176" s="9">
        <f>IF(C176&lt;&gt;0,C176-Gear!$C$14,0)</f>
        <v>0</v>
      </c>
    </row>
    <row r="177" spans="20:21" x14ac:dyDescent="0.25">
      <c r="T177" s="9">
        <f>IF(C177&lt;&gt;0,C177-Gear!$C$14,0)</f>
        <v>0</v>
      </c>
      <c r="U177" s="9">
        <f>IF(C177&lt;&gt;0,C177-Gear!$C$14,0)</f>
        <v>0</v>
      </c>
    </row>
    <row r="178" spans="20:21" x14ac:dyDescent="0.25">
      <c r="T178" s="9">
        <f>IF(C178&lt;&gt;0,C178-Gear!$C$14,0)</f>
        <v>0</v>
      </c>
      <c r="U178" s="9">
        <f>IF(C178&lt;&gt;0,C178-Gear!$C$14,0)</f>
        <v>0</v>
      </c>
    </row>
    <row r="179" spans="20:21" x14ac:dyDescent="0.25">
      <c r="T179" s="9">
        <f>IF(C179&lt;&gt;0,C179-Gear!$C$14,0)</f>
        <v>0</v>
      </c>
      <c r="U179" s="9">
        <f>IF(C179&lt;&gt;0,C179-Gear!$C$14,0)</f>
        <v>0</v>
      </c>
    </row>
    <row r="180" spans="20:21" x14ac:dyDescent="0.25">
      <c r="T180" s="9">
        <f>IF(C180&lt;&gt;0,C180-Gear!$C$14,0)</f>
        <v>0</v>
      </c>
      <c r="U180" s="9">
        <f>IF(C180&lt;&gt;0,C180-Gear!$C$14,0)</f>
        <v>0</v>
      </c>
    </row>
    <row r="181" spans="20:21" x14ac:dyDescent="0.25">
      <c r="T181" s="9">
        <f>IF(C181&lt;&gt;0,C181-Gear!$C$14,0)</f>
        <v>0</v>
      </c>
      <c r="U181" s="9">
        <f>IF(C181&lt;&gt;0,C181-Gear!$C$14,0)</f>
        <v>0</v>
      </c>
    </row>
    <row r="182" spans="20:21" x14ac:dyDescent="0.25">
      <c r="T182" s="9">
        <f>IF(C182&lt;&gt;0,C182-Gear!$C$14,0)</f>
        <v>0</v>
      </c>
      <c r="U182" s="9">
        <f>IF(C182&lt;&gt;0,C182-Gear!$C$14,0)</f>
        <v>0</v>
      </c>
    </row>
    <row r="183" spans="20:21" x14ac:dyDescent="0.25">
      <c r="T183" s="9">
        <f>IF(C183&lt;&gt;0,C183-Gear!$C$14,0)</f>
        <v>0</v>
      </c>
      <c r="U183" s="9">
        <f>IF(C183&lt;&gt;0,C183-Gear!$C$14,0)</f>
        <v>0</v>
      </c>
    </row>
    <row r="184" spans="20:21" x14ac:dyDescent="0.25">
      <c r="T184" s="9">
        <f>IF(C184&lt;&gt;0,C184-Gear!$C$14,0)</f>
        <v>0</v>
      </c>
      <c r="U184" s="9">
        <f>IF(C184&lt;&gt;0,C184-Gear!$C$14,0)</f>
        <v>0</v>
      </c>
    </row>
    <row r="185" spans="20:21" x14ac:dyDescent="0.25">
      <c r="T185" s="9">
        <f>IF(C185&lt;&gt;0,C185-Gear!$C$14,0)</f>
        <v>0</v>
      </c>
      <c r="U185" s="9">
        <f>IF(C185&lt;&gt;0,C185-Gear!$C$14,0)</f>
        <v>0</v>
      </c>
    </row>
    <row r="186" spans="20:21" x14ac:dyDescent="0.25">
      <c r="T186" s="9">
        <f>IF(C186&lt;&gt;0,C186-Gear!$C$14,0)</f>
        <v>0</v>
      </c>
      <c r="U186" s="9">
        <f>IF(C186&lt;&gt;0,C186-Gear!$C$14,0)</f>
        <v>0</v>
      </c>
    </row>
    <row r="187" spans="20:21" x14ac:dyDescent="0.25">
      <c r="T187" s="9">
        <f>IF(C187&lt;&gt;0,C187-Gear!$C$14,0)</f>
        <v>0</v>
      </c>
      <c r="U187" s="9">
        <f>IF(C187&lt;&gt;0,C187-Gear!$C$14,0)</f>
        <v>0</v>
      </c>
    </row>
    <row r="188" spans="20:21" x14ac:dyDescent="0.25">
      <c r="T188" s="9">
        <f>IF(C188&lt;&gt;0,C188-Gear!$C$14,0)</f>
        <v>0</v>
      </c>
      <c r="U188" s="9">
        <f>IF(C188&lt;&gt;0,C188-Gear!$C$14,0)</f>
        <v>0</v>
      </c>
    </row>
    <row r="189" spans="20:21" x14ac:dyDescent="0.25">
      <c r="T189" s="9">
        <f>IF(C189&lt;&gt;0,C189-Gear!$C$14,0)</f>
        <v>0</v>
      </c>
      <c r="U189" s="9">
        <f>IF(C189&lt;&gt;0,C189-Gear!$C$14,0)</f>
        <v>0</v>
      </c>
    </row>
    <row r="190" spans="20:21" x14ac:dyDescent="0.25">
      <c r="T190" s="9">
        <f>IF(C190&lt;&gt;0,C190-Gear!$C$14,0)</f>
        <v>0</v>
      </c>
      <c r="U190" s="9">
        <f>IF(C190&lt;&gt;0,C190-Gear!$C$14,0)</f>
        <v>0</v>
      </c>
    </row>
    <row r="191" spans="20:21" x14ac:dyDescent="0.25">
      <c r="T191" s="9">
        <f>IF(C191&lt;&gt;0,C191-Gear!$C$14,0)</f>
        <v>0</v>
      </c>
      <c r="U191" s="9">
        <f>IF(C191&lt;&gt;0,C191-Gear!$C$14,0)</f>
        <v>0</v>
      </c>
    </row>
    <row r="192" spans="20:21" x14ac:dyDescent="0.25">
      <c r="T192" s="9">
        <f>IF(C192&lt;&gt;0,C192-Gear!$C$14,0)</f>
        <v>0</v>
      </c>
      <c r="U192" s="9">
        <f>IF(C192&lt;&gt;0,C192-Gear!$C$14,0)</f>
        <v>0</v>
      </c>
    </row>
    <row r="193" spans="20:21" x14ac:dyDescent="0.25">
      <c r="T193" s="9">
        <f>IF(C193&lt;&gt;0,C193-Gear!$C$14,0)</f>
        <v>0</v>
      </c>
      <c r="U193" s="9">
        <f>IF(C193&lt;&gt;0,C193-Gear!$C$14,0)</f>
        <v>0</v>
      </c>
    </row>
    <row r="194" spans="20:21" x14ac:dyDescent="0.25">
      <c r="T194" s="9">
        <f>IF(C194&lt;&gt;0,C194-Gear!$C$14,0)</f>
        <v>0</v>
      </c>
      <c r="U194" s="9">
        <f>IF(C194&lt;&gt;0,C194-Gear!$C$14,0)</f>
        <v>0</v>
      </c>
    </row>
    <row r="195" spans="20:21" x14ac:dyDescent="0.25">
      <c r="T195" s="9">
        <f>IF(C195&lt;&gt;0,C195-Gear!$C$14,0)</f>
        <v>0</v>
      </c>
      <c r="U195" s="9">
        <f>IF(C195&lt;&gt;0,C195-Gear!$C$14,0)</f>
        <v>0</v>
      </c>
    </row>
    <row r="196" spans="20:21" x14ac:dyDescent="0.25">
      <c r="T196" s="9">
        <f>IF(C196&lt;&gt;0,C196-Gear!$C$14,0)</f>
        <v>0</v>
      </c>
      <c r="U196" s="9">
        <f>IF(C196&lt;&gt;0,C196-Gear!$C$14,0)</f>
        <v>0</v>
      </c>
    </row>
    <row r="197" spans="20:21" x14ac:dyDescent="0.25">
      <c r="T197" s="9">
        <f>IF(C197&lt;&gt;0,C197-Gear!$C$14,0)</f>
        <v>0</v>
      </c>
      <c r="U197" s="9">
        <f>IF(C197&lt;&gt;0,C197-Gear!$C$14,0)</f>
        <v>0</v>
      </c>
    </row>
    <row r="198" spans="20:21" x14ac:dyDescent="0.25">
      <c r="T198" s="9">
        <f>IF(C198&lt;&gt;0,C198-Gear!$C$14,0)</f>
        <v>0</v>
      </c>
      <c r="U198" s="9">
        <f>IF(C198&lt;&gt;0,C198-Gear!$C$14,0)</f>
        <v>0</v>
      </c>
    </row>
    <row r="199" spans="20:21" x14ac:dyDescent="0.25">
      <c r="T199" s="9">
        <f>IF(C199&lt;&gt;0,C199-Gear!$C$14,0)</f>
        <v>0</v>
      </c>
      <c r="U199" s="9">
        <f>IF(C199&lt;&gt;0,C199-Gear!$C$14,0)</f>
        <v>0</v>
      </c>
    </row>
    <row r="200" spans="20:21" x14ac:dyDescent="0.25">
      <c r="T200" s="9">
        <f>IF(C200&lt;&gt;0,C200-Gear!$C$14,0)</f>
        <v>0</v>
      </c>
      <c r="U200" s="9">
        <f>IF(C200&lt;&gt;0,C200-Gear!$C$14,0)</f>
        <v>0</v>
      </c>
    </row>
    <row r="201" spans="20:21" x14ac:dyDescent="0.25">
      <c r="T201" s="9">
        <f>IF(C201&lt;&gt;0,C201-Gear!$C$14,0)</f>
        <v>0</v>
      </c>
      <c r="U201" s="9">
        <f>IF(C201&lt;&gt;0,C201-Gear!$C$14,0)</f>
        <v>0</v>
      </c>
    </row>
    <row r="202" spans="20:21" x14ac:dyDescent="0.25">
      <c r="T202" s="9">
        <f>IF(C202&lt;&gt;0,C202-Gear!$C$14,0)</f>
        <v>0</v>
      </c>
      <c r="U202" s="9">
        <f>IF(C202&lt;&gt;0,C202-Gear!$C$14,0)</f>
        <v>0</v>
      </c>
    </row>
    <row r="203" spans="20:21" x14ac:dyDescent="0.25">
      <c r="T203" s="9">
        <f>IF(C203&lt;&gt;0,C203-Gear!$C$14,0)</f>
        <v>0</v>
      </c>
      <c r="U203" s="9">
        <f>IF(C203&lt;&gt;0,C203-Gear!$C$14,0)</f>
        <v>0</v>
      </c>
    </row>
    <row r="204" spans="20:21" x14ac:dyDescent="0.25">
      <c r="T204" s="9">
        <f>IF(C204&lt;&gt;0,C204-Gear!$C$14,0)</f>
        <v>0</v>
      </c>
      <c r="U204" s="9">
        <f>IF(C204&lt;&gt;0,C204-Gear!$C$14,0)</f>
        <v>0</v>
      </c>
    </row>
    <row r="205" spans="20:21" x14ac:dyDescent="0.25">
      <c r="T205" s="9">
        <f>IF(C205&lt;&gt;0,C205-Gear!$C$14,0)</f>
        <v>0</v>
      </c>
      <c r="U205" s="9">
        <f>IF(C205&lt;&gt;0,C205-Gear!$C$14,0)</f>
        <v>0</v>
      </c>
    </row>
    <row r="206" spans="20:21" x14ac:dyDescent="0.25">
      <c r="T206" s="9">
        <f>IF(C206&lt;&gt;0,C206-Gear!$C$14,0)</f>
        <v>0</v>
      </c>
      <c r="U206" s="9">
        <f>IF(C206&lt;&gt;0,C206-Gear!$C$14,0)</f>
        <v>0</v>
      </c>
    </row>
    <row r="207" spans="20:21" x14ac:dyDescent="0.25">
      <c r="T207" s="9">
        <f>IF(C207&lt;&gt;0,C207-Gear!$C$14,0)</f>
        <v>0</v>
      </c>
      <c r="U207" s="9">
        <f>IF(C207&lt;&gt;0,C207-Gear!$C$14,0)</f>
        <v>0</v>
      </c>
    </row>
    <row r="208" spans="20:21" x14ac:dyDescent="0.25">
      <c r="T208" s="9">
        <f>IF(C208&lt;&gt;0,C208-Gear!$C$14,0)</f>
        <v>0</v>
      </c>
      <c r="U208" s="9">
        <f>IF(C208&lt;&gt;0,C208-Gear!$C$14,0)</f>
        <v>0</v>
      </c>
    </row>
    <row r="209" spans="20:21" x14ac:dyDescent="0.25">
      <c r="T209" s="9">
        <f>IF(C209&lt;&gt;0,C209-Gear!$C$14,0)</f>
        <v>0</v>
      </c>
      <c r="U209" s="9">
        <f>IF(C209&lt;&gt;0,C209-Gear!$C$14,0)</f>
        <v>0</v>
      </c>
    </row>
    <row r="210" spans="20:21" x14ac:dyDescent="0.25">
      <c r="T210" s="9">
        <f>IF(C210&lt;&gt;0,C210-Gear!$C$14,0)</f>
        <v>0</v>
      </c>
      <c r="U210" s="9">
        <f>IF(C210&lt;&gt;0,C210-Gear!$C$14,0)</f>
        <v>0</v>
      </c>
    </row>
    <row r="211" spans="20:21" x14ac:dyDescent="0.25">
      <c r="T211" s="9">
        <f>IF(C211&lt;&gt;0,C211-Gear!$C$14,0)</f>
        <v>0</v>
      </c>
      <c r="U211" s="9">
        <f>IF(C211&lt;&gt;0,C211-Gear!$C$14,0)</f>
        <v>0</v>
      </c>
    </row>
    <row r="212" spans="20:21" x14ac:dyDescent="0.25">
      <c r="T212" s="9">
        <f>IF(C212&lt;&gt;0,C212-Gear!$C$14,0)</f>
        <v>0</v>
      </c>
      <c r="U212" s="9">
        <f>IF(C212&lt;&gt;0,C212-Gear!$C$14,0)</f>
        <v>0</v>
      </c>
    </row>
    <row r="213" spans="20:21" x14ac:dyDescent="0.25">
      <c r="T213" s="9">
        <f>IF(C213&lt;&gt;0,C213-Gear!$C$14,0)</f>
        <v>0</v>
      </c>
      <c r="U213" s="9">
        <f>IF(C213&lt;&gt;0,C213-Gear!$C$14,0)</f>
        <v>0</v>
      </c>
    </row>
    <row r="214" spans="20:21" x14ac:dyDescent="0.25">
      <c r="T214" s="9">
        <f>IF(C214&lt;&gt;0,C214-Gear!$C$14,0)</f>
        <v>0</v>
      </c>
      <c r="U214" s="9">
        <f>IF(C214&lt;&gt;0,C214-Gear!$C$14,0)</f>
        <v>0</v>
      </c>
    </row>
    <row r="215" spans="20:21" x14ac:dyDescent="0.25">
      <c r="T215" s="9">
        <f>IF(C215&lt;&gt;0,C215-Gear!$C$14,0)</f>
        <v>0</v>
      </c>
      <c r="U215" s="9">
        <f>IF(C215&lt;&gt;0,C215-Gear!$C$14,0)</f>
        <v>0</v>
      </c>
    </row>
    <row r="216" spans="20:21" x14ac:dyDescent="0.25">
      <c r="T216" s="9">
        <f>IF(C216&lt;&gt;0,C216-Gear!$C$14,0)</f>
        <v>0</v>
      </c>
      <c r="U216" s="9">
        <f>IF(C216&lt;&gt;0,C216-Gear!$C$14,0)</f>
        <v>0</v>
      </c>
    </row>
    <row r="217" spans="20:21" x14ac:dyDescent="0.25">
      <c r="T217" s="9">
        <f>IF(C217&lt;&gt;0,C217-Gear!$C$14,0)</f>
        <v>0</v>
      </c>
      <c r="U217" s="9">
        <f>IF(C217&lt;&gt;0,C217-Gear!$C$14,0)</f>
        <v>0</v>
      </c>
    </row>
    <row r="218" spans="20:21" x14ac:dyDescent="0.25">
      <c r="T218" s="9">
        <f>IF(C218&lt;&gt;0,C218-Gear!$C$14,0)</f>
        <v>0</v>
      </c>
      <c r="U218" s="9">
        <f>IF(C218&lt;&gt;0,C218-Gear!$C$14,0)</f>
        <v>0</v>
      </c>
    </row>
    <row r="219" spans="20:21" x14ac:dyDescent="0.25">
      <c r="T219" s="9">
        <f>IF(C219&lt;&gt;0,C219-Gear!$C$14,0)</f>
        <v>0</v>
      </c>
      <c r="U219" s="9">
        <f>IF(C219&lt;&gt;0,C219-Gear!$C$14,0)</f>
        <v>0</v>
      </c>
    </row>
    <row r="220" spans="20:21" x14ac:dyDescent="0.25">
      <c r="T220" s="9">
        <f>IF(C220&lt;&gt;0,C220-Gear!$C$14,0)</f>
        <v>0</v>
      </c>
      <c r="U220" s="9">
        <f>IF(C220&lt;&gt;0,C220-Gear!$C$14,0)</f>
        <v>0</v>
      </c>
    </row>
    <row r="221" spans="20:21" x14ac:dyDescent="0.25">
      <c r="T221" s="9">
        <f>IF(C221&lt;&gt;0,C221-Gear!$C$14,0)</f>
        <v>0</v>
      </c>
      <c r="U221" s="9">
        <f>IF(C221&lt;&gt;0,C221-Gear!$C$14,0)</f>
        <v>0</v>
      </c>
    </row>
    <row r="222" spans="20:21" x14ac:dyDescent="0.25">
      <c r="T222" s="9">
        <f>IF(C222&lt;&gt;0,C222-Gear!$C$14,0)</f>
        <v>0</v>
      </c>
      <c r="U222" s="9">
        <f>IF(C222&lt;&gt;0,C222-Gear!$C$14,0)</f>
        <v>0</v>
      </c>
    </row>
    <row r="223" spans="20:21" x14ac:dyDescent="0.25">
      <c r="T223" s="9">
        <f>IF(C223&lt;&gt;0,C223-Gear!$C$14,0)</f>
        <v>0</v>
      </c>
      <c r="U223" s="9">
        <f>IF(C223&lt;&gt;0,C223-Gear!$C$14,0)</f>
        <v>0</v>
      </c>
    </row>
    <row r="224" spans="20:21" x14ac:dyDescent="0.25">
      <c r="T224" s="9">
        <f>IF(C224&lt;&gt;0,C224-Gear!$C$14,0)</f>
        <v>0</v>
      </c>
      <c r="U224" s="9">
        <f>IF(C224&lt;&gt;0,C224-Gear!$C$14,0)</f>
        <v>0</v>
      </c>
    </row>
    <row r="225" spans="20:21" x14ac:dyDescent="0.25">
      <c r="T225" s="9">
        <f>IF(C225&lt;&gt;0,C225-Gear!$C$14,0)</f>
        <v>0</v>
      </c>
      <c r="U225" s="9">
        <f>IF(C225&lt;&gt;0,C225-Gear!$C$14,0)</f>
        <v>0</v>
      </c>
    </row>
    <row r="226" spans="20:21" x14ac:dyDescent="0.25">
      <c r="T226" s="9">
        <f>IF(C226&lt;&gt;0,C226-Gear!$C$14,0)</f>
        <v>0</v>
      </c>
      <c r="U226" s="9">
        <f>IF(C226&lt;&gt;0,C226-Gear!$C$14,0)</f>
        <v>0</v>
      </c>
    </row>
    <row r="227" spans="20:21" x14ac:dyDescent="0.25">
      <c r="T227" s="9">
        <f>IF(C227&lt;&gt;0,C227-Gear!$C$14,0)</f>
        <v>0</v>
      </c>
      <c r="U227" s="9">
        <f>IF(C227&lt;&gt;0,C227-Gear!$C$14,0)</f>
        <v>0</v>
      </c>
    </row>
    <row r="228" spans="20:21" x14ac:dyDescent="0.25">
      <c r="T228" s="9">
        <f>IF(C228&lt;&gt;0,C228-Gear!$C$14,0)</f>
        <v>0</v>
      </c>
      <c r="U228" s="9">
        <f>IF(C228&lt;&gt;0,C228-Gear!$C$14,0)</f>
        <v>0</v>
      </c>
    </row>
    <row r="229" spans="20:21" x14ac:dyDescent="0.25">
      <c r="T229" s="9">
        <f>IF(C229&lt;&gt;0,C229-Gear!$C$14,0)</f>
        <v>0</v>
      </c>
      <c r="U229" s="9">
        <f>IF(C229&lt;&gt;0,C229-Gear!$C$14,0)</f>
        <v>0</v>
      </c>
    </row>
    <row r="230" spans="20:21" x14ac:dyDescent="0.25">
      <c r="T230" s="9">
        <f>IF(C230&lt;&gt;0,C230-Gear!$C$14,0)</f>
        <v>0</v>
      </c>
      <c r="U230" s="9">
        <f>IF(C230&lt;&gt;0,C230-Gear!$C$14,0)</f>
        <v>0</v>
      </c>
    </row>
    <row r="231" spans="20:21" x14ac:dyDescent="0.25">
      <c r="T231" s="9">
        <f>IF(C231&lt;&gt;0,C231-Gear!$C$14,0)</f>
        <v>0</v>
      </c>
      <c r="U231" s="9">
        <f>IF(C231&lt;&gt;0,C231-Gear!$C$14,0)</f>
        <v>0</v>
      </c>
    </row>
    <row r="232" spans="20:21" x14ac:dyDescent="0.25">
      <c r="T232" s="9">
        <f>IF(C232&lt;&gt;0,C232-Gear!$C$14,0)</f>
        <v>0</v>
      </c>
      <c r="U232" s="9">
        <f>IF(C232&lt;&gt;0,C232-Gear!$C$14,0)</f>
        <v>0</v>
      </c>
    </row>
    <row r="233" spans="20:21" x14ac:dyDescent="0.25">
      <c r="T233" s="9">
        <f>IF(C233&lt;&gt;0,C233-Gear!$C$14,0)</f>
        <v>0</v>
      </c>
      <c r="U233" s="9">
        <f>IF(C233&lt;&gt;0,C233-Gear!$C$14,0)</f>
        <v>0</v>
      </c>
    </row>
    <row r="234" spans="20:21" x14ac:dyDescent="0.25">
      <c r="T234" s="9">
        <f>IF(C234&lt;&gt;0,C234-Gear!$C$14,0)</f>
        <v>0</v>
      </c>
      <c r="U234" s="9">
        <f>IF(C234&lt;&gt;0,C234-Gear!$C$14,0)</f>
        <v>0</v>
      </c>
    </row>
    <row r="235" spans="20:21" x14ac:dyDescent="0.25">
      <c r="T235" s="9">
        <f>IF(C235&lt;&gt;0,C235-Gear!$C$14,0)</f>
        <v>0</v>
      </c>
      <c r="U235" s="9">
        <f>IF(C235&lt;&gt;0,C235-Gear!$C$14,0)</f>
        <v>0</v>
      </c>
    </row>
    <row r="236" spans="20:21" x14ac:dyDescent="0.25">
      <c r="T236" s="9">
        <f>IF(C236&lt;&gt;0,C236-Gear!$C$14,0)</f>
        <v>0</v>
      </c>
      <c r="U236" s="9">
        <f>IF(C236&lt;&gt;0,C236-Gear!$C$14,0)</f>
        <v>0</v>
      </c>
    </row>
    <row r="237" spans="20:21" x14ac:dyDescent="0.25">
      <c r="T237" s="9">
        <f>IF(C237&lt;&gt;0,C237-Gear!$C$14,0)</f>
        <v>0</v>
      </c>
      <c r="U237" s="9">
        <f>IF(C237&lt;&gt;0,C237-Gear!$C$14,0)</f>
        <v>0</v>
      </c>
    </row>
    <row r="238" spans="20:21" x14ac:dyDescent="0.25">
      <c r="T238" s="9">
        <f>IF(C238&lt;&gt;0,C238-Gear!$C$14,0)</f>
        <v>0</v>
      </c>
      <c r="U238" s="9">
        <f>IF(C238&lt;&gt;0,C238-Gear!$C$14,0)</f>
        <v>0</v>
      </c>
    </row>
    <row r="239" spans="20:21" x14ac:dyDescent="0.25">
      <c r="T239" s="9">
        <f>IF(C239&lt;&gt;0,C239-Gear!$C$14,0)</f>
        <v>0</v>
      </c>
      <c r="U239" s="9">
        <f>IF(C239&lt;&gt;0,C239-Gear!$C$14,0)</f>
        <v>0</v>
      </c>
    </row>
    <row r="240" spans="20:21" x14ac:dyDescent="0.25">
      <c r="T240" s="9">
        <f>IF(C240&lt;&gt;0,C240-Gear!$C$14,0)</f>
        <v>0</v>
      </c>
      <c r="U240" s="9">
        <f>IF(C240&lt;&gt;0,C240-Gear!$C$14,0)</f>
        <v>0</v>
      </c>
    </row>
    <row r="241" spans="20:21" x14ac:dyDescent="0.25">
      <c r="T241" s="9">
        <f>IF(C241&lt;&gt;0,C241-Gear!$C$14,0)</f>
        <v>0</v>
      </c>
      <c r="U241" s="9">
        <f>IF(C241&lt;&gt;0,C241-Gear!$C$14,0)</f>
        <v>0</v>
      </c>
    </row>
    <row r="242" spans="20:21" x14ac:dyDescent="0.25">
      <c r="T242" s="9">
        <f>IF(C242&lt;&gt;0,C242-Gear!$C$14,0)</f>
        <v>0</v>
      </c>
      <c r="U242" s="9">
        <f>IF(C242&lt;&gt;0,C242-Gear!$C$14,0)</f>
        <v>0</v>
      </c>
    </row>
    <row r="243" spans="20:21" x14ac:dyDescent="0.25">
      <c r="T243" s="9">
        <f>IF(C243&lt;&gt;0,C243-Gear!$C$14,0)</f>
        <v>0</v>
      </c>
      <c r="U243" s="9">
        <f>IF(C243&lt;&gt;0,C243-Gear!$C$14,0)</f>
        <v>0</v>
      </c>
    </row>
    <row r="244" spans="20:21" x14ac:dyDescent="0.25">
      <c r="T244" s="9">
        <f>IF(C244&lt;&gt;0,C244-Gear!$C$14,0)</f>
        <v>0</v>
      </c>
      <c r="U244" s="9">
        <f>IF(C244&lt;&gt;0,C244-Gear!$C$14,0)</f>
        <v>0</v>
      </c>
    </row>
    <row r="245" spans="20:21" x14ac:dyDescent="0.25">
      <c r="T245" s="9">
        <f>IF(C245&lt;&gt;0,C245-Gear!$C$14,0)</f>
        <v>0</v>
      </c>
      <c r="U245" s="9">
        <f>IF(C245&lt;&gt;0,C245-Gear!$C$14,0)</f>
        <v>0</v>
      </c>
    </row>
    <row r="246" spans="20:21" x14ac:dyDescent="0.25">
      <c r="T246" s="9">
        <f>IF(C246&lt;&gt;0,C246-Gear!$C$14,0)</f>
        <v>0</v>
      </c>
      <c r="U246" s="9">
        <f>IF(C246&lt;&gt;0,C246-Gear!$C$14,0)</f>
        <v>0</v>
      </c>
    </row>
    <row r="247" spans="20:21" x14ac:dyDescent="0.25">
      <c r="T247" s="9">
        <f>IF(C247&lt;&gt;0,C247-Gear!$C$14,0)</f>
        <v>0</v>
      </c>
      <c r="U247" s="9">
        <f>IF(C247&lt;&gt;0,C247-Gear!$C$14,0)</f>
        <v>0</v>
      </c>
    </row>
    <row r="248" spans="20:21" x14ac:dyDescent="0.25">
      <c r="T248" s="9">
        <f>IF(C248&lt;&gt;0,C248-Gear!$C$14,0)</f>
        <v>0</v>
      </c>
      <c r="U248" s="9">
        <f>IF(C248&lt;&gt;0,C248-Gear!$C$14,0)</f>
        <v>0</v>
      </c>
    </row>
    <row r="249" spans="20:21" x14ac:dyDescent="0.25">
      <c r="T249" s="9">
        <f>IF(C249&lt;&gt;0,C249-Gear!$C$14,0)</f>
        <v>0</v>
      </c>
      <c r="U249" s="9">
        <f>IF(C249&lt;&gt;0,C249-Gear!$C$14,0)</f>
        <v>0</v>
      </c>
    </row>
    <row r="250" spans="20:21" x14ac:dyDescent="0.25">
      <c r="T250" s="9">
        <f>IF(C250&lt;&gt;0,C250-Gear!$C$14,0)</f>
        <v>0</v>
      </c>
      <c r="U250" s="9">
        <f>IF(C250&lt;&gt;0,C250-Gear!$C$14,0)</f>
        <v>0</v>
      </c>
    </row>
    <row r="251" spans="20:21" x14ac:dyDescent="0.25">
      <c r="T251" s="9">
        <f>IF(C251&lt;&gt;0,C251-Gear!$C$14,0)</f>
        <v>0</v>
      </c>
      <c r="U251" s="9">
        <f>IF(C251&lt;&gt;0,C251-Gear!$C$14,0)</f>
        <v>0</v>
      </c>
    </row>
    <row r="252" spans="20:21" x14ac:dyDescent="0.25">
      <c r="T252" s="9">
        <f>IF(C252&lt;&gt;0,C252-Gear!$C$14,0)</f>
        <v>0</v>
      </c>
      <c r="U252" s="9">
        <f>IF(C252&lt;&gt;0,C252-Gear!$C$14,0)</f>
        <v>0</v>
      </c>
    </row>
    <row r="253" spans="20:21" x14ac:dyDescent="0.25">
      <c r="T253" s="9">
        <f>IF(C253&lt;&gt;0,C253-Gear!$C$14,0)</f>
        <v>0</v>
      </c>
      <c r="U253" s="9">
        <f>IF(C253&lt;&gt;0,C253-Gear!$C$14,0)</f>
        <v>0</v>
      </c>
    </row>
    <row r="254" spans="20:21" x14ac:dyDescent="0.25">
      <c r="T254" s="9">
        <f>IF(C254&lt;&gt;0,C254-Gear!$C$14,0)</f>
        <v>0</v>
      </c>
      <c r="U254" s="9">
        <f>IF(C254&lt;&gt;0,C254-Gear!$C$14,0)</f>
        <v>0</v>
      </c>
    </row>
    <row r="255" spans="20:21" x14ac:dyDescent="0.25">
      <c r="T255" s="9">
        <f>IF(C255&lt;&gt;0,C255-Gear!$C$14,0)</f>
        <v>0</v>
      </c>
      <c r="U255" s="9">
        <f>IF(C255&lt;&gt;0,C255-Gear!$C$14,0)</f>
        <v>0</v>
      </c>
    </row>
    <row r="256" spans="20:21" x14ac:dyDescent="0.25">
      <c r="T256" s="9">
        <f>IF(C256&lt;&gt;0,C256-Gear!$C$14,0)</f>
        <v>0</v>
      </c>
      <c r="U256" s="9">
        <f>IF(C256&lt;&gt;0,C256-Gear!$C$14,0)</f>
        <v>0</v>
      </c>
    </row>
    <row r="257" spans="20:21" x14ac:dyDescent="0.25">
      <c r="T257" s="9">
        <f>IF(C257&lt;&gt;0,C257-Gear!$C$14,0)</f>
        <v>0</v>
      </c>
      <c r="U257" s="9">
        <f>IF(C257&lt;&gt;0,C257-Gear!$C$14,0)</f>
        <v>0</v>
      </c>
    </row>
    <row r="258" spans="20:21" x14ac:dyDescent="0.25">
      <c r="T258" s="9">
        <f>IF(C258&lt;&gt;0,C258-Gear!$C$14,0)</f>
        <v>0</v>
      </c>
      <c r="U258" s="9">
        <f>IF(C258&lt;&gt;0,C258-Gear!$C$14,0)</f>
        <v>0</v>
      </c>
    </row>
    <row r="259" spans="20:21" x14ac:dyDescent="0.25">
      <c r="T259" s="9">
        <f>IF(C259&lt;&gt;0,C259-Gear!$C$14,0)</f>
        <v>0</v>
      </c>
      <c r="U259" s="9">
        <f>IF(C259&lt;&gt;0,C259-Gear!$C$14,0)</f>
        <v>0</v>
      </c>
    </row>
    <row r="260" spans="20:21" x14ac:dyDescent="0.25">
      <c r="T260" s="9">
        <f>IF(C260&lt;&gt;0,C260-Gear!$C$14,0)</f>
        <v>0</v>
      </c>
      <c r="U260" s="9">
        <f>IF(C260&lt;&gt;0,C260-Gear!$C$14,0)</f>
        <v>0</v>
      </c>
    </row>
    <row r="261" spans="20:21" x14ac:dyDescent="0.25">
      <c r="T261" s="9">
        <f>IF(C261&lt;&gt;0,C261-Gear!$C$14,0)</f>
        <v>0</v>
      </c>
      <c r="U261" s="9">
        <f>IF(C261&lt;&gt;0,C261-Gear!$C$14,0)</f>
        <v>0</v>
      </c>
    </row>
    <row r="262" spans="20:21" x14ac:dyDescent="0.25">
      <c r="T262" s="9">
        <f>IF(C262&lt;&gt;0,C262-Gear!$C$14,0)</f>
        <v>0</v>
      </c>
      <c r="U262" s="9">
        <f>IF(C262&lt;&gt;0,C262-Gear!$C$14,0)</f>
        <v>0</v>
      </c>
    </row>
    <row r="263" spans="20:21" x14ac:dyDescent="0.25">
      <c r="T263" s="9">
        <f>IF(C263&lt;&gt;0,C263-Gear!$C$14,0)</f>
        <v>0</v>
      </c>
      <c r="U263" s="9">
        <f>IF(C263&lt;&gt;0,C263-Gear!$C$14,0)</f>
        <v>0</v>
      </c>
    </row>
    <row r="264" spans="20:21" x14ac:dyDescent="0.25">
      <c r="T264" s="9">
        <f>IF(C264&lt;&gt;0,C264-Gear!$C$14,0)</f>
        <v>0</v>
      </c>
      <c r="U264" s="9">
        <f>IF(C264&lt;&gt;0,C264-Gear!$C$14,0)</f>
        <v>0</v>
      </c>
    </row>
    <row r="265" spans="20:21" x14ac:dyDescent="0.25">
      <c r="T265" s="9">
        <f>IF(C265&lt;&gt;0,C265-Gear!$C$14,0)</f>
        <v>0</v>
      </c>
      <c r="U265" s="9">
        <f>IF(C265&lt;&gt;0,C265-Gear!$C$14,0)</f>
        <v>0</v>
      </c>
    </row>
    <row r="266" spans="20:21" x14ac:dyDescent="0.25">
      <c r="T266" s="9">
        <f>IF(C266&lt;&gt;0,C266-Gear!$C$14,0)</f>
        <v>0</v>
      </c>
      <c r="U266" s="9">
        <f>IF(C266&lt;&gt;0,C266-Gear!$C$14,0)</f>
        <v>0</v>
      </c>
    </row>
    <row r="267" spans="20:21" x14ac:dyDescent="0.25">
      <c r="T267" s="9">
        <f>IF(C267&lt;&gt;0,C267-Gear!$C$14,0)</f>
        <v>0</v>
      </c>
      <c r="U267" s="9">
        <f>IF(C267&lt;&gt;0,C267-Gear!$C$14,0)</f>
        <v>0</v>
      </c>
    </row>
    <row r="268" spans="20:21" x14ac:dyDescent="0.25">
      <c r="T268" s="9">
        <f>IF(C268&lt;&gt;0,C268-Gear!$C$14,0)</f>
        <v>0</v>
      </c>
      <c r="U268" s="9">
        <f>IF(C268&lt;&gt;0,C268-Gear!$C$14,0)</f>
        <v>0</v>
      </c>
    </row>
    <row r="269" spans="20:21" x14ac:dyDescent="0.25">
      <c r="T269" s="9">
        <f>IF(C269&lt;&gt;0,C269-Gear!$C$14,0)</f>
        <v>0</v>
      </c>
      <c r="U269" s="9">
        <f>IF(C269&lt;&gt;0,C269-Gear!$C$14,0)</f>
        <v>0</v>
      </c>
    </row>
    <row r="270" spans="20:21" x14ac:dyDescent="0.25">
      <c r="T270" s="9">
        <f>IF(C270&lt;&gt;0,C270-Gear!$C$14,0)</f>
        <v>0</v>
      </c>
      <c r="U270" s="9">
        <f>IF(C270&lt;&gt;0,C270-Gear!$C$14,0)</f>
        <v>0</v>
      </c>
    </row>
    <row r="271" spans="20:21" x14ac:dyDescent="0.25">
      <c r="T271" s="9">
        <f>IF(C271&lt;&gt;0,C271-Gear!$C$14,0)</f>
        <v>0</v>
      </c>
      <c r="U271" s="9">
        <f>IF(C271&lt;&gt;0,C271-Gear!$C$14,0)</f>
        <v>0</v>
      </c>
    </row>
    <row r="272" spans="20:21" x14ac:dyDescent="0.25">
      <c r="T272" s="9">
        <f>IF(C272&lt;&gt;0,C272-Gear!$C$14,0)</f>
        <v>0</v>
      </c>
      <c r="U272" s="9">
        <f>IF(C272&lt;&gt;0,C272-Gear!$C$14,0)</f>
        <v>0</v>
      </c>
    </row>
    <row r="273" spans="20:21" x14ac:dyDescent="0.25">
      <c r="T273" s="9">
        <f>IF(C273&lt;&gt;0,C273-Gear!$C$14,0)</f>
        <v>0</v>
      </c>
      <c r="U273" s="9">
        <f>IF(C273&lt;&gt;0,C273-Gear!$C$14,0)</f>
        <v>0</v>
      </c>
    </row>
    <row r="274" spans="20:21" x14ac:dyDescent="0.25">
      <c r="T274" s="9">
        <f>IF(C274&lt;&gt;0,C274-Gear!$C$14,0)</f>
        <v>0</v>
      </c>
      <c r="U274" s="9">
        <f>IF(C274&lt;&gt;0,C274-Gear!$C$14,0)</f>
        <v>0</v>
      </c>
    </row>
    <row r="275" spans="20:21" x14ac:dyDescent="0.25">
      <c r="T275" s="9">
        <f>IF(C275&lt;&gt;0,C275-Gear!$C$14,0)</f>
        <v>0</v>
      </c>
      <c r="U275" s="9">
        <f>IF(C275&lt;&gt;0,C275-Gear!$C$14,0)</f>
        <v>0</v>
      </c>
    </row>
    <row r="276" spans="20:21" x14ac:dyDescent="0.25">
      <c r="T276" s="9">
        <f>IF(C276&lt;&gt;0,C276-Gear!$C$14,0)</f>
        <v>0</v>
      </c>
      <c r="U276" s="9">
        <f>IF(C276&lt;&gt;0,C276-Gear!$C$14,0)</f>
        <v>0</v>
      </c>
    </row>
    <row r="277" spans="20:21" x14ac:dyDescent="0.25">
      <c r="T277" s="9">
        <f>IF(C277&lt;&gt;0,C277-Gear!$C$14,0)</f>
        <v>0</v>
      </c>
      <c r="U277" s="9">
        <f>IF(C277&lt;&gt;0,C277-Gear!$C$14,0)</f>
        <v>0</v>
      </c>
    </row>
    <row r="278" spans="20:21" x14ac:dyDescent="0.25">
      <c r="T278" s="9">
        <f>IF(C278&lt;&gt;0,C278-Gear!$C$14,0)</f>
        <v>0</v>
      </c>
      <c r="U278" s="9">
        <f>IF(C278&lt;&gt;0,C278-Gear!$C$14,0)</f>
        <v>0</v>
      </c>
    </row>
    <row r="279" spans="20:21" x14ac:dyDescent="0.25">
      <c r="T279" s="9">
        <f>IF(C279&lt;&gt;0,C279-Gear!$C$14,0)</f>
        <v>0</v>
      </c>
      <c r="U279" s="9">
        <f>IF(C279&lt;&gt;0,C279-Gear!$C$14,0)</f>
        <v>0</v>
      </c>
    </row>
    <row r="280" spans="20:21" x14ac:dyDescent="0.25">
      <c r="T280" s="9">
        <f>IF(C280&lt;&gt;0,C280-Gear!$C$14,0)</f>
        <v>0</v>
      </c>
      <c r="U280" s="9">
        <f>IF(C280&lt;&gt;0,C280-Gear!$C$14,0)</f>
        <v>0</v>
      </c>
    </row>
    <row r="281" spans="20:21" x14ac:dyDescent="0.25">
      <c r="T281" s="9">
        <f>IF(C281&lt;&gt;0,C281-Gear!$C$14,0)</f>
        <v>0</v>
      </c>
      <c r="U281" s="9">
        <f>IF(C281&lt;&gt;0,C281-Gear!$C$14,0)</f>
        <v>0</v>
      </c>
    </row>
    <row r="282" spans="20:21" x14ac:dyDescent="0.25">
      <c r="T282" s="9">
        <f>IF(C282&lt;&gt;0,C282-Gear!$C$14,0)</f>
        <v>0</v>
      </c>
      <c r="U282" s="9">
        <f>IF(C282&lt;&gt;0,C282-Gear!$C$14,0)</f>
        <v>0</v>
      </c>
    </row>
    <row r="283" spans="20:21" x14ac:dyDescent="0.25">
      <c r="T283" s="9">
        <f>IF(C283&lt;&gt;0,C283-Gear!$C$14,0)</f>
        <v>0</v>
      </c>
      <c r="U283" s="9">
        <f>IF(C283&lt;&gt;0,C283-Gear!$C$14,0)</f>
        <v>0</v>
      </c>
    </row>
    <row r="284" spans="20:21" x14ac:dyDescent="0.25">
      <c r="T284" s="9">
        <f>IF(C284&lt;&gt;0,C284-Gear!$C$14,0)</f>
        <v>0</v>
      </c>
      <c r="U284" s="9">
        <f>IF(C284&lt;&gt;0,C284-Gear!$C$14,0)</f>
        <v>0</v>
      </c>
    </row>
    <row r="285" spans="20:21" x14ac:dyDescent="0.25">
      <c r="T285" s="9">
        <f>IF(C285&lt;&gt;0,C285-Gear!$C$14,0)</f>
        <v>0</v>
      </c>
      <c r="U285" s="9">
        <f>IF(C285&lt;&gt;0,C285-Gear!$C$14,0)</f>
        <v>0</v>
      </c>
    </row>
    <row r="286" spans="20:21" x14ac:dyDescent="0.25">
      <c r="T286" s="9">
        <f>IF(C286&lt;&gt;0,C286-Gear!$C$14,0)</f>
        <v>0</v>
      </c>
      <c r="U286" s="9">
        <f>IF(C286&lt;&gt;0,C286-Gear!$C$14,0)</f>
        <v>0</v>
      </c>
    </row>
    <row r="287" spans="20:21" x14ac:dyDescent="0.25">
      <c r="T287" s="9">
        <f>IF(C287&lt;&gt;0,C287-Gear!$C$14,0)</f>
        <v>0</v>
      </c>
      <c r="U287" s="9">
        <f>IF(C287&lt;&gt;0,C287-Gear!$C$14,0)</f>
        <v>0</v>
      </c>
    </row>
    <row r="288" spans="20:21" x14ac:dyDescent="0.25">
      <c r="T288" s="9">
        <f>IF(C288&lt;&gt;0,C288-Gear!$C$14,0)</f>
        <v>0</v>
      </c>
      <c r="U288" s="9">
        <f>IF(C288&lt;&gt;0,C288-Gear!$C$14,0)</f>
        <v>0</v>
      </c>
    </row>
    <row r="289" spans="20:21" x14ac:dyDescent="0.25">
      <c r="T289" s="9">
        <f>IF(C289&lt;&gt;0,C289-Gear!$C$14,0)</f>
        <v>0</v>
      </c>
      <c r="U289" s="9">
        <f>IF(C289&lt;&gt;0,C289-Gear!$C$14,0)</f>
        <v>0</v>
      </c>
    </row>
    <row r="290" spans="20:21" x14ac:dyDescent="0.25">
      <c r="T290" s="9">
        <f>IF(C290&lt;&gt;0,C290-Gear!$C$14,0)</f>
        <v>0</v>
      </c>
      <c r="U290" s="9">
        <f>IF(C290&lt;&gt;0,C290-Gear!$C$14,0)</f>
        <v>0</v>
      </c>
    </row>
    <row r="291" spans="20:21" x14ac:dyDescent="0.25">
      <c r="T291" s="9">
        <f>IF(C291&lt;&gt;0,C291-Gear!$C$14,0)</f>
        <v>0</v>
      </c>
      <c r="U291" s="9">
        <f>IF(C291&lt;&gt;0,C291-Gear!$C$14,0)</f>
        <v>0</v>
      </c>
    </row>
    <row r="292" spans="20:21" x14ac:dyDescent="0.25">
      <c r="T292" s="9">
        <f>IF(C292&lt;&gt;0,C292-Gear!$C$14,0)</f>
        <v>0</v>
      </c>
      <c r="U292" s="9">
        <f>IF(C292&lt;&gt;0,C292-Gear!$C$14,0)</f>
        <v>0</v>
      </c>
    </row>
    <row r="293" spans="20:21" x14ac:dyDescent="0.25">
      <c r="T293" s="9">
        <f>IF(C293&lt;&gt;0,C293-Gear!$C$14,0)</f>
        <v>0</v>
      </c>
      <c r="U293" s="9">
        <f>IF(C293&lt;&gt;0,C293-Gear!$C$14,0)</f>
        <v>0</v>
      </c>
    </row>
    <row r="294" spans="20:21" x14ac:dyDescent="0.25">
      <c r="T294" s="9">
        <f>IF(C294&lt;&gt;0,C294-Gear!$C$14,0)</f>
        <v>0</v>
      </c>
      <c r="U294" s="9">
        <f>IF(C294&lt;&gt;0,C294-Gear!$C$14,0)</f>
        <v>0</v>
      </c>
    </row>
    <row r="295" spans="20:21" x14ac:dyDescent="0.25">
      <c r="T295" s="9">
        <f>IF(C295&lt;&gt;0,C295-Gear!$C$14,0)</f>
        <v>0</v>
      </c>
      <c r="U295" s="9">
        <f>IF(C295&lt;&gt;0,C295-Gear!$C$14,0)</f>
        <v>0</v>
      </c>
    </row>
    <row r="296" spans="20:21" x14ac:dyDescent="0.25">
      <c r="T296" s="9">
        <f>IF(C296&lt;&gt;0,C296-Gear!$C$14,0)</f>
        <v>0</v>
      </c>
      <c r="U296" s="9">
        <f>IF(C296&lt;&gt;0,C296-Gear!$C$14,0)</f>
        <v>0</v>
      </c>
    </row>
    <row r="297" spans="20:21" x14ac:dyDescent="0.25">
      <c r="T297" s="9">
        <f>IF(C297&lt;&gt;0,C297-Gear!$C$14,0)</f>
        <v>0</v>
      </c>
      <c r="U297" s="9">
        <f>IF(C297&lt;&gt;0,C297-Gear!$C$14,0)</f>
        <v>0</v>
      </c>
    </row>
    <row r="298" spans="20:21" x14ac:dyDescent="0.25">
      <c r="T298" s="9">
        <f>IF(C298&lt;&gt;0,C298-Gear!$C$14,0)</f>
        <v>0</v>
      </c>
      <c r="U298" s="9">
        <f>IF(C298&lt;&gt;0,C298-Gear!$C$14,0)</f>
        <v>0</v>
      </c>
    </row>
    <row r="299" spans="20:21" x14ac:dyDescent="0.25">
      <c r="T299" s="9">
        <f>IF(C299&lt;&gt;0,C299-Gear!$C$14,0)</f>
        <v>0</v>
      </c>
      <c r="U299" s="9">
        <f>IF(C299&lt;&gt;0,C299-Gear!$C$14,0)</f>
        <v>0</v>
      </c>
    </row>
    <row r="300" spans="20:21" x14ac:dyDescent="0.25">
      <c r="T300" s="9">
        <f>IF(C300&lt;&gt;0,C300-Gear!$C$14,0)</f>
        <v>0</v>
      </c>
      <c r="U300" s="9">
        <f>IF(C300&lt;&gt;0,C300-Gear!$C$14,0)</f>
        <v>0</v>
      </c>
    </row>
    <row r="301" spans="20:21" x14ac:dyDescent="0.25">
      <c r="T301" s="9">
        <f>IF(C301&lt;&gt;0,C301-Gear!$C$14,0)</f>
        <v>0</v>
      </c>
      <c r="U301" s="9">
        <f>IF(C301&lt;&gt;0,C301-Gear!$C$14,0)</f>
        <v>0</v>
      </c>
    </row>
    <row r="302" spans="20:21" x14ac:dyDescent="0.25">
      <c r="T302" s="9">
        <f>IF(C302&lt;&gt;0,C302-Gear!$C$14,0)</f>
        <v>0</v>
      </c>
      <c r="U302" s="9">
        <f>IF(C302&lt;&gt;0,C302-Gear!$C$14,0)</f>
        <v>0</v>
      </c>
    </row>
    <row r="303" spans="20:21" x14ac:dyDescent="0.25">
      <c r="T303" s="9">
        <f>IF(C303&lt;&gt;0,C303-Gear!$C$14,0)</f>
        <v>0</v>
      </c>
      <c r="U303" s="9">
        <f>IF(C303&lt;&gt;0,C303-Gear!$C$14,0)</f>
        <v>0</v>
      </c>
    </row>
    <row r="304" spans="20:21" x14ac:dyDescent="0.25">
      <c r="T304" s="9">
        <f>IF(C304&lt;&gt;0,C304-Gear!$C$14,0)</f>
        <v>0</v>
      </c>
      <c r="U304" s="9">
        <f>IF(C304&lt;&gt;0,C304-Gear!$C$14,0)</f>
        <v>0</v>
      </c>
    </row>
    <row r="305" spans="20:21" x14ac:dyDescent="0.25">
      <c r="T305" s="9">
        <f>IF(C305&lt;&gt;0,C305-Gear!$C$14,0)</f>
        <v>0</v>
      </c>
      <c r="U305" s="9">
        <f>IF(C305&lt;&gt;0,C305-Gear!$C$14,0)</f>
        <v>0</v>
      </c>
    </row>
    <row r="306" spans="20:21" x14ac:dyDescent="0.25">
      <c r="T306" s="9">
        <f>IF(C306&lt;&gt;0,C306-Gear!$C$14,0)</f>
        <v>0</v>
      </c>
      <c r="U306" s="9">
        <f>IF(C306&lt;&gt;0,C306-Gear!$C$14,0)</f>
        <v>0</v>
      </c>
    </row>
    <row r="307" spans="20:21" x14ac:dyDescent="0.25">
      <c r="T307" s="9">
        <f>IF(C307&lt;&gt;0,C307-Gear!$C$14,0)</f>
        <v>0</v>
      </c>
      <c r="U307" s="9">
        <f>IF(C307&lt;&gt;0,C307-Gear!$C$14,0)</f>
        <v>0</v>
      </c>
    </row>
    <row r="308" spans="20:21" x14ac:dyDescent="0.25">
      <c r="T308" s="9">
        <f>IF(C308&lt;&gt;0,C308-Gear!$C$14,0)</f>
        <v>0</v>
      </c>
      <c r="U308" s="9">
        <f>IF(C308&lt;&gt;0,C308-Gear!$C$14,0)</f>
        <v>0</v>
      </c>
    </row>
    <row r="309" spans="20:21" x14ac:dyDescent="0.25">
      <c r="T309" s="9">
        <f>IF(C309&lt;&gt;0,C309-Gear!$C$14,0)</f>
        <v>0</v>
      </c>
      <c r="U309" s="9">
        <f>IF(C309&lt;&gt;0,C309-Gear!$C$14,0)</f>
        <v>0</v>
      </c>
    </row>
    <row r="310" spans="20:21" x14ac:dyDescent="0.25">
      <c r="T310" s="9">
        <f>IF(C310&lt;&gt;0,C310-Gear!$C$14,0)</f>
        <v>0</v>
      </c>
      <c r="U310" s="9">
        <f>IF(C310&lt;&gt;0,C310-Gear!$C$14,0)</f>
        <v>0</v>
      </c>
    </row>
    <row r="311" spans="20:21" x14ac:dyDescent="0.25">
      <c r="T311" s="9">
        <f>IF(C311&lt;&gt;0,C311-Gear!$C$14,0)</f>
        <v>0</v>
      </c>
      <c r="U311" s="9">
        <f>IF(C311&lt;&gt;0,C311-Gear!$C$14,0)</f>
        <v>0</v>
      </c>
    </row>
    <row r="312" spans="20:21" x14ac:dyDescent="0.25">
      <c r="T312" s="9">
        <f>IF(C312&lt;&gt;0,C312-Gear!$C$14,0)</f>
        <v>0</v>
      </c>
      <c r="U312" s="9">
        <f>IF(C312&lt;&gt;0,C312-Gear!$C$14,0)</f>
        <v>0</v>
      </c>
    </row>
    <row r="313" spans="20:21" x14ac:dyDescent="0.25">
      <c r="T313" s="9">
        <f>IF(C313&lt;&gt;0,C313-Gear!$C$14,0)</f>
        <v>0</v>
      </c>
      <c r="U313" s="9">
        <f>IF(C313&lt;&gt;0,C313-Gear!$C$14,0)</f>
        <v>0</v>
      </c>
    </row>
    <row r="314" spans="20:21" x14ac:dyDescent="0.25">
      <c r="T314" s="9">
        <f>IF(C314&lt;&gt;0,C314-Gear!$C$14,0)</f>
        <v>0</v>
      </c>
      <c r="U314" s="9">
        <f>IF(C314&lt;&gt;0,C314-Gear!$C$14,0)</f>
        <v>0</v>
      </c>
    </row>
    <row r="315" spans="20:21" x14ac:dyDescent="0.25">
      <c r="T315" s="9">
        <f>IF(C315&lt;&gt;0,C315-Gear!$C$14,0)</f>
        <v>0</v>
      </c>
      <c r="U315" s="9">
        <f>IF(C315&lt;&gt;0,C315-Gear!$C$14,0)</f>
        <v>0</v>
      </c>
    </row>
    <row r="316" spans="20:21" x14ac:dyDescent="0.25">
      <c r="T316" s="9">
        <f>IF(C316&lt;&gt;0,C316-Gear!$C$14,0)</f>
        <v>0</v>
      </c>
      <c r="U316" s="9">
        <f>IF(C316&lt;&gt;0,C316-Gear!$C$14,0)</f>
        <v>0</v>
      </c>
    </row>
    <row r="317" spans="20:21" x14ac:dyDescent="0.25">
      <c r="T317" s="9">
        <f>IF(C317&lt;&gt;0,C317-Gear!$C$14,0)</f>
        <v>0</v>
      </c>
      <c r="U317" s="9">
        <f>IF(C317&lt;&gt;0,C317-Gear!$C$14,0)</f>
        <v>0</v>
      </c>
    </row>
    <row r="318" spans="20:21" x14ac:dyDescent="0.25">
      <c r="T318" s="9">
        <f>IF(C318&lt;&gt;0,C318-Gear!$C$14,0)</f>
        <v>0</v>
      </c>
      <c r="U318" s="9">
        <f>IF(C318&lt;&gt;0,C318-Gear!$C$14,0)</f>
        <v>0</v>
      </c>
    </row>
    <row r="319" spans="20:21" x14ac:dyDescent="0.25">
      <c r="T319" s="9">
        <f>IF(C319&lt;&gt;0,C319-Gear!$C$14,0)</f>
        <v>0</v>
      </c>
      <c r="U319" s="9">
        <f>IF(C319&lt;&gt;0,C319-Gear!$C$14,0)</f>
        <v>0</v>
      </c>
    </row>
    <row r="320" spans="20:21" x14ac:dyDescent="0.25">
      <c r="T320" s="9">
        <f>IF(C320&lt;&gt;0,C320-Gear!$C$14,0)</f>
        <v>0</v>
      </c>
      <c r="U320" s="9">
        <f>IF(C320&lt;&gt;0,C320-Gear!$C$14,0)</f>
        <v>0</v>
      </c>
    </row>
    <row r="321" spans="20:21" x14ac:dyDescent="0.25">
      <c r="T321" s="9">
        <f>IF(C321&lt;&gt;0,C321-Gear!$C$14,0)</f>
        <v>0</v>
      </c>
      <c r="U321" s="9">
        <f>IF(C321&lt;&gt;0,C321-Gear!$C$14,0)</f>
        <v>0</v>
      </c>
    </row>
    <row r="322" spans="20:21" x14ac:dyDescent="0.25">
      <c r="T322" s="9">
        <f>IF(C322&lt;&gt;0,C322-Gear!$C$14,0)</f>
        <v>0</v>
      </c>
      <c r="U322" s="9">
        <f>IF(C322&lt;&gt;0,C322-Gear!$C$14,0)</f>
        <v>0</v>
      </c>
    </row>
    <row r="323" spans="20:21" x14ac:dyDescent="0.25">
      <c r="T323" s="9">
        <f>IF(C323&lt;&gt;0,C323-Gear!$C$14,0)</f>
        <v>0</v>
      </c>
      <c r="U323" s="9">
        <f>IF(C323&lt;&gt;0,C323-Gear!$C$14,0)</f>
        <v>0</v>
      </c>
    </row>
    <row r="324" spans="20:21" x14ac:dyDescent="0.25">
      <c r="T324" s="9">
        <f>IF(C324&lt;&gt;0,C324-Gear!$C$14,0)</f>
        <v>0</v>
      </c>
      <c r="U324" s="9">
        <f>IF(C324&lt;&gt;0,C324-Gear!$C$14,0)</f>
        <v>0</v>
      </c>
    </row>
    <row r="325" spans="20:21" x14ac:dyDescent="0.25">
      <c r="T325" s="9">
        <f>IF(C325&lt;&gt;0,C325-Gear!$C$14,0)</f>
        <v>0</v>
      </c>
      <c r="U325" s="9">
        <f>IF(C325&lt;&gt;0,C325-Gear!$C$14,0)</f>
        <v>0</v>
      </c>
    </row>
    <row r="326" spans="20:21" x14ac:dyDescent="0.25">
      <c r="T326" s="9">
        <f>IF(C326&lt;&gt;0,C326-Gear!$C$14,0)</f>
        <v>0</v>
      </c>
      <c r="U326" s="9">
        <f>IF(C326&lt;&gt;0,C326-Gear!$C$14,0)</f>
        <v>0</v>
      </c>
    </row>
    <row r="327" spans="20:21" x14ac:dyDescent="0.25">
      <c r="T327" s="9">
        <f>IF(C327&lt;&gt;0,C327-Gear!$C$14,0)</f>
        <v>0</v>
      </c>
      <c r="U327" s="9">
        <f>IF(C327&lt;&gt;0,C327-Gear!$C$14,0)</f>
        <v>0</v>
      </c>
    </row>
    <row r="328" spans="20:21" x14ac:dyDescent="0.25">
      <c r="T328" s="9">
        <f>IF(C328&lt;&gt;0,C328-Gear!$C$14,0)</f>
        <v>0</v>
      </c>
      <c r="U328" s="9">
        <f>IF(C328&lt;&gt;0,C328-Gear!$C$14,0)</f>
        <v>0</v>
      </c>
    </row>
    <row r="329" spans="20:21" x14ac:dyDescent="0.25">
      <c r="T329" s="9">
        <f>IF(C329&lt;&gt;0,C329-Gear!$C$14,0)</f>
        <v>0</v>
      </c>
      <c r="U329" s="9">
        <f>IF(C329&lt;&gt;0,C329-Gear!$C$14,0)</f>
        <v>0</v>
      </c>
    </row>
    <row r="330" spans="20:21" x14ac:dyDescent="0.25">
      <c r="T330" s="9">
        <f>IF(C330&lt;&gt;0,C330-Gear!$C$14,0)</f>
        <v>0</v>
      </c>
      <c r="U330" s="9">
        <f>IF(C330&lt;&gt;0,C330-Gear!$C$14,0)</f>
        <v>0</v>
      </c>
    </row>
    <row r="331" spans="20:21" x14ac:dyDescent="0.25">
      <c r="T331" s="9">
        <f>IF(C331&lt;&gt;0,C331-Gear!$C$14,0)</f>
        <v>0</v>
      </c>
      <c r="U331" s="9">
        <f>IF(C331&lt;&gt;0,C331-Gear!$C$14,0)</f>
        <v>0</v>
      </c>
    </row>
    <row r="332" spans="20:21" x14ac:dyDescent="0.25">
      <c r="T332" s="9">
        <f>IF(C332&lt;&gt;0,C332-Gear!$C$14,0)</f>
        <v>0</v>
      </c>
      <c r="U332" s="9">
        <f>IF(C332&lt;&gt;0,C332-Gear!$C$14,0)</f>
        <v>0</v>
      </c>
    </row>
    <row r="333" spans="20:21" x14ac:dyDescent="0.25">
      <c r="T333" s="9">
        <f>IF(C333&lt;&gt;0,C333-Gear!$C$14,0)</f>
        <v>0</v>
      </c>
      <c r="U333" s="9">
        <f>IF(C333&lt;&gt;0,C333-Gear!$C$14,0)</f>
        <v>0</v>
      </c>
    </row>
    <row r="334" spans="20:21" x14ac:dyDescent="0.25">
      <c r="T334" s="9">
        <f>IF(C334&lt;&gt;0,C334-Gear!$C$14,0)</f>
        <v>0</v>
      </c>
      <c r="U334" s="9">
        <f>IF(C334&lt;&gt;0,C334-Gear!$C$14,0)</f>
        <v>0</v>
      </c>
    </row>
    <row r="335" spans="20:21" x14ac:dyDescent="0.25">
      <c r="T335" s="9">
        <f>IF(C335&lt;&gt;0,C335-Gear!$C$14,0)</f>
        <v>0</v>
      </c>
      <c r="U335" s="9">
        <f>IF(C335&lt;&gt;0,C335-Gear!$C$14,0)</f>
        <v>0</v>
      </c>
    </row>
    <row r="336" spans="20:21" x14ac:dyDescent="0.25">
      <c r="T336" s="9">
        <f>IF(C336&lt;&gt;0,C336-Gear!$C$14,0)</f>
        <v>0</v>
      </c>
      <c r="U336" s="9">
        <f>IF(C336&lt;&gt;0,C336-Gear!$C$14,0)</f>
        <v>0</v>
      </c>
    </row>
    <row r="337" spans="20:21" x14ac:dyDescent="0.25">
      <c r="T337" s="9">
        <f>IF(C337&lt;&gt;0,C337-Gear!$C$14,0)</f>
        <v>0</v>
      </c>
      <c r="U337" s="9">
        <f>IF(C337&lt;&gt;0,C337-Gear!$C$14,0)</f>
        <v>0</v>
      </c>
    </row>
    <row r="338" spans="20:21" x14ac:dyDescent="0.25">
      <c r="T338" s="9">
        <f>IF(C338&lt;&gt;0,C338-Gear!$C$14,0)</f>
        <v>0</v>
      </c>
      <c r="U338" s="9">
        <f>IF(C338&lt;&gt;0,C338-Gear!$C$14,0)</f>
        <v>0</v>
      </c>
    </row>
    <row r="339" spans="20:21" x14ac:dyDescent="0.25">
      <c r="T339" s="9">
        <f>IF(C339&lt;&gt;0,C339-Gear!$C$14,0)</f>
        <v>0</v>
      </c>
      <c r="U339" s="9">
        <f>IF(C339&lt;&gt;0,C339-Gear!$C$14,0)</f>
        <v>0</v>
      </c>
    </row>
    <row r="340" spans="20:21" x14ac:dyDescent="0.25">
      <c r="T340" s="9">
        <f>IF(C340&lt;&gt;0,C340-Gear!$C$14,0)</f>
        <v>0</v>
      </c>
      <c r="U340" s="9">
        <f>IF(C340&lt;&gt;0,C340-Gear!$C$14,0)</f>
        <v>0</v>
      </c>
    </row>
    <row r="341" spans="20:21" x14ac:dyDescent="0.25">
      <c r="T341" s="9">
        <f>IF(C341&lt;&gt;0,C341-Gear!$C$14,0)</f>
        <v>0</v>
      </c>
      <c r="U341" s="9">
        <f>IF(C341&lt;&gt;0,C341-Gear!$C$14,0)</f>
        <v>0</v>
      </c>
    </row>
    <row r="342" spans="20:21" x14ac:dyDescent="0.25">
      <c r="T342" s="9">
        <f>IF(C342&lt;&gt;0,C342-Gear!$C$14,0)</f>
        <v>0</v>
      </c>
      <c r="U342" s="9">
        <f>IF(C342&lt;&gt;0,C342-Gear!$C$14,0)</f>
        <v>0</v>
      </c>
    </row>
    <row r="343" spans="20:21" x14ac:dyDescent="0.25">
      <c r="T343" s="9">
        <f>IF(C343&lt;&gt;0,C343-Gear!$C$14,0)</f>
        <v>0</v>
      </c>
      <c r="U343" s="9">
        <f>IF(C343&lt;&gt;0,C343-Gear!$C$14,0)</f>
        <v>0</v>
      </c>
    </row>
    <row r="344" spans="20:21" x14ac:dyDescent="0.25">
      <c r="T344" s="9">
        <f>IF(C344&lt;&gt;0,C344-Gear!$C$14,0)</f>
        <v>0</v>
      </c>
      <c r="U344" s="9">
        <f>IF(C344&lt;&gt;0,C344-Gear!$C$14,0)</f>
        <v>0</v>
      </c>
    </row>
    <row r="345" spans="20:21" x14ac:dyDescent="0.25">
      <c r="T345" s="9">
        <f>IF(C345&lt;&gt;0,C345-Gear!$C$14,0)</f>
        <v>0</v>
      </c>
      <c r="U345" s="9">
        <f>IF(C345&lt;&gt;0,C345-Gear!$C$14,0)</f>
        <v>0</v>
      </c>
    </row>
    <row r="346" spans="20:21" x14ac:dyDescent="0.25">
      <c r="T346" s="9">
        <f>IF(C346&lt;&gt;0,C346-Gear!$C$14,0)</f>
        <v>0</v>
      </c>
      <c r="U346" s="9">
        <f>IF(C346&lt;&gt;0,C346-Gear!$C$14,0)</f>
        <v>0</v>
      </c>
    </row>
    <row r="347" spans="20:21" x14ac:dyDescent="0.25">
      <c r="T347" s="9">
        <f>IF(C347&lt;&gt;0,C347-Gear!$C$14,0)</f>
        <v>0</v>
      </c>
      <c r="U347" s="9">
        <f>IF(C347&lt;&gt;0,C347-Gear!$C$14,0)</f>
        <v>0</v>
      </c>
    </row>
    <row r="348" spans="20:21" x14ac:dyDescent="0.25">
      <c r="T348" s="9">
        <f>IF(C348&lt;&gt;0,C348-Gear!$C$14,0)</f>
        <v>0</v>
      </c>
      <c r="U348" s="9">
        <f>IF(C348&lt;&gt;0,C348-Gear!$C$14,0)</f>
        <v>0</v>
      </c>
    </row>
    <row r="349" spans="20:21" x14ac:dyDescent="0.25">
      <c r="T349" s="9">
        <f>IF(C349&lt;&gt;0,C349-Gear!$C$14,0)</f>
        <v>0</v>
      </c>
      <c r="U349" s="9">
        <f>IF(C349&lt;&gt;0,C349-Gear!$C$14,0)</f>
        <v>0</v>
      </c>
    </row>
    <row r="350" spans="20:21" x14ac:dyDescent="0.25">
      <c r="T350" s="9">
        <f>IF(C350&lt;&gt;0,C350-Gear!$C$14,0)</f>
        <v>0</v>
      </c>
      <c r="U350" s="9">
        <f>IF(C350&lt;&gt;0,C350-Gear!$C$14,0)</f>
        <v>0</v>
      </c>
    </row>
    <row r="351" spans="20:21" x14ac:dyDescent="0.25">
      <c r="T351" s="9">
        <f>IF(C351&lt;&gt;0,C351-Gear!$C$14,0)</f>
        <v>0</v>
      </c>
      <c r="U351" s="9">
        <f>IF(C351&lt;&gt;0,C351-Gear!$C$14,0)</f>
        <v>0</v>
      </c>
    </row>
    <row r="352" spans="20:21" x14ac:dyDescent="0.25">
      <c r="T352" s="9">
        <f>IF(C352&lt;&gt;0,C352-Gear!$C$14,0)</f>
        <v>0</v>
      </c>
      <c r="U352" s="9">
        <f>IF(C352&lt;&gt;0,C352-Gear!$C$14,0)</f>
        <v>0</v>
      </c>
    </row>
    <row r="353" spans="20:21" x14ac:dyDescent="0.25">
      <c r="T353" s="9">
        <f>IF(C353&lt;&gt;0,C353-Gear!$C$14,0)</f>
        <v>0</v>
      </c>
      <c r="U353" s="9">
        <f>IF(C353&lt;&gt;0,C353-Gear!$C$14,0)</f>
        <v>0</v>
      </c>
    </row>
    <row r="354" spans="20:21" x14ac:dyDescent="0.25">
      <c r="T354" s="9">
        <f>IF(C354&lt;&gt;0,C354-Gear!$C$14,0)</f>
        <v>0</v>
      </c>
      <c r="U354" s="9">
        <f>IF(C354&lt;&gt;0,C354-Gear!$C$14,0)</f>
        <v>0</v>
      </c>
    </row>
    <row r="355" spans="20:21" x14ac:dyDescent="0.25">
      <c r="T355" s="9">
        <f>IF(C355&lt;&gt;0,C355-Gear!$C$14,0)</f>
        <v>0</v>
      </c>
      <c r="U355" s="9">
        <f>IF(C355&lt;&gt;0,C355-Gear!$C$14,0)</f>
        <v>0</v>
      </c>
    </row>
    <row r="356" spans="20:21" x14ac:dyDescent="0.25">
      <c r="T356" s="9">
        <f>IF(C356&lt;&gt;0,C356-Gear!$C$14,0)</f>
        <v>0</v>
      </c>
      <c r="U356" s="9">
        <f>IF(C356&lt;&gt;0,C356-Gear!$C$14,0)</f>
        <v>0</v>
      </c>
    </row>
    <row r="357" spans="20:21" x14ac:dyDescent="0.25">
      <c r="T357" s="9">
        <f>IF(C357&lt;&gt;0,C357-Gear!$C$14,0)</f>
        <v>0</v>
      </c>
      <c r="U357" s="9">
        <f>IF(C357&lt;&gt;0,C357-Gear!$C$14,0)</f>
        <v>0</v>
      </c>
    </row>
    <row r="358" spans="20:21" x14ac:dyDescent="0.25">
      <c r="T358" s="9">
        <f>IF(C358&lt;&gt;0,C358-Gear!$C$14,0)</f>
        <v>0</v>
      </c>
      <c r="U358" s="9">
        <f>IF(C358&lt;&gt;0,C358-Gear!$C$14,0)</f>
        <v>0</v>
      </c>
    </row>
    <row r="359" spans="20:21" x14ac:dyDescent="0.25">
      <c r="T359" s="9">
        <f>IF(C359&lt;&gt;0,C359-Gear!$C$14,0)</f>
        <v>0</v>
      </c>
      <c r="U359" s="9">
        <f>IF(C359&lt;&gt;0,C359-Gear!$C$14,0)</f>
        <v>0</v>
      </c>
    </row>
    <row r="360" spans="20:21" x14ac:dyDescent="0.25">
      <c r="T360" s="9">
        <f>IF(C360&lt;&gt;0,C360-Gear!$C$14,0)</f>
        <v>0</v>
      </c>
      <c r="U360" s="9">
        <f>IF(C360&lt;&gt;0,C360-Gear!$C$14,0)</f>
        <v>0</v>
      </c>
    </row>
    <row r="361" spans="20:21" x14ac:dyDescent="0.25">
      <c r="T361" s="9">
        <f>IF(C361&lt;&gt;0,C361-Gear!$C$14,0)</f>
        <v>0</v>
      </c>
      <c r="U361" s="9">
        <f>IF(C361&lt;&gt;0,C361-Gear!$C$14,0)</f>
        <v>0</v>
      </c>
    </row>
    <row r="362" spans="20:21" x14ac:dyDescent="0.25">
      <c r="T362" s="9">
        <f>IF(C362&lt;&gt;0,C362-Gear!$C$14,0)</f>
        <v>0</v>
      </c>
      <c r="U362" s="9">
        <f>IF(C362&lt;&gt;0,C362-Gear!$C$14,0)</f>
        <v>0</v>
      </c>
    </row>
    <row r="363" spans="20:21" x14ac:dyDescent="0.25">
      <c r="T363" s="9">
        <f>IF(C363&lt;&gt;0,C363-Gear!$C$14,0)</f>
        <v>0</v>
      </c>
      <c r="U363" s="9">
        <f>IF(C363&lt;&gt;0,C363-Gear!$C$14,0)</f>
        <v>0</v>
      </c>
    </row>
    <row r="364" spans="20:21" x14ac:dyDescent="0.25">
      <c r="T364" s="9">
        <f>IF(C364&lt;&gt;0,C364-Gear!$C$14,0)</f>
        <v>0</v>
      </c>
      <c r="U364" s="9">
        <f>IF(C364&lt;&gt;0,C364-Gear!$C$14,0)</f>
        <v>0</v>
      </c>
    </row>
    <row r="365" spans="20:21" x14ac:dyDescent="0.25">
      <c r="T365" s="9">
        <f>IF(C365&lt;&gt;0,C365-Gear!$C$14,0)</f>
        <v>0</v>
      </c>
      <c r="U365" s="9">
        <f>IF(C365&lt;&gt;0,C365-Gear!$C$14,0)</f>
        <v>0</v>
      </c>
    </row>
    <row r="366" spans="20:21" x14ac:dyDescent="0.25">
      <c r="T366" s="9">
        <f>IF(C366&lt;&gt;0,C366-Gear!$C$14,0)</f>
        <v>0</v>
      </c>
      <c r="U366" s="9">
        <f>IF(C366&lt;&gt;0,C366-Gear!$C$14,0)</f>
        <v>0</v>
      </c>
    </row>
    <row r="367" spans="20:21" x14ac:dyDescent="0.25">
      <c r="T367" s="9">
        <f>IF(C367&lt;&gt;0,C367-Gear!$C$14,0)</f>
        <v>0</v>
      </c>
      <c r="U367" s="9">
        <f>IF(C367&lt;&gt;0,C367-Gear!$C$14,0)</f>
        <v>0</v>
      </c>
    </row>
    <row r="368" spans="20:21" x14ac:dyDescent="0.25">
      <c r="T368" s="9">
        <f>IF(C368&lt;&gt;0,C368-Gear!$C$14,0)</f>
        <v>0</v>
      </c>
      <c r="U368" s="9">
        <f>IF(C368&lt;&gt;0,C368-Gear!$C$14,0)</f>
        <v>0</v>
      </c>
    </row>
    <row r="369" spans="20:21" x14ac:dyDescent="0.25">
      <c r="T369" s="9">
        <f>IF(C369&lt;&gt;0,C369-Gear!$C$14,0)</f>
        <v>0</v>
      </c>
      <c r="U369" s="9">
        <f>IF(C369&lt;&gt;0,C369-Gear!$C$14,0)</f>
        <v>0</v>
      </c>
    </row>
    <row r="370" spans="20:21" x14ac:dyDescent="0.25">
      <c r="T370" s="9">
        <f>IF(C370&lt;&gt;0,C370-Gear!$C$14,0)</f>
        <v>0</v>
      </c>
      <c r="U370" s="9">
        <f>IF(C370&lt;&gt;0,C370-Gear!$C$14,0)</f>
        <v>0</v>
      </c>
    </row>
    <row r="371" spans="20:21" x14ac:dyDescent="0.25">
      <c r="T371" s="9">
        <f>IF(C371&lt;&gt;0,C371-Gear!$C$14,0)</f>
        <v>0</v>
      </c>
      <c r="U371" s="9">
        <f>IF(C371&lt;&gt;0,C371-Gear!$C$14,0)</f>
        <v>0</v>
      </c>
    </row>
    <row r="372" spans="20:21" x14ac:dyDescent="0.25">
      <c r="T372" s="9">
        <f>IF(C372&lt;&gt;0,C372-Gear!$C$14,0)</f>
        <v>0</v>
      </c>
      <c r="U372" s="9">
        <f>IF(C372&lt;&gt;0,C372-Gear!$C$14,0)</f>
        <v>0</v>
      </c>
    </row>
    <row r="373" spans="20:21" x14ac:dyDescent="0.25">
      <c r="T373" s="9">
        <f>IF(C373&lt;&gt;0,C373-Gear!$C$14,0)</f>
        <v>0</v>
      </c>
      <c r="U373" s="9">
        <f>IF(C373&lt;&gt;0,C373-Gear!$C$14,0)</f>
        <v>0</v>
      </c>
    </row>
    <row r="374" spans="20:21" x14ac:dyDescent="0.25">
      <c r="T374" s="9">
        <f>IF(C374&lt;&gt;0,C374-Gear!$C$14,0)</f>
        <v>0</v>
      </c>
      <c r="U374" s="9">
        <f>IF(C374&lt;&gt;0,C374-Gear!$C$14,0)</f>
        <v>0</v>
      </c>
    </row>
    <row r="375" spans="20:21" x14ac:dyDescent="0.25">
      <c r="T375" s="9">
        <f>IF(C375&lt;&gt;0,C375-Gear!$C$14,0)</f>
        <v>0</v>
      </c>
      <c r="U375" s="9">
        <f>IF(C375&lt;&gt;0,C375-Gear!$C$14,0)</f>
        <v>0</v>
      </c>
    </row>
    <row r="376" spans="20:21" x14ac:dyDescent="0.25">
      <c r="T376" s="9">
        <f>IF(C376&lt;&gt;0,C376-Gear!$C$14,0)</f>
        <v>0</v>
      </c>
      <c r="U376" s="9">
        <f>IF(C376&lt;&gt;0,C376-Gear!$C$14,0)</f>
        <v>0</v>
      </c>
    </row>
    <row r="377" spans="20:21" x14ac:dyDescent="0.25">
      <c r="T377" s="9">
        <f>IF(C377&lt;&gt;0,C377-Gear!$C$14,0)</f>
        <v>0</v>
      </c>
      <c r="U377" s="9">
        <f>IF(C377&lt;&gt;0,C377-Gear!$C$14,0)</f>
        <v>0</v>
      </c>
    </row>
    <row r="378" spans="20:21" x14ac:dyDescent="0.25">
      <c r="T378" s="9">
        <f>IF(C378&lt;&gt;0,C378-Gear!$C$14,0)</f>
        <v>0</v>
      </c>
      <c r="U378" s="9">
        <f>IF(C378&lt;&gt;0,C378-Gear!$C$14,0)</f>
        <v>0</v>
      </c>
    </row>
    <row r="379" spans="20:21" x14ac:dyDescent="0.25">
      <c r="T379" s="9">
        <f>IF(C379&lt;&gt;0,C379-Gear!$C$14,0)</f>
        <v>0</v>
      </c>
      <c r="U379" s="9">
        <f>IF(C379&lt;&gt;0,C379-Gear!$C$14,0)</f>
        <v>0</v>
      </c>
    </row>
    <row r="380" spans="20:21" x14ac:dyDescent="0.25">
      <c r="T380" s="9">
        <f>IF(C380&lt;&gt;0,C380-Gear!$C$14,0)</f>
        <v>0</v>
      </c>
      <c r="U380" s="9">
        <f>IF(C380&lt;&gt;0,C380-Gear!$C$14,0)</f>
        <v>0</v>
      </c>
    </row>
    <row r="381" spans="20:21" x14ac:dyDescent="0.25">
      <c r="T381" s="9">
        <f>IF(C381&lt;&gt;0,C381-Gear!$C$14,0)</f>
        <v>0</v>
      </c>
      <c r="U381" s="9">
        <f>IF(C381&lt;&gt;0,C381-Gear!$C$14,0)</f>
        <v>0</v>
      </c>
    </row>
    <row r="382" spans="20:21" x14ac:dyDescent="0.25">
      <c r="T382" s="9">
        <f>IF(C382&lt;&gt;0,C382-Gear!$C$14,0)</f>
        <v>0</v>
      </c>
      <c r="U382" s="9">
        <f>IF(C382&lt;&gt;0,C382-Gear!$C$14,0)</f>
        <v>0</v>
      </c>
    </row>
    <row r="383" spans="20:21" x14ac:dyDescent="0.25">
      <c r="T383" s="9">
        <f>IF(C383&lt;&gt;0,C383-Gear!$C$14,0)</f>
        <v>0</v>
      </c>
      <c r="U383" s="9">
        <f>IF(C383&lt;&gt;0,C383-Gear!$C$14,0)</f>
        <v>0</v>
      </c>
    </row>
    <row r="384" spans="20:21" x14ac:dyDescent="0.25">
      <c r="T384" s="9">
        <f>IF(C384&lt;&gt;0,C384-Gear!$C$14,0)</f>
        <v>0</v>
      </c>
      <c r="U384" s="9">
        <f>IF(C384&lt;&gt;0,C384-Gear!$C$14,0)</f>
        <v>0</v>
      </c>
    </row>
    <row r="385" spans="20:21" x14ac:dyDescent="0.25">
      <c r="T385" s="9">
        <f>IF(C385&lt;&gt;0,C385-Gear!$C$14,0)</f>
        <v>0</v>
      </c>
      <c r="U385" s="9">
        <f>IF(C385&lt;&gt;0,C385-Gear!$C$14,0)</f>
        <v>0</v>
      </c>
    </row>
    <row r="386" spans="20:21" x14ac:dyDescent="0.25">
      <c r="T386" s="9">
        <f>IF(C386&lt;&gt;0,C386-Gear!$C$14,0)</f>
        <v>0</v>
      </c>
      <c r="U386" s="9">
        <f>IF(C386&lt;&gt;0,C386-Gear!$C$14,0)</f>
        <v>0</v>
      </c>
    </row>
    <row r="387" spans="20:21" x14ac:dyDescent="0.25">
      <c r="T387" s="9">
        <f>IF(C387&lt;&gt;0,C387-Gear!$C$14,0)</f>
        <v>0</v>
      </c>
      <c r="U387" s="9">
        <f>IF(C387&lt;&gt;0,C387-Gear!$C$14,0)</f>
        <v>0</v>
      </c>
    </row>
    <row r="388" spans="20:21" x14ac:dyDescent="0.25">
      <c r="T388" s="9">
        <f>IF(C388&lt;&gt;0,C388-Gear!$C$14,0)</f>
        <v>0</v>
      </c>
      <c r="U388" s="9">
        <f>IF(C388&lt;&gt;0,C388-Gear!$C$14,0)</f>
        <v>0</v>
      </c>
    </row>
    <row r="389" spans="20:21" x14ac:dyDescent="0.25">
      <c r="T389" s="9">
        <f>IF(C389&lt;&gt;0,C389-Gear!$C$14,0)</f>
        <v>0</v>
      </c>
      <c r="U389" s="9">
        <f>IF(C389&lt;&gt;0,C389-Gear!$C$14,0)</f>
        <v>0</v>
      </c>
    </row>
    <row r="390" spans="20:21" x14ac:dyDescent="0.25">
      <c r="T390" s="9">
        <f>IF(C390&lt;&gt;0,C390-Gear!$C$14,0)</f>
        <v>0</v>
      </c>
      <c r="U390" s="9">
        <f>IF(C390&lt;&gt;0,C390-Gear!$C$14,0)</f>
        <v>0</v>
      </c>
    </row>
    <row r="391" spans="20:21" x14ac:dyDescent="0.25">
      <c r="T391" s="9">
        <f>IF(C391&lt;&gt;0,C391-Gear!$C$14,0)</f>
        <v>0</v>
      </c>
      <c r="U391" s="9">
        <f>IF(C391&lt;&gt;0,C391-Gear!$C$14,0)</f>
        <v>0</v>
      </c>
    </row>
    <row r="392" spans="20:21" x14ac:dyDescent="0.25">
      <c r="T392" s="9">
        <f>IF(C392&lt;&gt;0,C392-Gear!$C$14,0)</f>
        <v>0</v>
      </c>
      <c r="U392" s="9">
        <f>IF(C392&lt;&gt;0,C392-Gear!$C$14,0)</f>
        <v>0</v>
      </c>
    </row>
    <row r="393" spans="20:21" x14ac:dyDescent="0.25">
      <c r="T393" s="9">
        <f>IF(C393&lt;&gt;0,C393-Gear!$C$14,0)</f>
        <v>0</v>
      </c>
      <c r="U393" s="9">
        <f>IF(C393&lt;&gt;0,C393-Gear!$C$14,0)</f>
        <v>0</v>
      </c>
    </row>
    <row r="394" spans="20:21" x14ac:dyDescent="0.25">
      <c r="T394" s="9">
        <f>IF(C394&lt;&gt;0,C394-Gear!$C$14,0)</f>
        <v>0</v>
      </c>
      <c r="U394" s="9">
        <f>IF(C394&lt;&gt;0,C394-Gear!$C$14,0)</f>
        <v>0</v>
      </c>
    </row>
    <row r="395" spans="20:21" x14ac:dyDescent="0.25">
      <c r="T395" s="9">
        <f>IF(C395&lt;&gt;0,C395-Gear!$C$14,0)</f>
        <v>0</v>
      </c>
      <c r="U395" s="9">
        <f>IF(C395&lt;&gt;0,C395-Gear!$C$14,0)</f>
        <v>0</v>
      </c>
    </row>
    <row r="396" spans="20:21" x14ac:dyDescent="0.25">
      <c r="T396" s="9">
        <f>IF(C396&lt;&gt;0,C396-Gear!$C$14,0)</f>
        <v>0</v>
      </c>
      <c r="U396" s="9">
        <f>IF(C396&lt;&gt;0,C396-Gear!$C$14,0)</f>
        <v>0</v>
      </c>
    </row>
    <row r="397" spans="20:21" x14ac:dyDescent="0.25">
      <c r="T397" s="9">
        <f>IF(C397&lt;&gt;0,C397-Gear!$C$14,0)</f>
        <v>0</v>
      </c>
      <c r="U397" s="9">
        <f>IF(C397&lt;&gt;0,C397-Gear!$C$14,0)</f>
        <v>0</v>
      </c>
    </row>
    <row r="398" spans="20:21" x14ac:dyDescent="0.25">
      <c r="T398" s="9">
        <f>IF(C398&lt;&gt;0,C398-Gear!$C$14,0)</f>
        <v>0</v>
      </c>
      <c r="U398" s="9">
        <f>IF(C398&lt;&gt;0,C398-Gear!$C$14,0)</f>
        <v>0</v>
      </c>
    </row>
    <row r="399" spans="20:21" x14ac:dyDescent="0.25">
      <c r="T399" s="9">
        <f>IF(C399&lt;&gt;0,C399-Gear!$C$14,0)</f>
        <v>0</v>
      </c>
      <c r="U399" s="9">
        <f>IF(C399&lt;&gt;0,C399-Gear!$C$14,0)</f>
        <v>0</v>
      </c>
    </row>
    <row r="400" spans="20:21" x14ac:dyDescent="0.25">
      <c r="T400" s="9">
        <f>IF(C400&lt;&gt;0,C400-Gear!$C$14,0)</f>
        <v>0</v>
      </c>
      <c r="U400" s="9">
        <f>IF(C400&lt;&gt;0,C400-Gear!$C$14,0)</f>
        <v>0</v>
      </c>
    </row>
    <row r="401" spans="20:21" x14ac:dyDescent="0.25">
      <c r="T401" s="9">
        <f>IF(C401&lt;&gt;0,C401-Gear!$C$14,0)</f>
        <v>0</v>
      </c>
      <c r="U401" s="9">
        <f>IF(C401&lt;&gt;0,C401-Gear!$C$14,0)</f>
        <v>0</v>
      </c>
    </row>
    <row r="402" spans="20:21" x14ac:dyDescent="0.25">
      <c r="T402" s="9">
        <f>IF(C402&lt;&gt;0,C402-Gear!$C$14,0)</f>
        <v>0</v>
      </c>
      <c r="U402" s="9">
        <f>IF(C402&lt;&gt;0,C402-Gear!$C$14,0)</f>
        <v>0</v>
      </c>
    </row>
    <row r="403" spans="20:21" x14ac:dyDescent="0.25">
      <c r="T403" s="9">
        <f>IF(C403&lt;&gt;0,C403-Gear!$C$14,0)</f>
        <v>0</v>
      </c>
      <c r="U403" s="9">
        <f>IF(C403&lt;&gt;0,C403-Gear!$C$14,0)</f>
        <v>0</v>
      </c>
    </row>
    <row r="404" spans="20:21" x14ac:dyDescent="0.25">
      <c r="T404" s="9">
        <f>IF(C404&lt;&gt;0,C404-Gear!$C$14,0)</f>
        <v>0</v>
      </c>
      <c r="U404" s="9">
        <f>IF(C404&lt;&gt;0,C404-Gear!$C$14,0)</f>
        <v>0</v>
      </c>
    </row>
    <row r="405" spans="20:21" x14ac:dyDescent="0.25">
      <c r="T405" s="9">
        <f>IF(C405&lt;&gt;0,C405-Gear!$C$14,0)</f>
        <v>0</v>
      </c>
      <c r="U405" s="9">
        <f>IF(C405&lt;&gt;0,C405-Gear!$C$14,0)</f>
        <v>0</v>
      </c>
    </row>
    <row r="406" spans="20:21" x14ac:dyDescent="0.25">
      <c r="T406" s="9">
        <f>IF(C406&lt;&gt;0,C406-Gear!$C$14,0)</f>
        <v>0</v>
      </c>
      <c r="U406" s="9">
        <f>IF(C406&lt;&gt;0,C406-Gear!$C$14,0)</f>
        <v>0</v>
      </c>
    </row>
    <row r="407" spans="20:21" x14ac:dyDescent="0.25">
      <c r="T407" s="9">
        <f>IF(C407&lt;&gt;0,C407-Gear!$C$14,0)</f>
        <v>0</v>
      </c>
      <c r="U407" s="9">
        <f>IF(C407&lt;&gt;0,C407-Gear!$C$14,0)</f>
        <v>0</v>
      </c>
    </row>
    <row r="408" spans="20:21" x14ac:dyDescent="0.25">
      <c r="T408" s="9">
        <f>IF(C408&lt;&gt;0,C408-Gear!$C$14,0)</f>
        <v>0</v>
      </c>
      <c r="U408" s="9">
        <f>IF(C408&lt;&gt;0,C408-Gear!$C$14,0)</f>
        <v>0</v>
      </c>
    </row>
    <row r="409" spans="20:21" x14ac:dyDescent="0.25">
      <c r="T409" s="9">
        <f>IF(C409&lt;&gt;0,C409-Gear!$C$14,0)</f>
        <v>0</v>
      </c>
      <c r="U409" s="9">
        <f>IF(C409&lt;&gt;0,C409-Gear!$C$14,0)</f>
        <v>0</v>
      </c>
    </row>
    <row r="410" spans="20:21" x14ac:dyDescent="0.25">
      <c r="T410" s="9">
        <f>IF(C410&lt;&gt;0,C410-Gear!$C$14,0)</f>
        <v>0</v>
      </c>
      <c r="U410" s="9">
        <f>IF(C410&lt;&gt;0,C410-Gear!$C$14,0)</f>
        <v>0</v>
      </c>
    </row>
    <row r="411" spans="20:21" x14ac:dyDescent="0.25">
      <c r="T411" s="9">
        <f>IF(C411&lt;&gt;0,C411-Gear!$C$14,0)</f>
        <v>0</v>
      </c>
      <c r="U411" s="9">
        <f>IF(C411&lt;&gt;0,C411-Gear!$C$14,0)</f>
        <v>0</v>
      </c>
    </row>
    <row r="412" spans="20:21" x14ac:dyDescent="0.25">
      <c r="T412" s="9">
        <f>IF(C412&lt;&gt;0,C412-Gear!$C$14,0)</f>
        <v>0</v>
      </c>
      <c r="U412" s="9">
        <f>IF(C412&lt;&gt;0,C412-Gear!$C$14,0)</f>
        <v>0</v>
      </c>
    </row>
    <row r="413" spans="20:21" x14ac:dyDescent="0.25">
      <c r="T413" s="9">
        <f>IF(C413&lt;&gt;0,C413-Gear!$C$14,0)</f>
        <v>0</v>
      </c>
      <c r="U413" s="9">
        <f>IF(C413&lt;&gt;0,C413-Gear!$C$14,0)</f>
        <v>0</v>
      </c>
    </row>
    <row r="414" spans="20:21" x14ac:dyDescent="0.25">
      <c r="T414" s="9">
        <f>IF(C414&lt;&gt;0,C414-Gear!$C$14,0)</f>
        <v>0</v>
      </c>
      <c r="U414" s="9">
        <f>IF(C414&lt;&gt;0,C414-Gear!$C$14,0)</f>
        <v>0</v>
      </c>
    </row>
    <row r="415" spans="20:21" x14ac:dyDescent="0.25">
      <c r="T415" s="9">
        <f>IF(C415&lt;&gt;0,C415-Gear!$C$14,0)</f>
        <v>0</v>
      </c>
      <c r="U415" s="9">
        <f>IF(C415&lt;&gt;0,C415-Gear!$C$14,0)</f>
        <v>0</v>
      </c>
    </row>
    <row r="416" spans="20:21" x14ac:dyDescent="0.25">
      <c r="T416" s="9">
        <f>IF(C416&lt;&gt;0,C416-Gear!$C$14,0)</f>
        <v>0</v>
      </c>
      <c r="U416" s="9">
        <f>IF(C416&lt;&gt;0,C416-Gear!$C$14,0)</f>
        <v>0</v>
      </c>
    </row>
    <row r="417" spans="20:21" x14ac:dyDescent="0.25">
      <c r="T417" s="9">
        <f>IF(C417&lt;&gt;0,C417-Gear!$C$14,0)</f>
        <v>0</v>
      </c>
      <c r="U417" s="9">
        <f>IF(C417&lt;&gt;0,C417-Gear!$C$14,0)</f>
        <v>0</v>
      </c>
    </row>
    <row r="418" spans="20:21" x14ac:dyDescent="0.25">
      <c r="T418" s="9">
        <f>IF(C418&lt;&gt;0,C418-Gear!$C$14,0)</f>
        <v>0</v>
      </c>
      <c r="U418" s="9">
        <f>IF(C418&lt;&gt;0,C418-Gear!$C$14,0)</f>
        <v>0</v>
      </c>
    </row>
    <row r="419" spans="20:21" x14ac:dyDescent="0.25">
      <c r="T419" s="9">
        <f>IF(C419&lt;&gt;0,C419-Gear!$C$14,0)</f>
        <v>0</v>
      </c>
      <c r="U419" s="9">
        <f>IF(C419&lt;&gt;0,C419-Gear!$C$14,0)</f>
        <v>0</v>
      </c>
    </row>
    <row r="420" spans="20:21" x14ac:dyDescent="0.25">
      <c r="T420" s="9">
        <f>IF(C420&lt;&gt;0,C420-Gear!$C$14,0)</f>
        <v>0</v>
      </c>
      <c r="U420" s="9">
        <f>IF(C420&lt;&gt;0,C420-Gear!$C$14,0)</f>
        <v>0</v>
      </c>
    </row>
    <row r="421" spans="20:21" x14ac:dyDescent="0.25">
      <c r="T421" s="9">
        <f>IF(C421&lt;&gt;0,C421-Gear!$C$14,0)</f>
        <v>0</v>
      </c>
      <c r="U421" s="9">
        <f>IF(C421&lt;&gt;0,C421-Gear!$C$14,0)</f>
        <v>0</v>
      </c>
    </row>
    <row r="422" spans="20:21" x14ac:dyDescent="0.25">
      <c r="T422" s="9">
        <f>IF(C422&lt;&gt;0,C422-Gear!$C$14,0)</f>
        <v>0</v>
      </c>
      <c r="U422" s="9">
        <f>IF(C422&lt;&gt;0,C422-Gear!$C$14,0)</f>
        <v>0</v>
      </c>
    </row>
    <row r="423" spans="20:21" x14ac:dyDescent="0.25">
      <c r="T423" s="9">
        <f>IF(C423&lt;&gt;0,C423-Gear!$C$14,0)</f>
        <v>0</v>
      </c>
      <c r="U423" s="9">
        <f>IF(C423&lt;&gt;0,C423-Gear!$C$14,0)</f>
        <v>0</v>
      </c>
    </row>
    <row r="424" spans="20:21" x14ac:dyDescent="0.25">
      <c r="T424" s="9">
        <f>IF(C424&lt;&gt;0,C424-Gear!$C$14,0)</f>
        <v>0</v>
      </c>
      <c r="U424" s="9">
        <f>IF(C424&lt;&gt;0,C424-Gear!$C$14,0)</f>
        <v>0</v>
      </c>
    </row>
    <row r="425" spans="20:21" x14ac:dyDescent="0.25">
      <c r="T425" s="9">
        <f>IF(C425&lt;&gt;0,C425-Gear!$C$14,0)</f>
        <v>0</v>
      </c>
      <c r="U425" s="9">
        <f>IF(C425&lt;&gt;0,C425-Gear!$C$14,0)</f>
        <v>0</v>
      </c>
    </row>
    <row r="426" spans="20:21" x14ac:dyDescent="0.25">
      <c r="T426" s="9">
        <f>IF(C426&lt;&gt;0,C426-Gear!$C$14,0)</f>
        <v>0</v>
      </c>
      <c r="U426" s="9">
        <f>IF(C426&lt;&gt;0,C426-Gear!$C$14,0)</f>
        <v>0</v>
      </c>
    </row>
    <row r="427" spans="20:21" x14ac:dyDescent="0.25">
      <c r="T427" s="9">
        <f>IF(C427&lt;&gt;0,C427-Gear!$C$14,0)</f>
        <v>0</v>
      </c>
      <c r="U427" s="9">
        <f>IF(C427&lt;&gt;0,C427-Gear!$C$14,0)</f>
        <v>0</v>
      </c>
    </row>
    <row r="428" spans="20:21" x14ac:dyDescent="0.25">
      <c r="T428" s="9">
        <f>IF(C428&lt;&gt;0,C428-Gear!$C$14,0)</f>
        <v>0</v>
      </c>
      <c r="U428" s="9">
        <f>IF(C428&lt;&gt;0,C428-Gear!$C$14,0)</f>
        <v>0</v>
      </c>
    </row>
    <row r="429" spans="20:21" x14ac:dyDescent="0.25">
      <c r="T429" s="9">
        <f>IF(C429&lt;&gt;0,C429-Gear!$C$14,0)</f>
        <v>0</v>
      </c>
      <c r="U429" s="9">
        <f>IF(C429&lt;&gt;0,C429-Gear!$C$14,0)</f>
        <v>0</v>
      </c>
    </row>
    <row r="430" spans="20:21" x14ac:dyDescent="0.25">
      <c r="T430" s="9">
        <f>IF(C430&lt;&gt;0,C430-Gear!$C$14,0)</f>
        <v>0</v>
      </c>
      <c r="U430" s="9">
        <f>IF(C430&lt;&gt;0,C430-Gear!$C$14,0)</f>
        <v>0</v>
      </c>
    </row>
    <row r="431" spans="20:21" x14ac:dyDescent="0.25">
      <c r="T431" s="9">
        <f>IF(C431&lt;&gt;0,C431-Gear!$C$14,0)</f>
        <v>0</v>
      </c>
      <c r="U431" s="9">
        <f>IF(C431&lt;&gt;0,C431-Gear!$C$14,0)</f>
        <v>0</v>
      </c>
    </row>
    <row r="432" spans="20:21" x14ac:dyDescent="0.25">
      <c r="T432" s="9">
        <f>IF(C432&lt;&gt;0,C432-Gear!$C$14,0)</f>
        <v>0</v>
      </c>
      <c r="U432" s="9">
        <f>IF(C432&lt;&gt;0,C432-Gear!$C$14,0)</f>
        <v>0</v>
      </c>
    </row>
    <row r="433" spans="20:21" x14ac:dyDescent="0.25">
      <c r="T433" s="9">
        <f>IF(C433&lt;&gt;0,C433-Gear!$C$14,0)</f>
        <v>0</v>
      </c>
      <c r="U433" s="9">
        <f>IF(C433&lt;&gt;0,C433-Gear!$C$14,0)</f>
        <v>0</v>
      </c>
    </row>
    <row r="434" spans="20:21" x14ac:dyDescent="0.25">
      <c r="T434" s="9">
        <f>IF(C434&lt;&gt;0,C434-Gear!$C$14,0)</f>
        <v>0</v>
      </c>
      <c r="U434" s="9">
        <f>IF(C434&lt;&gt;0,C434-Gear!$C$14,0)</f>
        <v>0</v>
      </c>
    </row>
    <row r="435" spans="20:21" x14ac:dyDescent="0.25">
      <c r="T435" s="9">
        <f>IF(C435&lt;&gt;0,C435-Gear!$C$14,0)</f>
        <v>0</v>
      </c>
      <c r="U435" s="9">
        <f>IF(C435&lt;&gt;0,C435-Gear!$C$14,0)</f>
        <v>0</v>
      </c>
    </row>
    <row r="436" spans="20:21" x14ac:dyDescent="0.25">
      <c r="T436" s="9">
        <f>IF(C436&lt;&gt;0,C436-Gear!$C$14,0)</f>
        <v>0</v>
      </c>
      <c r="U436" s="9">
        <f>IF(C436&lt;&gt;0,C436-Gear!$C$14,0)</f>
        <v>0</v>
      </c>
    </row>
    <row r="437" spans="20:21" x14ac:dyDescent="0.25">
      <c r="T437" s="9">
        <f>IF(C437&lt;&gt;0,C437-Gear!$C$14,0)</f>
        <v>0</v>
      </c>
      <c r="U437" s="9">
        <f>IF(C437&lt;&gt;0,C437-Gear!$C$14,0)</f>
        <v>0</v>
      </c>
    </row>
    <row r="438" spans="20:21" x14ac:dyDescent="0.25">
      <c r="T438" s="9">
        <f>IF(C438&lt;&gt;0,C438-Gear!$C$14,0)</f>
        <v>0</v>
      </c>
      <c r="U438" s="9">
        <f>IF(C438&lt;&gt;0,C438-Gear!$C$14,0)</f>
        <v>0</v>
      </c>
    </row>
    <row r="439" spans="20:21" x14ac:dyDescent="0.25">
      <c r="T439" s="9">
        <f>IF(C439&lt;&gt;0,C439-Gear!$C$14,0)</f>
        <v>0</v>
      </c>
      <c r="U439" s="9">
        <f>IF(C439&lt;&gt;0,C439-Gear!$C$14,0)</f>
        <v>0</v>
      </c>
    </row>
    <row r="440" spans="20:21" x14ac:dyDescent="0.25">
      <c r="T440" s="9">
        <f>IF(C440&lt;&gt;0,C440-Gear!$C$14,0)</f>
        <v>0</v>
      </c>
      <c r="U440" s="9">
        <f>IF(C440&lt;&gt;0,C440-Gear!$C$14,0)</f>
        <v>0</v>
      </c>
    </row>
    <row r="441" spans="20:21" x14ac:dyDescent="0.25">
      <c r="T441" s="9">
        <f>IF(C441&lt;&gt;0,C441-Gear!$C$14,0)</f>
        <v>0</v>
      </c>
      <c r="U441" s="9">
        <f>IF(C441&lt;&gt;0,C441-Gear!$C$14,0)</f>
        <v>0</v>
      </c>
    </row>
    <row r="442" spans="20:21" x14ac:dyDescent="0.25">
      <c r="T442" s="9">
        <f>IF(C442&lt;&gt;0,C442-Gear!$C$14,0)</f>
        <v>0</v>
      </c>
      <c r="U442" s="9">
        <f>IF(C442&lt;&gt;0,C442-Gear!$C$14,0)</f>
        <v>0</v>
      </c>
    </row>
    <row r="443" spans="20:21" x14ac:dyDescent="0.25">
      <c r="T443" s="9">
        <f>IF(C443&lt;&gt;0,C443-Gear!$C$14,0)</f>
        <v>0</v>
      </c>
      <c r="U443" s="9">
        <f>IF(C443&lt;&gt;0,C443-Gear!$C$14,0)</f>
        <v>0</v>
      </c>
    </row>
    <row r="444" spans="20:21" x14ac:dyDescent="0.25">
      <c r="T444" s="9">
        <f>IF(C444&lt;&gt;0,C444-Gear!$C$14,0)</f>
        <v>0</v>
      </c>
      <c r="U444" s="9">
        <f>IF(C444&lt;&gt;0,C444-Gear!$C$14,0)</f>
        <v>0</v>
      </c>
    </row>
    <row r="445" spans="20:21" x14ac:dyDescent="0.25">
      <c r="T445" s="9">
        <f>IF(C445&lt;&gt;0,C445-Gear!$C$14,0)</f>
        <v>0</v>
      </c>
      <c r="U445" s="9">
        <f>IF(C445&lt;&gt;0,C445-Gear!$C$14,0)</f>
        <v>0</v>
      </c>
    </row>
    <row r="446" spans="20:21" x14ac:dyDescent="0.25">
      <c r="T446" s="9">
        <f>IF(C446&lt;&gt;0,C446-Gear!$C$14,0)</f>
        <v>0</v>
      </c>
      <c r="U446" s="9">
        <f>IF(C446&lt;&gt;0,C446-Gear!$C$14,0)</f>
        <v>0</v>
      </c>
    </row>
    <row r="447" spans="20:21" x14ac:dyDescent="0.25">
      <c r="T447" s="9">
        <f>IF(C447&lt;&gt;0,C447-Gear!$C$14,0)</f>
        <v>0</v>
      </c>
      <c r="U447" s="9">
        <f>IF(C447&lt;&gt;0,C447-Gear!$C$14,0)</f>
        <v>0</v>
      </c>
    </row>
    <row r="448" spans="20:21" x14ac:dyDescent="0.25">
      <c r="T448" s="9">
        <f>IF(C448&lt;&gt;0,C448-Gear!$C$14,0)</f>
        <v>0</v>
      </c>
      <c r="U448" s="9">
        <f>IF(C448&lt;&gt;0,C448-Gear!$C$14,0)</f>
        <v>0</v>
      </c>
    </row>
    <row r="449" spans="20:21" x14ac:dyDescent="0.25">
      <c r="T449" s="9">
        <f>IF(C449&lt;&gt;0,C449-Gear!$C$14,0)</f>
        <v>0</v>
      </c>
      <c r="U449" s="9">
        <f>IF(C449&lt;&gt;0,C449-Gear!$C$14,0)</f>
        <v>0</v>
      </c>
    </row>
    <row r="450" spans="20:21" x14ac:dyDescent="0.25">
      <c r="T450" s="9">
        <f>IF(C450&lt;&gt;0,C450-Gear!$C$14,0)</f>
        <v>0</v>
      </c>
      <c r="U450" s="9">
        <f>IF(C450&lt;&gt;0,C450-Gear!$C$14,0)</f>
        <v>0</v>
      </c>
    </row>
    <row r="451" spans="20:21" x14ac:dyDescent="0.25">
      <c r="T451" s="9">
        <f>IF(C451&lt;&gt;0,C451-Gear!$C$14,0)</f>
        <v>0</v>
      </c>
      <c r="U451" s="9">
        <f>IF(C451&lt;&gt;0,C451-Gear!$C$14,0)</f>
        <v>0</v>
      </c>
    </row>
    <row r="452" spans="20:21" x14ac:dyDescent="0.25">
      <c r="T452" s="9">
        <f>IF(C452&lt;&gt;0,C452-Gear!$C$14,0)</f>
        <v>0</v>
      </c>
      <c r="U452" s="9">
        <f>IF(C452&lt;&gt;0,C452-Gear!$C$14,0)</f>
        <v>0</v>
      </c>
    </row>
    <row r="453" spans="20:21" x14ac:dyDescent="0.25">
      <c r="T453" s="9">
        <f>IF(C453&lt;&gt;0,C453-Gear!$C$14,0)</f>
        <v>0</v>
      </c>
      <c r="U453" s="9">
        <f>IF(C453&lt;&gt;0,C453-Gear!$C$14,0)</f>
        <v>0</v>
      </c>
    </row>
    <row r="454" spans="20:21" x14ac:dyDescent="0.25">
      <c r="T454" s="9">
        <f>IF(C454&lt;&gt;0,C454-Gear!$C$14,0)</f>
        <v>0</v>
      </c>
      <c r="U454" s="9">
        <f>IF(C454&lt;&gt;0,C454-Gear!$C$14,0)</f>
        <v>0</v>
      </c>
    </row>
    <row r="455" spans="20:21" x14ac:dyDescent="0.25">
      <c r="T455" s="9">
        <f>IF(C455&lt;&gt;0,C455-Gear!$C$14,0)</f>
        <v>0</v>
      </c>
      <c r="U455" s="9">
        <f>IF(C455&lt;&gt;0,C455-Gear!$C$14,0)</f>
        <v>0</v>
      </c>
    </row>
    <row r="456" spans="20:21" x14ac:dyDescent="0.25">
      <c r="T456" s="9">
        <f>IF(C456&lt;&gt;0,C456-Gear!$C$14,0)</f>
        <v>0</v>
      </c>
      <c r="U456" s="9">
        <f>IF(C456&lt;&gt;0,C456-Gear!$C$14,0)</f>
        <v>0</v>
      </c>
    </row>
    <row r="457" spans="20:21" x14ac:dyDescent="0.25">
      <c r="T457" s="9">
        <f>IF(C457&lt;&gt;0,C457-Gear!$C$14,0)</f>
        <v>0</v>
      </c>
      <c r="U457" s="9">
        <f>IF(C457&lt;&gt;0,C457-Gear!$C$14,0)</f>
        <v>0</v>
      </c>
    </row>
    <row r="458" spans="20:21" x14ac:dyDescent="0.25">
      <c r="T458" s="9">
        <f>IF(C458&lt;&gt;0,C458-Gear!$C$14,0)</f>
        <v>0</v>
      </c>
      <c r="U458" s="9">
        <f>IF(C458&lt;&gt;0,C458-Gear!$C$14,0)</f>
        <v>0</v>
      </c>
    </row>
    <row r="459" spans="20:21" x14ac:dyDescent="0.25">
      <c r="T459" s="9">
        <f>IF(C459&lt;&gt;0,C459-Gear!$C$14,0)</f>
        <v>0</v>
      </c>
      <c r="U459" s="9">
        <f>IF(C459&lt;&gt;0,C459-Gear!$C$14,0)</f>
        <v>0</v>
      </c>
    </row>
    <row r="460" spans="20:21" x14ac:dyDescent="0.25">
      <c r="T460" s="9">
        <f>IF(C460&lt;&gt;0,C460-Gear!$C$14,0)</f>
        <v>0</v>
      </c>
      <c r="U460" s="9">
        <f>IF(C460&lt;&gt;0,C460-Gear!$C$14,0)</f>
        <v>0</v>
      </c>
    </row>
    <row r="461" spans="20:21" x14ac:dyDescent="0.25">
      <c r="T461" s="9">
        <f>IF(C461&lt;&gt;0,C461-Gear!$C$14,0)</f>
        <v>0</v>
      </c>
      <c r="U461" s="9">
        <f>IF(C461&lt;&gt;0,C461-Gear!$C$14,0)</f>
        <v>0</v>
      </c>
    </row>
    <row r="462" spans="20:21" x14ac:dyDescent="0.25">
      <c r="T462" s="9">
        <f>IF(C462&lt;&gt;0,C462-Gear!$C$14,0)</f>
        <v>0</v>
      </c>
      <c r="U462" s="9">
        <f>IF(C462&lt;&gt;0,C462-Gear!$C$14,0)</f>
        <v>0</v>
      </c>
    </row>
    <row r="463" spans="20:21" x14ac:dyDescent="0.25">
      <c r="T463" s="9">
        <f>IF(C463&lt;&gt;0,C463-Gear!$C$14,0)</f>
        <v>0</v>
      </c>
      <c r="U463" s="9">
        <f>IF(C463&lt;&gt;0,C463-Gear!$C$14,0)</f>
        <v>0</v>
      </c>
    </row>
    <row r="464" spans="20:21" x14ac:dyDescent="0.25">
      <c r="T464" s="9">
        <f>IF(C464&lt;&gt;0,C464-Gear!$C$14,0)</f>
        <v>0</v>
      </c>
      <c r="U464" s="9">
        <f>IF(C464&lt;&gt;0,C464-Gear!$C$14,0)</f>
        <v>0</v>
      </c>
    </row>
    <row r="465" spans="20:21" x14ac:dyDescent="0.25">
      <c r="T465" s="9">
        <f>IF(C465&lt;&gt;0,C465-Gear!$C$14,0)</f>
        <v>0</v>
      </c>
      <c r="U465" s="9">
        <f>IF(C465&lt;&gt;0,C465-Gear!$C$14,0)</f>
        <v>0</v>
      </c>
    </row>
    <row r="466" spans="20:21" x14ac:dyDescent="0.25">
      <c r="T466" s="9">
        <f>IF(C466&lt;&gt;0,C466-Gear!$C$14,0)</f>
        <v>0</v>
      </c>
      <c r="U466" s="9">
        <f>IF(C466&lt;&gt;0,C466-Gear!$C$14,0)</f>
        <v>0</v>
      </c>
    </row>
    <row r="467" spans="20:21" x14ac:dyDescent="0.25">
      <c r="T467" s="9">
        <f>IF(C467&lt;&gt;0,C467-Gear!$C$14,0)</f>
        <v>0</v>
      </c>
      <c r="U467" s="9">
        <f>IF(C467&lt;&gt;0,C467-Gear!$C$14,0)</f>
        <v>0</v>
      </c>
    </row>
  </sheetData>
  <conditionalFormatting sqref="U2:U467">
    <cfRule type="cellIs" dxfId="3" priority="1" operator="greaterThan">
      <formula>1.68447512</formula>
    </cfRule>
  </conditionalFormatting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BFFEB-C1EC-4F68-83B7-52673BF91F87}">
  <sheetPr codeName="Tabelle17"/>
  <dimension ref="A1:U564"/>
  <sheetViews>
    <sheetView showGridLines="0" workbookViewId="0">
      <selection activeCell="C5" sqref="C5"/>
    </sheetView>
  </sheetViews>
  <sheetFormatPr baseColWidth="10" defaultRowHeight="15" x14ac:dyDescent="0.25"/>
  <cols>
    <col min="1" max="1" width="6" style="9" bestFit="1" customWidth="1"/>
    <col min="2" max="2" width="25.5703125" style="9" bestFit="1" customWidth="1"/>
    <col min="3" max="3" width="12" style="9" bestFit="1" customWidth="1"/>
    <col min="4" max="4" width="10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21" bestFit="1" customWidth="1"/>
    <col min="13" max="13" width="8.42578125" style="21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12.7109375" style="9" bestFit="1" customWidth="1"/>
    <col min="21" max="21" width="11.42578125" style="9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4" t="str">
        <f>Head!L1</f>
        <v>Spell Crit</v>
      </c>
      <c r="M1" s="34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Database'!A2</f>
        <v>22800</v>
      </c>
      <c r="B2" s="9" t="str">
        <f>'Item Database'!B2</f>
        <v>Brimstone Staff</v>
      </c>
      <c r="C2" s="12">
        <f>'Item Database'!C2</f>
        <v>50.681526070099984</v>
      </c>
      <c r="D2" s="9" t="str">
        <f>'Item Database'!D2</f>
        <v>Two-Hand</v>
      </c>
      <c r="E2" s="9">
        <f>'Item Database'!E2</f>
        <v>0</v>
      </c>
      <c r="F2" s="9">
        <f>'Item Database'!F2</f>
        <v>0</v>
      </c>
      <c r="G2" s="9">
        <f>'Item Database'!G2</f>
        <v>31</v>
      </c>
      <c r="H2" s="9">
        <f>'Item Database'!H2</f>
        <v>0</v>
      </c>
      <c r="I2" s="9">
        <f>'Item Database'!I2</f>
        <v>30</v>
      </c>
      <c r="J2" s="9">
        <f>'Item Database'!J2</f>
        <v>0</v>
      </c>
      <c r="K2" s="9">
        <f>'Item Database'!K2</f>
        <v>113</v>
      </c>
      <c r="L2" s="21">
        <f>'Item Database'!L2</f>
        <v>0.01</v>
      </c>
      <c r="M2" s="21">
        <f>'Item Database'!M2</f>
        <v>0.02</v>
      </c>
      <c r="N2" s="9">
        <f>'Item Database'!N2</f>
        <v>0</v>
      </c>
      <c r="O2" s="9">
        <f>'Item Database'!O2</f>
        <v>0</v>
      </c>
      <c r="P2" s="9">
        <f>'Item Database'!P2</f>
        <v>0</v>
      </c>
      <c r="Q2" s="9">
        <f>'Item Database'!Q2</f>
        <v>0</v>
      </c>
      <c r="R2" s="9">
        <f>'Item Database'!R2</f>
        <v>0</v>
      </c>
      <c r="S2" s="9">
        <f>'Item Database'!S2</f>
        <v>0</v>
      </c>
      <c r="T2" s="53" t="str">
        <f>HYPERLINK('Item Database'!T2)</f>
        <v>https://classic.wowhead.com/item=22800</v>
      </c>
      <c r="U2" s="9">
        <f>IF(C2&lt;&gt;0,C2-Gear!$C$16,0)</f>
        <v>50.681526070099984</v>
      </c>
    </row>
    <row r="3" spans="1:21" x14ac:dyDescent="0.25">
      <c r="A3" s="24">
        <f>'Item Database'!A3</f>
        <v>22799</v>
      </c>
      <c r="B3" s="9" t="str">
        <f>'Item Database'!B3</f>
        <v>Soulseeker</v>
      </c>
      <c r="C3" s="12">
        <f>'Item Database'!C3</f>
        <v>51.413735755663851</v>
      </c>
      <c r="D3" s="9" t="str">
        <f>'Item Database'!D3</f>
        <v>Two-Hand</v>
      </c>
      <c r="E3" s="9">
        <f>'Item Database'!E3</f>
        <v>0</v>
      </c>
      <c r="F3" s="9">
        <f>'Item Database'!F3</f>
        <v>0</v>
      </c>
      <c r="G3" s="9">
        <f>'Item Database'!G3</f>
        <v>30</v>
      </c>
      <c r="H3" s="9">
        <f>'Item Database'!H3</f>
        <v>0</v>
      </c>
      <c r="I3" s="9">
        <f>'Item Database'!I3</f>
        <v>31</v>
      </c>
      <c r="J3" s="9">
        <f>'Item Database'!J3</f>
        <v>0</v>
      </c>
      <c r="K3" s="9">
        <f>'Item Database'!K3</f>
        <v>126</v>
      </c>
      <c r="L3" s="21">
        <f>'Item Database'!L3</f>
        <v>0.02</v>
      </c>
      <c r="M3" s="21">
        <f>'Item Database'!M3</f>
        <v>0</v>
      </c>
      <c r="N3" s="9">
        <f>'Item Database'!N3</f>
        <v>0</v>
      </c>
      <c r="O3" s="9">
        <f>'Item Database'!O3</f>
        <v>0</v>
      </c>
      <c r="P3" s="9">
        <f>'Item Database'!P3</f>
        <v>0</v>
      </c>
      <c r="Q3" s="9">
        <f>'Item Database'!Q3</f>
        <v>0</v>
      </c>
      <c r="R3" s="9">
        <f>'Item Database'!R3</f>
        <v>0</v>
      </c>
      <c r="S3" s="9">
        <f>'Item Database'!S3</f>
        <v>0</v>
      </c>
      <c r="T3" s="53" t="str">
        <f>HYPERLINK('Item Database'!T3)</f>
        <v>https://classic.wowhead.com/item=22799</v>
      </c>
      <c r="U3" s="9">
        <f>IF(C3&lt;&gt;0,C3-Gear!$C$16,0)</f>
        <v>51.413735755663851</v>
      </c>
    </row>
    <row r="4" spans="1:21" x14ac:dyDescent="0.25">
      <c r="A4" s="24">
        <f>'Item Database'!A4</f>
        <v>21273</v>
      </c>
      <c r="B4" s="9" t="str">
        <f>'Item Database'!B4</f>
        <v>Blessed Qiraji Acolyte Staff</v>
      </c>
      <c r="C4" s="12">
        <f>'Item Database'!C4</f>
        <v>37.521605388999859</v>
      </c>
      <c r="D4" s="9" t="str">
        <f>'Item Database'!D4</f>
        <v>Two-Hand</v>
      </c>
      <c r="E4" s="9">
        <f>'Item Database'!E4</f>
        <v>0</v>
      </c>
      <c r="F4" s="9">
        <f>'Item Database'!F4</f>
        <v>0</v>
      </c>
      <c r="G4" s="9">
        <f>'Item Database'!G4</f>
        <v>32</v>
      </c>
      <c r="H4" s="9">
        <f>'Item Database'!H4</f>
        <v>0</v>
      </c>
      <c r="I4" s="9">
        <f>'Item Database'!I4</f>
        <v>33</v>
      </c>
      <c r="J4" s="9">
        <f>'Item Database'!J4</f>
        <v>0</v>
      </c>
      <c r="K4" s="9">
        <f>'Item Database'!K4</f>
        <v>76</v>
      </c>
      <c r="L4" s="21">
        <f>'Item Database'!L4</f>
        <v>0.01</v>
      </c>
      <c r="M4" s="21">
        <f>'Item Database'!M4</f>
        <v>0.02</v>
      </c>
      <c r="N4" s="9">
        <f>'Item Database'!N4</f>
        <v>0</v>
      </c>
      <c r="O4" s="9">
        <f>'Item Database'!O4</f>
        <v>0</v>
      </c>
      <c r="P4" s="9">
        <f>'Item Database'!P4</f>
        <v>0</v>
      </c>
      <c r="Q4" s="9">
        <f>'Item Database'!Q4</f>
        <v>0</v>
      </c>
      <c r="R4" s="9">
        <f>'Item Database'!R4</f>
        <v>0</v>
      </c>
      <c r="S4" s="9">
        <f>'Item Database'!S4</f>
        <v>0</v>
      </c>
      <c r="T4" s="53" t="str">
        <f>HYPERLINK('Item Database'!T4)</f>
        <v>https://classic.wowhead.com/item=21273</v>
      </c>
      <c r="U4" s="9">
        <f>IF(C4&lt;&gt;0,C4-Gear!$C$16,0)</f>
        <v>37.521605388999859</v>
      </c>
    </row>
    <row r="5" spans="1:21" x14ac:dyDescent="0.25">
      <c r="A5" s="24">
        <f>'Item Database'!A5</f>
        <v>19356</v>
      </c>
      <c r="B5" s="9" t="str">
        <f>'Item Database'!B5</f>
        <v>Staff of the Shadow Flame</v>
      </c>
      <c r="C5" s="12">
        <f>'Item Database'!C5</f>
        <v>36.252813449586547</v>
      </c>
      <c r="D5" s="9" t="str">
        <f>'Item Database'!D5</f>
        <v>Two-Hand</v>
      </c>
      <c r="E5" s="9">
        <f>'Item Database'!E5</f>
        <v>0</v>
      </c>
      <c r="F5" s="9">
        <f>'Item Database'!F5</f>
        <v>0</v>
      </c>
      <c r="G5" s="9">
        <f>'Item Database'!G5</f>
        <v>24</v>
      </c>
      <c r="H5" s="9">
        <f>'Item Database'!H5</f>
        <v>0</v>
      </c>
      <c r="I5" s="9">
        <f>'Item Database'!I5</f>
        <v>29</v>
      </c>
      <c r="J5" s="9">
        <f>'Item Database'!J5</f>
        <v>18</v>
      </c>
      <c r="K5" s="9">
        <f>'Item Database'!K5</f>
        <v>84</v>
      </c>
      <c r="L5" s="21">
        <f>'Item Database'!L5</f>
        <v>0.02</v>
      </c>
      <c r="M5" s="21">
        <f>'Item Database'!M5</f>
        <v>0</v>
      </c>
      <c r="N5" s="9">
        <f>'Item Database'!N5</f>
        <v>0</v>
      </c>
      <c r="O5" s="9">
        <f>'Item Database'!O5</f>
        <v>0</v>
      </c>
      <c r="P5" s="9">
        <f>'Item Database'!P5</f>
        <v>0</v>
      </c>
      <c r="Q5" s="9">
        <f>'Item Database'!Q5</f>
        <v>0</v>
      </c>
      <c r="R5" s="9">
        <f>'Item Database'!R5</f>
        <v>0</v>
      </c>
      <c r="S5" s="9">
        <f>'Item Database'!S5</f>
        <v>0</v>
      </c>
      <c r="T5" s="53" t="str">
        <f>HYPERLINK('Item Database'!T5)</f>
        <v>https://classic.wowhead.com/item=19356</v>
      </c>
      <c r="U5" s="9">
        <f>IF(C5&lt;&gt;0,C5-Gear!$C$16,0)</f>
        <v>36.252813449586547</v>
      </c>
    </row>
    <row r="6" spans="1:21" x14ac:dyDescent="0.25">
      <c r="A6" s="9">
        <f>'Item Database'!A6</f>
        <v>21452</v>
      </c>
      <c r="B6" s="9" t="str">
        <f>'Item Database'!B6</f>
        <v>Staff of the Ruins</v>
      </c>
      <c r="C6" s="12">
        <f>'Item Database'!C6</f>
        <v>28.15212863560377</v>
      </c>
      <c r="D6" s="9" t="str">
        <f>'Item Database'!D6</f>
        <v>Two-Hand</v>
      </c>
      <c r="E6" s="9">
        <f>'Item Database'!E6</f>
        <v>0</v>
      </c>
      <c r="F6" s="9">
        <f>'Item Database'!F6</f>
        <v>0</v>
      </c>
      <c r="G6" s="9">
        <f>'Item Database'!G6</f>
        <v>24</v>
      </c>
      <c r="H6" s="9">
        <f>'Item Database'!H6</f>
        <v>0</v>
      </c>
      <c r="I6" s="9">
        <f>'Item Database'!I6</f>
        <v>23</v>
      </c>
      <c r="J6" s="9">
        <f>'Item Database'!J6</f>
        <v>14</v>
      </c>
      <c r="K6" s="9">
        <f>'Item Database'!K6</f>
        <v>60</v>
      </c>
      <c r="L6" s="21">
        <f>'Item Database'!L6</f>
        <v>0.01</v>
      </c>
      <c r="M6" s="21">
        <f>'Item Database'!M6</f>
        <v>0.01</v>
      </c>
      <c r="N6" s="9">
        <f>'Item Database'!N6</f>
        <v>0</v>
      </c>
      <c r="O6" s="9">
        <f>'Item Database'!O6</f>
        <v>0</v>
      </c>
      <c r="P6" s="9">
        <f>'Item Database'!P6</f>
        <v>0</v>
      </c>
      <c r="Q6" s="9">
        <f>'Item Database'!Q6</f>
        <v>0</v>
      </c>
      <c r="R6" s="9">
        <f>'Item Database'!R6</f>
        <v>0</v>
      </c>
      <c r="S6" s="9">
        <f>'Item Database'!S6</f>
        <v>0</v>
      </c>
      <c r="T6" s="53" t="str">
        <f>HYPERLINK('Item Database'!T6)</f>
        <v>https://classic.wowhead.com/item=21452</v>
      </c>
      <c r="U6" s="9">
        <f>IF(C6&lt;&gt;0,C6-Gear!$C$16,0)</f>
        <v>28.15212863560377</v>
      </c>
    </row>
    <row r="7" spans="1:21" x14ac:dyDescent="0.25">
      <c r="A7" s="9">
        <f>'Item Database'!A7</f>
        <v>23451</v>
      </c>
      <c r="B7" s="9" t="str">
        <f>'Item Database'!B7</f>
        <v>Grand Marshal's Mageblade</v>
      </c>
      <c r="C7" s="12">
        <f>'Item Database'!C7</f>
        <v>28.629080623501793</v>
      </c>
      <c r="D7" s="9" t="str">
        <f>'Item Database'!D7</f>
        <v>Weapon</v>
      </c>
      <c r="E7" s="9">
        <f>'Item Database'!E7</f>
        <v>0</v>
      </c>
      <c r="F7" s="9">
        <f>'Item Database'!F7</f>
        <v>0</v>
      </c>
      <c r="G7" s="9">
        <f>'Item Database'!G7</f>
        <v>14</v>
      </c>
      <c r="H7" s="9">
        <f>'Item Database'!H7</f>
        <v>0</v>
      </c>
      <c r="I7" s="9">
        <f>'Item Database'!I7</f>
        <v>8</v>
      </c>
      <c r="J7" s="9">
        <f>'Item Database'!J7</f>
        <v>0</v>
      </c>
      <c r="K7" s="9">
        <f>'Item Database'!K7</f>
        <v>72</v>
      </c>
      <c r="L7" s="21">
        <f>'Item Database'!L7</f>
        <v>0.01</v>
      </c>
      <c r="M7" s="21">
        <f>'Item Database'!M7</f>
        <v>0</v>
      </c>
      <c r="N7" s="9">
        <f>'Item Database'!N7</f>
        <v>0</v>
      </c>
      <c r="O7" s="9">
        <f>'Item Database'!O7</f>
        <v>0</v>
      </c>
      <c r="P7" s="9">
        <f>'Item Database'!P7</f>
        <v>0</v>
      </c>
      <c r="Q7" s="9">
        <f>'Item Database'!Q7</f>
        <v>0</v>
      </c>
      <c r="R7" s="9">
        <f>'Item Database'!R7</f>
        <v>0</v>
      </c>
      <c r="S7" s="9">
        <f>'Item Database'!S7</f>
        <v>0</v>
      </c>
      <c r="T7" s="53" t="str">
        <f>HYPERLINK('Item Database'!T7)</f>
        <v>https://classic.wowhead.com/item=23451</v>
      </c>
      <c r="U7" s="9">
        <f>IF(C7&lt;&gt;0,C7-Gear!$C$16,0)</f>
        <v>28.629080623501793</v>
      </c>
    </row>
    <row r="8" spans="1:21" x14ac:dyDescent="0.25">
      <c r="A8" s="24">
        <f>'Item Database'!A9</f>
        <v>18873</v>
      </c>
      <c r="B8" s="9" t="str">
        <f>'Item Database'!B9</f>
        <v>Grand Marshal's Stave</v>
      </c>
      <c r="C8" s="12">
        <f>'Item Database'!C9</f>
        <v>26.437233462198794</v>
      </c>
      <c r="D8" s="9" t="str">
        <f>'Item Database'!D9</f>
        <v>Two-Hand</v>
      </c>
      <c r="E8" s="9">
        <f>'Item Database'!E9</f>
        <v>0</v>
      </c>
      <c r="F8" s="9">
        <f>'Item Database'!F9</f>
        <v>0</v>
      </c>
      <c r="G8" s="9">
        <f>'Item Database'!G9</f>
        <v>41</v>
      </c>
      <c r="H8" s="9">
        <f>'Item Database'!H9</f>
        <v>0</v>
      </c>
      <c r="I8" s="9">
        <f>'Item Database'!I9</f>
        <v>23</v>
      </c>
      <c r="J8" s="9">
        <f>'Item Database'!J9</f>
        <v>17</v>
      </c>
      <c r="K8" s="9">
        <f>'Item Database'!K9</f>
        <v>71</v>
      </c>
      <c r="L8" s="21">
        <f>'Item Database'!L9</f>
        <v>0</v>
      </c>
      <c r="M8" s="21">
        <f>'Item Database'!M9</f>
        <v>0</v>
      </c>
      <c r="N8" s="9">
        <f>'Item Database'!N9</f>
        <v>0</v>
      </c>
      <c r="O8" s="9">
        <f>'Item Database'!O9</f>
        <v>0</v>
      </c>
      <c r="P8" s="9">
        <f>'Item Database'!P9</f>
        <v>0</v>
      </c>
      <c r="Q8" s="9">
        <f>'Item Database'!Q9</f>
        <v>0</v>
      </c>
      <c r="R8" s="9">
        <f>'Item Database'!R9</f>
        <v>0</v>
      </c>
      <c r="S8" s="9">
        <f>'Item Database'!S9</f>
        <v>0</v>
      </c>
      <c r="T8" s="53" t="str">
        <f>HYPERLINK('Item Database'!T9)</f>
        <v>https://classic.wowhead.com/item=18873</v>
      </c>
      <c r="U8" s="9">
        <f>IF(C8&lt;&gt;0,C8-Gear!$C$16,0)</f>
        <v>26.437233462198794</v>
      </c>
    </row>
    <row r="9" spans="1:21" x14ac:dyDescent="0.25">
      <c r="A9" s="24">
        <f>'Item Database'!A12</f>
        <v>19347</v>
      </c>
      <c r="B9" s="9" t="str">
        <f>'Item Database'!B12</f>
        <v>Claw of Chromaggus</v>
      </c>
      <c r="C9" s="12">
        <f>'Item Database'!C12</f>
        <v>23.677018470824006</v>
      </c>
      <c r="D9" s="9" t="str">
        <f>'Item Database'!D12</f>
        <v>Weapon</v>
      </c>
      <c r="E9" s="9">
        <f>'Item Database'!E12</f>
        <v>0</v>
      </c>
      <c r="F9" s="9">
        <f>'Item Database'!F12</f>
        <v>0</v>
      </c>
      <c r="G9" s="9">
        <f>'Item Database'!G12</f>
        <v>7</v>
      </c>
      <c r="H9" s="9">
        <f>'Item Database'!H12</f>
        <v>0</v>
      </c>
      <c r="I9" s="9">
        <f>'Item Database'!I12</f>
        <v>17</v>
      </c>
      <c r="J9" s="9">
        <f>'Item Database'!J12</f>
        <v>0</v>
      </c>
      <c r="K9" s="9">
        <f>'Item Database'!K12</f>
        <v>64</v>
      </c>
      <c r="L9" s="21">
        <f>'Item Database'!L12</f>
        <v>0</v>
      </c>
      <c r="M9" s="21">
        <f>'Item Database'!M12</f>
        <v>0</v>
      </c>
      <c r="N9" s="9">
        <f>'Item Database'!N12</f>
        <v>4</v>
      </c>
      <c r="O9" s="9">
        <f>'Item Database'!O12</f>
        <v>0</v>
      </c>
      <c r="P9" s="9">
        <f>'Item Database'!P12</f>
        <v>0</v>
      </c>
      <c r="Q9" s="9">
        <f>'Item Database'!Q12</f>
        <v>0</v>
      </c>
      <c r="R9" s="9">
        <f>'Item Database'!R12</f>
        <v>0</v>
      </c>
      <c r="S9" s="9">
        <f>'Item Database'!S12</f>
        <v>0</v>
      </c>
      <c r="T9" s="53" t="str">
        <f>HYPERLINK('Item Database'!T12)</f>
        <v>https://classic.wowhead.com/item=19347</v>
      </c>
      <c r="U9" s="9">
        <f>IF(C9&lt;&gt;0,C9-Gear!$C$16,0)</f>
        <v>23.677018470824006</v>
      </c>
    </row>
    <row r="10" spans="1:21" x14ac:dyDescent="0.25">
      <c r="A10" s="24">
        <f>'Item Database'!A15</f>
        <v>20069</v>
      </c>
      <c r="B10" s="9" t="str">
        <f>'Item Database'!B15</f>
        <v>Ironbark Staff</v>
      </c>
      <c r="C10" s="12">
        <f>'Item Database'!C15</f>
        <v>20.032694281021364</v>
      </c>
      <c r="D10" s="9" t="str">
        <f>'Item Database'!D15</f>
        <v>Two-Hand</v>
      </c>
      <c r="E10" s="9">
        <f>'Item Database'!E15</f>
        <v>95</v>
      </c>
      <c r="F10" s="9">
        <f>'Item Database'!F15</f>
        <v>0</v>
      </c>
      <c r="G10" s="9">
        <f>'Item Database'!G15</f>
        <v>19</v>
      </c>
      <c r="H10" s="9">
        <f>'Item Database'!H15</f>
        <v>0</v>
      </c>
      <c r="I10" s="9">
        <f>'Item Database'!I15</f>
        <v>10</v>
      </c>
      <c r="J10" s="9">
        <f>'Item Database'!J15</f>
        <v>0</v>
      </c>
      <c r="K10" s="9">
        <f>'Item Database'!K15</f>
        <v>41</v>
      </c>
      <c r="L10" s="21">
        <f>'Item Database'!L15</f>
        <v>0.02</v>
      </c>
      <c r="M10" s="21">
        <f>'Item Database'!M15</f>
        <v>0</v>
      </c>
      <c r="N10" s="9">
        <f>'Item Database'!N15</f>
        <v>0</v>
      </c>
      <c r="O10" s="9">
        <f>'Item Database'!O15</f>
        <v>0</v>
      </c>
      <c r="P10" s="9">
        <f>'Item Database'!P15</f>
        <v>0</v>
      </c>
      <c r="Q10" s="9">
        <f>'Item Database'!Q15</f>
        <v>0</v>
      </c>
      <c r="R10" s="9">
        <f>'Item Database'!R15</f>
        <v>0</v>
      </c>
      <c r="S10" s="9">
        <f>'Item Database'!S15</f>
        <v>0</v>
      </c>
      <c r="T10" s="53" t="str">
        <f>HYPERLINK('Item Database'!T15)</f>
        <v>https://classic.wowhead.com/item=20069</v>
      </c>
      <c r="U10" s="9">
        <f>IF(C10&lt;&gt;0,C10-Gear!$C$16,0)</f>
        <v>20.032694281021364</v>
      </c>
    </row>
    <row r="11" spans="1:21" x14ac:dyDescent="0.25">
      <c r="A11" s="24">
        <f>'Item Database'!A16</f>
        <v>21128</v>
      </c>
      <c r="B11" s="9" t="str">
        <f>'Item Database'!B16</f>
        <v>Staff of the Qiraji Prophets</v>
      </c>
      <c r="C11" s="12">
        <f>'Item Database'!C16</f>
        <v>21.175599691946214</v>
      </c>
      <c r="D11" s="9" t="str">
        <f>'Item Database'!D16</f>
        <v>Two-Hand</v>
      </c>
      <c r="E11" s="9">
        <f>'Item Database'!E16</f>
        <v>0</v>
      </c>
      <c r="F11" s="9">
        <f>'Item Database'!F16</f>
        <v>0</v>
      </c>
      <c r="G11" s="9">
        <f>'Item Database'!G16</f>
        <v>21</v>
      </c>
      <c r="H11" s="9">
        <f>'Item Database'!H16</f>
        <v>0</v>
      </c>
      <c r="I11" s="9">
        <f>'Item Database'!I16</f>
        <v>26</v>
      </c>
      <c r="J11" s="9">
        <f>'Item Database'!J16</f>
        <v>8</v>
      </c>
      <c r="K11" s="9">
        <f>'Item Database'!K16</f>
        <v>56</v>
      </c>
      <c r="L11" s="21">
        <f>'Item Database'!L16</f>
        <v>0</v>
      </c>
      <c r="M11" s="21">
        <f>'Item Database'!M16</f>
        <v>0</v>
      </c>
      <c r="N11" s="9">
        <f>'Item Database'!N16</f>
        <v>0</v>
      </c>
      <c r="O11" s="9">
        <f>'Item Database'!O16</f>
        <v>10</v>
      </c>
      <c r="P11" s="9">
        <f>'Item Database'!P16</f>
        <v>10</v>
      </c>
      <c r="Q11" s="9">
        <f>'Item Database'!Q16</f>
        <v>10</v>
      </c>
      <c r="R11" s="9">
        <f>'Item Database'!R16</f>
        <v>10</v>
      </c>
      <c r="S11" s="9">
        <f>'Item Database'!S16</f>
        <v>10</v>
      </c>
      <c r="T11" s="53" t="str">
        <f>HYPERLINK('Item Database'!T16)</f>
        <v>https://classic.wowhead.com/item=21128</v>
      </c>
      <c r="U11" s="9">
        <f>IF(C11&lt;&gt;0,C11-Gear!$C$16,0)</f>
        <v>21.175599691946214</v>
      </c>
    </row>
    <row r="12" spans="1:21" x14ac:dyDescent="0.25">
      <c r="A12" s="24">
        <f>'Item Database'!A20</f>
        <v>19884</v>
      </c>
      <c r="B12" s="9" t="str">
        <f>'Item Database'!B20</f>
        <v>Jin'do's Judgement</v>
      </c>
      <c r="C12" s="12">
        <f>'Item Database'!C20</f>
        <v>16.532015463848605</v>
      </c>
      <c r="D12" s="9" t="str">
        <f>'Item Database'!D20</f>
        <v>Two-Hand</v>
      </c>
      <c r="E12" s="9">
        <f>'Item Database'!E20</f>
        <v>0</v>
      </c>
      <c r="F12" s="9">
        <f>'Item Database'!F20</f>
        <v>0</v>
      </c>
      <c r="G12" s="9">
        <f>'Item Database'!G20</f>
        <v>10</v>
      </c>
      <c r="H12" s="9">
        <f>'Item Database'!H20</f>
        <v>0</v>
      </c>
      <c r="I12" s="9">
        <f>'Item Database'!I20</f>
        <v>10</v>
      </c>
      <c r="J12" s="9">
        <f>'Item Database'!J20</f>
        <v>0</v>
      </c>
      <c r="K12" s="9">
        <f>'Item Database'!K20</f>
        <v>27</v>
      </c>
      <c r="L12" s="21">
        <f>'Item Database'!L20</f>
        <v>0</v>
      </c>
      <c r="M12" s="21">
        <f>'Item Database'!M20</f>
        <v>0.02</v>
      </c>
      <c r="N12" s="9">
        <f>'Item Database'!N20</f>
        <v>14</v>
      </c>
      <c r="O12" s="9">
        <f>'Item Database'!O20</f>
        <v>0</v>
      </c>
      <c r="P12" s="9">
        <f>'Item Database'!P20</f>
        <v>0</v>
      </c>
      <c r="Q12" s="9">
        <f>'Item Database'!Q20</f>
        <v>0</v>
      </c>
      <c r="R12" s="9">
        <f>'Item Database'!R20</f>
        <v>0</v>
      </c>
      <c r="S12" s="9">
        <f>'Item Database'!S20</f>
        <v>0</v>
      </c>
      <c r="T12" s="53" t="str">
        <f>HYPERLINK('Item Database'!T20)</f>
        <v>https://classic.wowhead.com/item=19884</v>
      </c>
      <c r="U12" s="9">
        <f>IF(C12&lt;&gt;0,C12-Gear!$C$16,0)</f>
        <v>16.532015463848605</v>
      </c>
    </row>
    <row r="13" spans="1:21" x14ac:dyDescent="0.25">
      <c r="A13" s="24">
        <f>'Item Database'!A22</f>
        <v>18842</v>
      </c>
      <c r="B13" s="9" t="str">
        <f>'Item Database'!B22</f>
        <v>Staff of Dominance</v>
      </c>
      <c r="C13" s="12">
        <f>'Item Database'!C22</f>
        <v>18.335094522837693</v>
      </c>
      <c r="D13" s="9" t="str">
        <f>'Item Database'!D22</f>
        <v>Two-Hand</v>
      </c>
      <c r="E13" s="9">
        <f>'Item Database'!E22</f>
        <v>0</v>
      </c>
      <c r="F13" s="9">
        <f>'Item Database'!F22</f>
        <v>0</v>
      </c>
      <c r="G13" s="9">
        <f>'Item Database'!G22</f>
        <v>16</v>
      </c>
      <c r="H13" s="9">
        <f>'Item Database'!H22</f>
        <v>0</v>
      </c>
      <c r="I13" s="9">
        <f>'Item Database'!I22</f>
        <v>37</v>
      </c>
      <c r="J13" s="9">
        <f>'Item Database'!J22</f>
        <v>14</v>
      </c>
      <c r="K13" s="9">
        <f>'Item Database'!K22</f>
        <v>40</v>
      </c>
      <c r="L13" s="21">
        <f>'Item Database'!L22</f>
        <v>0.01</v>
      </c>
      <c r="M13" s="21">
        <f>'Item Database'!M22</f>
        <v>0</v>
      </c>
      <c r="N13" s="9">
        <f>'Item Database'!N22</f>
        <v>0</v>
      </c>
      <c r="O13" s="9">
        <f>'Item Database'!O22</f>
        <v>0</v>
      </c>
      <c r="P13" s="9">
        <f>'Item Database'!P22</f>
        <v>0</v>
      </c>
      <c r="Q13" s="9">
        <f>'Item Database'!Q22</f>
        <v>0</v>
      </c>
      <c r="R13" s="9">
        <f>'Item Database'!R22</f>
        <v>0</v>
      </c>
      <c r="S13" s="9">
        <f>'Item Database'!S22</f>
        <v>0</v>
      </c>
      <c r="T13" s="53" t="str">
        <f>HYPERLINK('Item Database'!T22)</f>
        <v>https://classic.wowhead.com/item=18842</v>
      </c>
      <c r="U13" s="9">
        <f>IF(C13&lt;&gt;0,C13-Gear!$C$16,0)</f>
        <v>18.335094522837693</v>
      </c>
    </row>
    <row r="14" spans="1:21" x14ac:dyDescent="0.25">
      <c r="A14" s="24">
        <f>'Item Database'!A24</f>
        <v>19438</v>
      </c>
      <c r="B14" s="9" t="str">
        <f>'Item Database'!B24</f>
        <v>Ringo's Blizzard Boots</v>
      </c>
      <c r="C14" s="12">
        <f>'Item Database'!C24</f>
        <v>18.068164314234505</v>
      </c>
      <c r="D14" s="9" t="str">
        <f>'Item Database'!D24</f>
        <v>Feet</v>
      </c>
      <c r="E14" s="9">
        <f>'Item Database'!E24</f>
        <v>75</v>
      </c>
      <c r="F14" s="9">
        <f>'Item Database'!F24</f>
        <v>0</v>
      </c>
      <c r="G14" s="9">
        <f>'Item Database'!G24</f>
        <v>11</v>
      </c>
      <c r="H14" s="9">
        <f>'Item Database'!H24</f>
        <v>0</v>
      </c>
      <c r="I14" s="9">
        <f>'Item Database'!I24</f>
        <v>12</v>
      </c>
      <c r="J14" s="9">
        <f>'Item Database'!J24</f>
        <v>0</v>
      </c>
      <c r="K14" s="9">
        <f>'Item Database'!K24</f>
        <v>40</v>
      </c>
      <c r="L14" s="21">
        <f>'Item Database'!L24</f>
        <v>0</v>
      </c>
      <c r="M14" s="21">
        <f>'Item Database'!M24</f>
        <v>0.01</v>
      </c>
      <c r="N14" s="9">
        <f>'Item Database'!N24</f>
        <v>0</v>
      </c>
      <c r="O14" s="9">
        <f>'Item Database'!O24</f>
        <v>0</v>
      </c>
      <c r="P14" s="9">
        <f>'Item Database'!P24</f>
        <v>0</v>
      </c>
      <c r="Q14" s="9">
        <f>'Item Database'!Q24</f>
        <v>0</v>
      </c>
      <c r="R14" s="9">
        <f>'Item Database'!R24</f>
        <v>0</v>
      </c>
      <c r="S14" s="9">
        <f>'Item Database'!S24</f>
        <v>0</v>
      </c>
      <c r="T14" s="53" t="str">
        <f>HYPERLINK('Item Database'!T24)</f>
        <v>https://classic.wowhead.com/item=19438</v>
      </c>
      <c r="U14" s="9">
        <f>IF(C14&lt;&gt;0,C14-Gear!$C$16,0)</f>
        <v>18.068164314234505</v>
      </c>
    </row>
    <row r="15" spans="1:21" x14ac:dyDescent="0.25">
      <c r="A15" s="24">
        <f>'Item Database'!A30</f>
        <v>14152</v>
      </c>
      <c r="B15" s="9" t="str">
        <f>'Item Database'!B30</f>
        <v>Robe of the Archmage</v>
      </c>
      <c r="C15" s="12">
        <f>'Item Database'!C30</f>
        <v>17.30541243300576</v>
      </c>
      <c r="D15" s="9" t="str">
        <f>'Item Database'!D30</f>
        <v>Chest</v>
      </c>
      <c r="E15" s="9">
        <f>'Item Database'!E30</f>
        <v>96</v>
      </c>
      <c r="F15" s="9">
        <f>'Item Database'!F30</f>
        <v>0</v>
      </c>
      <c r="G15" s="9">
        <f>'Item Database'!G30</f>
        <v>0</v>
      </c>
      <c r="H15" s="9">
        <f>'Item Database'!H30</f>
        <v>0</v>
      </c>
      <c r="I15" s="9">
        <f>'Item Database'!I30</f>
        <v>12</v>
      </c>
      <c r="J15" s="9">
        <f>'Item Database'!J30</f>
        <v>0</v>
      </c>
      <c r="K15" s="9">
        <f>'Item Database'!K30</f>
        <v>40</v>
      </c>
      <c r="L15" s="21">
        <f>'Item Database'!L30</f>
        <v>0.01</v>
      </c>
      <c r="M15" s="21">
        <f>'Item Database'!M30</f>
        <v>0</v>
      </c>
      <c r="N15" s="9">
        <f>'Item Database'!N30</f>
        <v>0</v>
      </c>
      <c r="O15" s="9">
        <f>'Item Database'!O30</f>
        <v>0</v>
      </c>
      <c r="P15" s="9">
        <f>'Item Database'!P30</f>
        <v>0</v>
      </c>
      <c r="Q15" s="9">
        <f>'Item Database'!Q30</f>
        <v>0</v>
      </c>
      <c r="R15" s="9">
        <f>'Item Database'!R30</f>
        <v>0</v>
      </c>
      <c r="S15" s="9">
        <f>'Item Database'!S30</f>
        <v>0</v>
      </c>
      <c r="T15" s="53" t="str">
        <f>HYPERLINK('Item Database'!T30)</f>
        <v>https://classic.wowhead.com/item=14152</v>
      </c>
      <c r="U15" s="9">
        <f>IF(C15&lt;&gt;0,C15-Gear!$C$16,0)</f>
        <v>17.30541243300576</v>
      </c>
    </row>
    <row r="16" spans="1:21" x14ac:dyDescent="0.25">
      <c r="A16" s="9">
        <f>'Item Database'!A55</f>
        <v>23046</v>
      </c>
      <c r="B16" s="9" t="str">
        <f>'Item Database'!B55</f>
        <v>The Restrained Essence of Sapphiron</v>
      </c>
      <c r="C16" s="12">
        <f>'Item Database'!C55</f>
        <v>14.360521656086432</v>
      </c>
      <c r="D16" s="9" t="str">
        <f>'Item Database'!D55</f>
        <v>Trinket</v>
      </c>
      <c r="E16" s="9">
        <f>'Item Database'!E55</f>
        <v>0</v>
      </c>
      <c r="F16" s="9">
        <f>'Item Database'!F55</f>
        <v>0</v>
      </c>
      <c r="G16" s="9">
        <f>'Item Database'!G55</f>
        <v>0</v>
      </c>
      <c r="H16" s="9">
        <f>'Item Database'!H55</f>
        <v>0</v>
      </c>
      <c r="I16" s="9">
        <f>'Item Database'!I55</f>
        <v>0</v>
      </c>
      <c r="J16" s="9">
        <f>'Item Database'!J55</f>
        <v>0</v>
      </c>
      <c r="K16" s="9">
        <f>'Item Database'!K55</f>
        <v>40</v>
      </c>
      <c r="L16" s="21">
        <f>'Item Database'!L55</f>
        <v>0</v>
      </c>
      <c r="M16" s="21">
        <f>'Item Database'!M55</f>
        <v>0</v>
      </c>
      <c r="N16" s="9">
        <f>'Item Database'!N55</f>
        <v>0</v>
      </c>
      <c r="O16" s="9">
        <f>'Item Database'!O55</f>
        <v>0</v>
      </c>
      <c r="P16" s="9">
        <f>'Item Database'!P55</f>
        <v>0</v>
      </c>
      <c r="Q16" s="9">
        <f>'Item Database'!Q55</f>
        <v>0</v>
      </c>
      <c r="R16" s="9">
        <f>'Item Database'!R55</f>
        <v>0</v>
      </c>
      <c r="S16" s="9">
        <f>'Item Database'!S55</f>
        <v>0</v>
      </c>
      <c r="T16" s="53" t="str">
        <f>HYPERLINK('Item Database'!T55)</f>
        <v>https://classic.wowhead.com/item=23046</v>
      </c>
      <c r="U16" s="9">
        <f>IF(C16&lt;&gt;0,C16-Gear!$C$16,0)</f>
        <v>14.360521656086432</v>
      </c>
    </row>
    <row r="17" spans="1:21" x14ac:dyDescent="0.25">
      <c r="A17" s="9">
        <f>'Item Database'!A72</f>
        <v>19864</v>
      </c>
      <c r="B17" s="9" t="str">
        <f>'Item Database'!B72</f>
        <v>Bloodcaller</v>
      </c>
      <c r="C17" s="12">
        <f>'Item Database'!C72</f>
        <v>12.465239620170465</v>
      </c>
      <c r="D17" s="9" t="str">
        <f>'Item Database'!D72</f>
        <v>Weapon</v>
      </c>
      <c r="E17" s="9">
        <f>'Item Database'!E72</f>
        <v>0</v>
      </c>
      <c r="F17" s="9">
        <f>'Item Database'!F72</f>
        <v>0</v>
      </c>
      <c r="G17" s="9">
        <f>'Item Database'!G72</f>
        <v>12</v>
      </c>
      <c r="H17" s="9">
        <f>'Item Database'!H72</f>
        <v>0</v>
      </c>
      <c r="I17" s="9">
        <f>'Item Database'!I72</f>
        <v>15</v>
      </c>
      <c r="J17" s="9">
        <f>'Item Database'!J72</f>
        <v>0</v>
      </c>
      <c r="K17" s="9">
        <f>'Item Database'!K72</f>
        <v>33</v>
      </c>
      <c r="L17" s="21">
        <f>'Item Database'!L72</f>
        <v>0</v>
      </c>
      <c r="M17" s="21">
        <f>'Item Database'!M72</f>
        <v>0</v>
      </c>
      <c r="N17" s="9">
        <f>'Item Database'!N72</f>
        <v>0</v>
      </c>
      <c r="O17" s="9">
        <f>'Item Database'!O72</f>
        <v>0</v>
      </c>
      <c r="P17" s="9">
        <f>'Item Database'!P72</f>
        <v>0</v>
      </c>
      <c r="Q17" s="9">
        <f>'Item Database'!Q72</f>
        <v>0</v>
      </c>
      <c r="R17" s="9">
        <f>'Item Database'!R72</f>
        <v>0</v>
      </c>
      <c r="S17" s="9">
        <f>'Item Database'!S72</f>
        <v>0</v>
      </c>
      <c r="T17" s="53" t="str">
        <f>HYPERLINK('Item Database'!T72)</f>
        <v>https://classic.wowhead.com/item=19864</v>
      </c>
      <c r="U17" s="9">
        <f>IF(C17&lt;&gt;0,C17-Gear!$C$16,0)</f>
        <v>12.465239620170465</v>
      </c>
    </row>
    <row r="18" spans="1:21" x14ac:dyDescent="0.25">
      <c r="A18" s="9">
        <f>'Item Database'!A76</f>
        <v>18814</v>
      </c>
      <c r="B18" s="9" t="str">
        <f>'Item Database'!B76</f>
        <v>Choker of the Fire Lord</v>
      </c>
      <c r="C18" s="12">
        <f>'Item Database'!C76</f>
        <v>12.494754392826408</v>
      </c>
      <c r="D18" s="9" t="str">
        <f>'Item Database'!D76</f>
        <v>Neck</v>
      </c>
      <c r="E18" s="9">
        <f>'Item Database'!E76</f>
        <v>0</v>
      </c>
      <c r="F18" s="9">
        <f>'Item Database'!F76</f>
        <v>0</v>
      </c>
      <c r="G18" s="9">
        <f>'Item Database'!G76</f>
        <v>7</v>
      </c>
      <c r="H18" s="9">
        <f>'Item Database'!H76</f>
        <v>0</v>
      </c>
      <c r="I18" s="9">
        <f>'Item Database'!I76</f>
        <v>7</v>
      </c>
      <c r="J18" s="9">
        <f>'Item Database'!J76</f>
        <v>0</v>
      </c>
      <c r="K18" s="9">
        <f>'Item Database'!K76</f>
        <v>34</v>
      </c>
      <c r="L18" s="21">
        <f>'Item Database'!L76</f>
        <v>0</v>
      </c>
      <c r="M18" s="21">
        <f>'Item Database'!M76</f>
        <v>0</v>
      </c>
      <c r="N18" s="9">
        <f>'Item Database'!N76</f>
        <v>0</v>
      </c>
      <c r="O18" s="9">
        <f>'Item Database'!O76</f>
        <v>0</v>
      </c>
      <c r="P18" s="9">
        <f>'Item Database'!P76</f>
        <v>0</v>
      </c>
      <c r="Q18" s="9">
        <f>'Item Database'!Q76</f>
        <v>0</v>
      </c>
      <c r="R18" s="9">
        <f>'Item Database'!R76</f>
        <v>0</v>
      </c>
      <c r="S18" s="9">
        <f>'Item Database'!S76</f>
        <v>0</v>
      </c>
      <c r="T18" s="53" t="str">
        <f>HYPERLINK('Item Database'!T76)</f>
        <v>https://classic.wowhead.com/item=18814</v>
      </c>
      <c r="U18" s="9">
        <f>IF(C18&lt;&gt;0,C18-Gear!$C$16,0)</f>
        <v>12.494754392826408</v>
      </c>
    </row>
    <row r="19" spans="1:21" x14ac:dyDescent="0.25">
      <c r="A19" s="9">
        <f>'Item Database'!A77</f>
        <v>21836</v>
      </c>
      <c r="B19" s="9" t="str">
        <f>'Item Database'!B77</f>
        <v>Ritssyn's Ring of Chaos</v>
      </c>
      <c r="C19" s="12">
        <f>'Item Database'!C77</f>
        <v>11.425969408854019</v>
      </c>
      <c r="D19" s="9" t="str">
        <f>'Item Database'!D77</f>
        <v>Ring</v>
      </c>
      <c r="E19" s="9">
        <f>'Item Database'!E77</f>
        <v>0</v>
      </c>
      <c r="F19" s="9">
        <f>'Item Database'!F77</f>
        <v>0</v>
      </c>
      <c r="G19" s="9">
        <f>'Item Database'!G77</f>
        <v>6</v>
      </c>
      <c r="H19" s="9">
        <f>'Item Database'!H77</f>
        <v>0</v>
      </c>
      <c r="I19" s="9">
        <f>'Item Database'!I77</f>
        <v>0</v>
      </c>
      <c r="J19" s="9">
        <f>'Item Database'!J77</f>
        <v>0</v>
      </c>
      <c r="K19" s="9">
        <f>'Item Database'!K77</f>
        <v>25</v>
      </c>
      <c r="L19" s="21">
        <f>'Item Database'!L77</f>
        <v>0.01</v>
      </c>
      <c r="M19" s="21">
        <f>'Item Database'!M77</f>
        <v>0</v>
      </c>
      <c r="N19" s="9">
        <f>'Item Database'!N77</f>
        <v>0</v>
      </c>
      <c r="O19" s="9">
        <f>'Item Database'!O77</f>
        <v>0</v>
      </c>
      <c r="P19" s="9">
        <f>'Item Database'!P77</f>
        <v>0</v>
      </c>
      <c r="Q19" s="9">
        <f>'Item Database'!Q77</f>
        <v>0</v>
      </c>
      <c r="R19" s="9">
        <f>'Item Database'!R77</f>
        <v>0</v>
      </c>
      <c r="S19" s="9">
        <f>'Item Database'!S77</f>
        <v>0</v>
      </c>
      <c r="T19" s="53" t="str">
        <f>HYPERLINK('Item Database'!T77)</f>
        <v>https://classic.wowhead.com/item=21836</v>
      </c>
      <c r="U19" s="9">
        <f>IF(C19&lt;&gt;0,C19-Gear!$C$16,0)</f>
        <v>11.425969408854019</v>
      </c>
    </row>
    <row r="20" spans="1:21" x14ac:dyDescent="0.25">
      <c r="A20" s="9">
        <f>'Item Database'!A117</f>
        <v>19903</v>
      </c>
      <c r="B20" s="9" t="str">
        <f>'Item Database'!B117</f>
        <v>Fang of Venoxis</v>
      </c>
      <c r="C20" s="12">
        <f>'Item Database'!C117</f>
        <v>8.9458112623980774</v>
      </c>
      <c r="D20" s="9" t="str">
        <f>'Item Database'!D117</f>
        <v>Weapon</v>
      </c>
      <c r="E20" s="9">
        <f>'Item Database'!E117</f>
        <v>0</v>
      </c>
      <c r="F20" s="9">
        <f>'Item Database'!F117</f>
        <v>0</v>
      </c>
      <c r="G20" s="9">
        <f>'Item Database'!G117</f>
        <v>0</v>
      </c>
      <c r="H20" s="9">
        <f>'Item Database'!H117</f>
        <v>0</v>
      </c>
      <c r="I20" s="9">
        <f>'Item Database'!I117</f>
        <v>8</v>
      </c>
      <c r="J20" s="9">
        <f>'Item Database'!J117</f>
        <v>6</v>
      </c>
      <c r="K20" s="9">
        <f>'Item Database'!K117</f>
        <v>24</v>
      </c>
      <c r="L20" s="21">
        <f>'Item Database'!L117</f>
        <v>0</v>
      </c>
      <c r="M20" s="21">
        <f>'Item Database'!M117</f>
        <v>0</v>
      </c>
      <c r="N20" s="9">
        <f>'Item Database'!N117</f>
        <v>6</v>
      </c>
      <c r="O20" s="9">
        <f>'Item Database'!O117</f>
        <v>0</v>
      </c>
      <c r="P20" s="9">
        <f>'Item Database'!P117</f>
        <v>0</v>
      </c>
      <c r="Q20" s="9">
        <f>'Item Database'!Q117</f>
        <v>0</v>
      </c>
      <c r="R20" s="9">
        <f>'Item Database'!R117</f>
        <v>0</v>
      </c>
      <c r="S20" s="9">
        <f>'Item Database'!S117</f>
        <v>0</v>
      </c>
      <c r="T20" s="53" t="str">
        <f>HYPERLINK('Item Database'!T117)</f>
        <v>https://classic.wowhead.com/item=19903</v>
      </c>
      <c r="U20" s="9">
        <f>IF(C20&lt;&gt;0,C20-Gear!$C$16,0)</f>
        <v>8.9458112623980774</v>
      </c>
    </row>
    <row r="21" spans="1:21" x14ac:dyDescent="0.25">
      <c r="A21" s="9">
        <f>'Item Database'!A126</f>
        <v>21464</v>
      </c>
      <c r="B21" s="9" t="str">
        <f>'Item Database'!B126</f>
        <v>Shackles of the Unscarred</v>
      </c>
      <c r="C21" s="12">
        <f>'Item Database'!C126</f>
        <v>8.0335212725647036</v>
      </c>
      <c r="D21" s="9" t="str">
        <f>'Item Database'!D126</f>
        <v>Wrist</v>
      </c>
      <c r="E21" s="9">
        <f>'Item Database'!E126</f>
        <v>48</v>
      </c>
      <c r="F21" s="9">
        <f>'Item Database'!F126</f>
        <v>0</v>
      </c>
      <c r="G21" s="9">
        <f>'Item Database'!G126</f>
        <v>9</v>
      </c>
      <c r="H21" s="9">
        <f>'Item Database'!H126</f>
        <v>0</v>
      </c>
      <c r="I21" s="9">
        <f>'Item Database'!I126</f>
        <v>12</v>
      </c>
      <c r="J21" s="9">
        <f>'Item Database'!J126</f>
        <v>0</v>
      </c>
      <c r="K21" s="9">
        <f>'Item Database'!K126</f>
        <v>21</v>
      </c>
      <c r="L21" s="21">
        <f>'Item Database'!L126</f>
        <v>0</v>
      </c>
      <c r="M21" s="21">
        <f>'Item Database'!M126</f>
        <v>0</v>
      </c>
      <c r="N21" s="9">
        <f>'Item Database'!N126</f>
        <v>0</v>
      </c>
      <c r="O21" s="9">
        <f>'Item Database'!O126</f>
        <v>0</v>
      </c>
      <c r="P21" s="9">
        <f>'Item Database'!P126</f>
        <v>0</v>
      </c>
      <c r="Q21" s="9">
        <f>'Item Database'!Q126</f>
        <v>0</v>
      </c>
      <c r="R21" s="9">
        <f>'Item Database'!R126</f>
        <v>0</v>
      </c>
      <c r="S21" s="9">
        <f>'Item Database'!S126</f>
        <v>0</v>
      </c>
      <c r="T21" s="53" t="str">
        <f>HYPERLINK('Item Database'!T126)</f>
        <v>https://classic.wowhead.com/item=21464</v>
      </c>
      <c r="U21" s="9">
        <f>IF(C21&lt;&gt;0,C21-Gear!$C$16,0)</f>
        <v>8.0335212725647036</v>
      </c>
    </row>
    <row r="22" spans="1:21" x14ac:dyDescent="0.25">
      <c r="A22" s="9">
        <f>'Item Database'!A128</f>
        <v>18681</v>
      </c>
      <c r="B22" s="9" t="str">
        <f>'Item Database'!B128</f>
        <v>Burial Shawl</v>
      </c>
      <c r="C22" s="12">
        <f>'Item Database'!C128</f>
        <v>7.8392573655356532</v>
      </c>
      <c r="D22" s="9" t="str">
        <f>'Item Database'!D128</f>
        <v>Shoulder</v>
      </c>
      <c r="E22" s="9">
        <f>'Item Database'!E128</f>
        <v>65</v>
      </c>
      <c r="F22" s="9">
        <f>'Item Database'!F128</f>
        <v>0</v>
      </c>
      <c r="G22" s="9">
        <f>'Item Database'!G128</f>
        <v>0</v>
      </c>
      <c r="H22" s="9">
        <f>'Item Database'!H128</f>
        <v>0</v>
      </c>
      <c r="I22" s="9">
        <f>'Item Database'!I128</f>
        <v>16</v>
      </c>
      <c r="J22" s="9">
        <f>'Item Database'!J128</f>
        <v>0</v>
      </c>
      <c r="K22" s="9">
        <f>'Item Database'!K128</f>
        <v>20</v>
      </c>
      <c r="L22" s="21">
        <f>'Item Database'!L128</f>
        <v>0</v>
      </c>
      <c r="M22" s="21">
        <f>'Item Database'!M128</f>
        <v>0</v>
      </c>
      <c r="N22" s="9">
        <f>'Item Database'!N128</f>
        <v>0</v>
      </c>
      <c r="O22" s="9">
        <f>'Item Database'!O128</f>
        <v>0</v>
      </c>
      <c r="P22" s="9">
        <f>'Item Database'!P128</f>
        <v>0</v>
      </c>
      <c r="Q22" s="9">
        <f>'Item Database'!Q128</f>
        <v>0</v>
      </c>
      <c r="R22" s="9">
        <f>'Item Database'!R128</f>
        <v>0</v>
      </c>
      <c r="S22" s="9">
        <f>'Item Database'!S128</f>
        <v>0</v>
      </c>
      <c r="T22" s="53" t="str">
        <f>HYPERLINK('Item Database'!T128)</f>
        <v>https://classic.wowhead.com/item=18681</v>
      </c>
      <c r="U22" s="9">
        <f>IF(C22&lt;&gt;0,C22-Gear!$C$16,0)</f>
        <v>7.8392573655356532</v>
      </c>
    </row>
    <row r="23" spans="1:21" x14ac:dyDescent="0.25">
      <c r="A23" s="9">
        <f>'Item Database'!A148</f>
        <v>18350</v>
      </c>
      <c r="B23" s="9" t="str">
        <f>'Item Database'!B148</f>
        <v>Amplifying Cloak</v>
      </c>
      <c r="C23" s="12">
        <f>'Item Database'!C148</f>
        <v>6.4622347452388942</v>
      </c>
      <c r="D23" s="9" t="str">
        <f>'Item Database'!D148</f>
        <v>Back</v>
      </c>
      <c r="E23" s="9">
        <f>'Item Database'!E148</f>
        <v>39</v>
      </c>
      <c r="F23" s="9">
        <f>'Item Database'!F148</f>
        <v>0</v>
      </c>
      <c r="G23" s="9">
        <f>'Item Database'!G148</f>
        <v>0</v>
      </c>
      <c r="H23" s="9">
        <f>'Item Database'!H148</f>
        <v>0</v>
      </c>
      <c r="I23" s="9">
        <f>'Item Database'!I148</f>
        <v>0</v>
      </c>
      <c r="J23" s="9">
        <f>'Item Database'!J148</f>
        <v>0</v>
      </c>
      <c r="K23" s="9">
        <f>'Item Database'!K148</f>
        <v>18</v>
      </c>
      <c r="L23" s="21">
        <f>'Item Database'!L148</f>
        <v>0</v>
      </c>
      <c r="M23" s="21">
        <f>'Item Database'!M148</f>
        <v>0</v>
      </c>
      <c r="N23" s="9">
        <f>'Item Database'!N148</f>
        <v>0</v>
      </c>
      <c r="O23" s="9">
        <f>'Item Database'!O148</f>
        <v>0</v>
      </c>
      <c r="P23" s="9">
        <f>'Item Database'!P148</f>
        <v>0</v>
      </c>
      <c r="Q23" s="9">
        <f>'Item Database'!Q148</f>
        <v>0</v>
      </c>
      <c r="R23" s="9">
        <f>'Item Database'!R148</f>
        <v>0</v>
      </c>
      <c r="S23" s="9">
        <f>'Item Database'!S148</f>
        <v>0</v>
      </c>
      <c r="T23" s="53" t="str">
        <f>HYPERLINK('Item Database'!T148)</f>
        <v>https://classic.wowhead.com/item=18350</v>
      </c>
      <c r="U23" s="9">
        <f>IF(C23&lt;&gt;0,C23-Gear!$C$16,0)</f>
        <v>6.4622347452388942</v>
      </c>
    </row>
    <row r="24" spans="1:21" x14ac:dyDescent="0.25">
      <c r="A24" s="9">
        <f>'Item Database'!A150</f>
        <v>19861</v>
      </c>
      <c r="B24" s="9" t="str">
        <f>'Item Database'!B150</f>
        <v>Touch of Chaos</v>
      </c>
      <c r="C24" s="12">
        <f>'Item Database'!C150</f>
        <v>6.4622347452388942</v>
      </c>
      <c r="D24" s="9" t="str">
        <f>'Item Database'!D150</f>
        <v>Wand</v>
      </c>
      <c r="E24" s="9">
        <f>'Item Database'!E150</f>
        <v>0</v>
      </c>
      <c r="F24" s="9">
        <f>'Item Database'!F150</f>
        <v>0</v>
      </c>
      <c r="G24" s="9">
        <f>'Item Database'!G150</f>
        <v>0</v>
      </c>
      <c r="H24" s="9">
        <f>'Item Database'!H150</f>
        <v>0</v>
      </c>
      <c r="I24" s="9">
        <f>'Item Database'!I150</f>
        <v>0</v>
      </c>
      <c r="J24" s="9">
        <f>'Item Database'!J150</f>
        <v>0</v>
      </c>
      <c r="K24" s="9">
        <f>'Item Database'!K150</f>
        <v>18</v>
      </c>
      <c r="L24" s="21">
        <f>'Item Database'!L150</f>
        <v>0</v>
      </c>
      <c r="M24" s="21">
        <f>'Item Database'!M150</f>
        <v>0</v>
      </c>
      <c r="N24" s="9">
        <f>'Item Database'!N150</f>
        <v>0</v>
      </c>
      <c r="O24" s="9">
        <f>'Item Database'!O150</f>
        <v>0</v>
      </c>
      <c r="P24" s="9">
        <f>'Item Database'!P150</f>
        <v>0</v>
      </c>
      <c r="Q24" s="9">
        <f>'Item Database'!Q150</f>
        <v>0</v>
      </c>
      <c r="R24" s="9">
        <f>'Item Database'!R150</f>
        <v>0</v>
      </c>
      <c r="S24" s="9">
        <f>'Item Database'!S150</f>
        <v>0</v>
      </c>
      <c r="T24" s="53" t="str">
        <f>HYPERLINK('Item Database'!T150)</f>
        <v>https://classic.wowhead.com/item=19861</v>
      </c>
      <c r="U24" s="9">
        <f>IF(C24&lt;&gt;0,C24-Gear!$C$16,0)</f>
        <v>6.4622347452388942</v>
      </c>
    </row>
    <row r="25" spans="1:21" x14ac:dyDescent="0.25">
      <c r="A25" s="9">
        <f>'Item Database'!A152</f>
        <v>19102</v>
      </c>
      <c r="B25" s="9" t="str">
        <f>'Item Database'!B152</f>
        <v>Crackling Staff</v>
      </c>
      <c r="C25" s="12">
        <f>'Item Database'!C152</f>
        <v>6.044192158524849</v>
      </c>
      <c r="D25" s="9" t="str">
        <f>'Item Database'!D152</f>
        <v>Two-Hand</v>
      </c>
      <c r="E25" s="9">
        <f>'Item Database'!E152</f>
        <v>0</v>
      </c>
      <c r="F25" s="9">
        <f>'Item Database'!F152</f>
        <v>0</v>
      </c>
      <c r="G25" s="9">
        <f>'Item Database'!G152</f>
        <v>25</v>
      </c>
      <c r="H25" s="9">
        <f>'Item Database'!H152</f>
        <v>0</v>
      </c>
      <c r="I25" s="9">
        <f>'Item Database'!I152</f>
        <v>16</v>
      </c>
      <c r="J25" s="9">
        <f>'Item Database'!J152</f>
        <v>0</v>
      </c>
      <c r="K25" s="9">
        <f>'Item Database'!K152</f>
        <v>15</v>
      </c>
      <c r="L25" s="21">
        <f>'Item Database'!L152</f>
        <v>0</v>
      </c>
      <c r="M25" s="21">
        <f>'Item Database'!M152</f>
        <v>0</v>
      </c>
      <c r="N25" s="9">
        <f>'Item Database'!N152</f>
        <v>0</v>
      </c>
      <c r="O25" s="9">
        <f>'Item Database'!O152</f>
        <v>0</v>
      </c>
      <c r="P25" s="9">
        <f>'Item Database'!P152</f>
        <v>0</v>
      </c>
      <c r="Q25" s="9">
        <f>'Item Database'!Q152</f>
        <v>0</v>
      </c>
      <c r="R25" s="9">
        <f>'Item Database'!R152</f>
        <v>0</v>
      </c>
      <c r="S25" s="9">
        <f>'Item Database'!S152</f>
        <v>0</v>
      </c>
      <c r="T25" s="53" t="str">
        <f>HYPERLINK('Item Database'!T152)</f>
        <v>https://classic.wowhead.com/item=19102</v>
      </c>
      <c r="U25" s="9">
        <f>IF(C25&lt;&gt;0,C25-Gear!$C$16,0)</f>
        <v>6.044192158524849</v>
      </c>
    </row>
    <row r="26" spans="1:21" x14ac:dyDescent="0.25">
      <c r="A26" s="9">
        <f>'Item Database'!A173</f>
        <v>18497</v>
      </c>
      <c r="B26" s="9" t="str">
        <f>'Item Database'!B173</f>
        <v>Sublime Wristguards</v>
      </c>
      <c r="C26" s="12">
        <f>'Item Database'!C173</f>
        <v>4.7200293327587026</v>
      </c>
      <c r="D26" s="9" t="str">
        <f>'Item Database'!D173</f>
        <v>Wrist</v>
      </c>
      <c r="E26" s="9">
        <f>'Item Database'!E173</f>
        <v>37</v>
      </c>
      <c r="F26" s="9">
        <f>'Item Database'!F173</f>
        <v>0</v>
      </c>
      <c r="G26" s="9">
        <f>'Item Database'!G173</f>
        <v>6</v>
      </c>
      <c r="H26" s="9">
        <f>'Item Database'!H173</f>
        <v>0</v>
      </c>
      <c r="I26" s="9">
        <f>'Item Database'!I173</f>
        <v>10</v>
      </c>
      <c r="J26" s="9">
        <f>'Item Database'!J173</f>
        <v>6</v>
      </c>
      <c r="K26" s="9">
        <f>'Item Database'!K173</f>
        <v>12</v>
      </c>
      <c r="L26" s="21">
        <f>'Item Database'!L173</f>
        <v>0</v>
      </c>
      <c r="M26" s="21">
        <f>'Item Database'!M173</f>
        <v>0</v>
      </c>
      <c r="N26" s="9">
        <f>'Item Database'!N173</f>
        <v>0</v>
      </c>
      <c r="O26" s="9">
        <f>'Item Database'!O173</f>
        <v>0</v>
      </c>
      <c r="P26" s="9">
        <f>'Item Database'!P173</f>
        <v>0</v>
      </c>
      <c r="Q26" s="9">
        <f>'Item Database'!Q173</f>
        <v>0</v>
      </c>
      <c r="R26" s="9">
        <f>'Item Database'!R173</f>
        <v>0</v>
      </c>
      <c r="S26" s="9">
        <f>'Item Database'!S173</f>
        <v>0</v>
      </c>
      <c r="T26" s="53" t="str">
        <f>HYPERLINK('Item Database'!T173)</f>
        <v>https://classic.wowhead.com/item=18497</v>
      </c>
      <c r="U26" s="9">
        <f>IF(C26&lt;&gt;0,C26-Gear!$C$16,0)</f>
        <v>4.7200293327587026</v>
      </c>
    </row>
    <row r="27" spans="1:21" x14ac:dyDescent="0.25">
      <c r="A27" s="24">
        <f>'Item Database'!A185</f>
        <v>18496</v>
      </c>
      <c r="B27" s="9" t="str">
        <f>'Item Database'!B185</f>
        <v>Heliotrope Cloak</v>
      </c>
      <c r="C27" s="12">
        <f>'Item Database'!C185</f>
        <v>2.8625162097327728</v>
      </c>
      <c r="D27" s="9" t="str">
        <f>'Item Database'!D185</f>
        <v>Back</v>
      </c>
      <c r="E27" s="9">
        <f>'Item Database'!E185</f>
        <v>43</v>
      </c>
      <c r="F27" s="9">
        <f>'Item Database'!F185</f>
        <v>0</v>
      </c>
      <c r="G27" s="9">
        <f>'Item Database'!G185</f>
        <v>0</v>
      </c>
      <c r="H27" s="9">
        <f>'Item Database'!H185</f>
        <v>0</v>
      </c>
      <c r="I27" s="9">
        <f>'Item Database'!I185</f>
        <v>10</v>
      </c>
      <c r="J27" s="9">
        <f>'Item Database'!J185</f>
        <v>0</v>
      </c>
      <c r="K27" s="9">
        <f>'Item Database'!K185</f>
        <v>0</v>
      </c>
      <c r="L27" s="21">
        <f>'Item Database'!L185</f>
        <v>0.01</v>
      </c>
      <c r="M27" s="21">
        <f>'Item Database'!M185</f>
        <v>0</v>
      </c>
      <c r="N27" s="9">
        <f>'Item Database'!N185</f>
        <v>0</v>
      </c>
      <c r="O27" s="9">
        <f>'Item Database'!O185</f>
        <v>0</v>
      </c>
      <c r="P27" s="9">
        <f>'Item Database'!P185</f>
        <v>0</v>
      </c>
      <c r="Q27" s="9">
        <f>'Item Database'!Q185</f>
        <v>0</v>
      </c>
      <c r="R27" s="9">
        <f>'Item Database'!R185</f>
        <v>0</v>
      </c>
      <c r="S27" s="9">
        <f>'Item Database'!S185</f>
        <v>0</v>
      </c>
      <c r="T27" s="53" t="str">
        <f>HYPERLINK('Item Database'!T185)</f>
        <v>https://classic.wowhead.com/item=18496</v>
      </c>
      <c r="U27" s="9">
        <f>IF(C27&lt;&gt;0,C27-Gear!$C$16,0)</f>
        <v>2.8625162097327728</v>
      </c>
    </row>
    <row r="28" spans="1:21" x14ac:dyDescent="0.25">
      <c r="A28" s="9">
        <f>'Item Database'!A191</f>
        <v>7714</v>
      </c>
      <c r="B28" s="9" t="str">
        <f>'Item Database'!B191</f>
        <v>Hypnotic Blade</v>
      </c>
      <c r="C28" s="12">
        <f>'Item Database'!C191</f>
        <v>3.5606156413656658</v>
      </c>
      <c r="D28" s="9" t="str">
        <f>'Item Database'!D191</f>
        <v>Weapon</v>
      </c>
      <c r="E28" s="9">
        <f>'Item Database'!E191</f>
        <v>0</v>
      </c>
      <c r="F28" s="9">
        <f>'Item Database'!F191</f>
        <v>0</v>
      </c>
      <c r="G28" s="9">
        <f>'Item Database'!G191</f>
        <v>0</v>
      </c>
      <c r="H28" s="9">
        <f>'Item Database'!H191</f>
        <v>0</v>
      </c>
      <c r="I28" s="9">
        <f>'Item Database'!I191</f>
        <v>8</v>
      </c>
      <c r="J28" s="9">
        <f>'Item Database'!J191</f>
        <v>3</v>
      </c>
      <c r="K28" s="9">
        <f>'Item Database'!K191</f>
        <v>9</v>
      </c>
      <c r="L28" s="21">
        <f>'Item Database'!L191</f>
        <v>0</v>
      </c>
      <c r="M28" s="21">
        <f>'Item Database'!M191</f>
        <v>0</v>
      </c>
      <c r="N28" s="9">
        <f>'Item Database'!N191</f>
        <v>0</v>
      </c>
      <c r="O28" s="9">
        <f>'Item Database'!O191</f>
        <v>0</v>
      </c>
      <c r="P28" s="9">
        <f>'Item Database'!P191</f>
        <v>0</v>
      </c>
      <c r="Q28" s="9">
        <f>'Item Database'!Q191</f>
        <v>0</v>
      </c>
      <c r="R28" s="9">
        <f>'Item Database'!R191</f>
        <v>0</v>
      </c>
      <c r="S28" s="9">
        <f>'Item Database'!S191</f>
        <v>0</v>
      </c>
      <c r="T28" s="53" t="str">
        <f>HYPERLINK('Item Database'!T191)</f>
        <v>https://classic.wowhead.com/item=7714</v>
      </c>
      <c r="U28" s="9">
        <f>IF(C28&lt;&gt;0,C28-Gear!$C$16,0)</f>
        <v>3.5606156413656658</v>
      </c>
    </row>
    <row r="29" spans="1:21" x14ac:dyDescent="0.25">
      <c r="A29" s="9">
        <f>'Item Database'!A196</f>
        <v>14626</v>
      </c>
      <c r="B29" s="9" t="str">
        <f>'Item Database'!B196</f>
        <v>Necropile Robe</v>
      </c>
      <c r="C29" s="12">
        <f>'Item Database'!C196</f>
        <v>3.3663517343366141</v>
      </c>
      <c r="D29" s="9" t="str">
        <f>'Item Database'!D196</f>
        <v>Chest</v>
      </c>
      <c r="E29" s="9">
        <f>'Item Database'!E196</f>
        <v>87</v>
      </c>
      <c r="F29" s="9">
        <f>'Item Database'!F196</f>
        <v>0</v>
      </c>
      <c r="G29" s="9">
        <f>'Item Database'!G196</f>
        <v>22</v>
      </c>
      <c r="H29" s="9">
        <f>'Item Database'!H196</f>
        <v>0</v>
      </c>
      <c r="I29" s="9">
        <f>'Item Database'!I196</f>
        <v>12</v>
      </c>
      <c r="J29" s="9">
        <f>'Item Database'!J196</f>
        <v>12</v>
      </c>
      <c r="K29" s="9">
        <f>'Item Database'!K196</f>
        <v>8</v>
      </c>
      <c r="L29" s="21">
        <f>'Item Database'!L196</f>
        <v>0</v>
      </c>
      <c r="M29" s="21">
        <f>'Item Database'!M196</f>
        <v>0</v>
      </c>
      <c r="N29" s="9">
        <f>'Item Database'!N196</f>
        <v>0</v>
      </c>
      <c r="O29" s="9">
        <f>'Item Database'!O196</f>
        <v>0</v>
      </c>
      <c r="P29" s="9">
        <f>'Item Database'!P196</f>
        <v>0</v>
      </c>
      <c r="Q29" s="9">
        <f>'Item Database'!Q196</f>
        <v>0</v>
      </c>
      <c r="R29" s="9">
        <f>'Item Database'!R196</f>
        <v>0</v>
      </c>
      <c r="S29" s="9">
        <f>'Item Database'!S196</f>
        <v>0</v>
      </c>
      <c r="T29" s="53" t="str">
        <f>HYPERLINK('Item Database'!T196)</f>
        <v>https://classic.wowhead.com/item=14626</v>
      </c>
      <c r="U29" s="9">
        <f>IF(C29&lt;&gt;0,C29-Gear!$C$16,0)</f>
        <v>3.3663517343366141</v>
      </c>
    </row>
    <row r="30" spans="1:21" x14ac:dyDescent="0.25">
      <c r="A30" s="9">
        <f>'Item Database'!A230</f>
        <v>7713</v>
      </c>
      <c r="B30" s="9" t="str">
        <f>'Item Database'!B230</f>
        <v>Illusionary Rod</v>
      </c>
      <c r="C30" s="12">
        <f>'Item Database'!C230</f>
        <v>0.61780925389915964</v>
      </c>
      <c r="D30" s="9" t="str">
        <f>'Item Database'!D230</f>
        <v>Two-Hand</v>
      </c>
      <c r="E30" s="9">
        <f>'Item Database'!E230</f>
        <v>0</v>
      </c>
      <c r="F30" s="9">
        <f>'Item Database'!F230</f>
        <v>0</v>
      </c>
      <c r="G30" s="9">
        <f>'Item Database'!G230</f>
        <v>7</v>
      </c>
      <c r="H30" s="9">
        <f>'Item Database'!H230</f>
        <v>0</v>
      </c>
      <c r="I30" s="9">
        <f>'Item Database'!I230</f>
        <v>15</v>
      </c>
      <c r="J30" s="9">
        <f>'Item Database'!J230</f>
        <v>10</v>
      </c>
      <c r="K30" s="9">
        <f>'Item Database'!K230</f>
        <v>0</v>
      </c>
      <c r="L30" s="21">
        <f>'Item Database'!L230</f>
        <v>0</v>
      </c>
      <c r="M30" s="21">
        <f>'Item Database'!M230</f>
        <v>0</v>
      </c>
      <c r="N30" s="9">
        <f>'Item Database'!N230</f>
        <v>0</v>
      </c>
      <c r="O30" s="9">
        <f>'Item Database'!O230</f>
        <v>0</v>
      </c>
      <c r="P30" s="9">
        <f>'Item Database'!P230</f>
        <v>0</v>
      </c>
      <c r="Q30" s="9">
        <f>'Item Database'!Q230</f>
        <v>0</v>
      </c>
      <c r="R30" s="9">
        <f>'Item Database'!R230</f>
        <v>0</v>
      </c>
      <c r="S30" s="9">
        <f>'Item Database'!S230</f>
        <v>0</v>
      </c>
      <c r="T30" s="53" t="str">
        <f>HYPERLINK('Item Database'!T230)</f>
        <v>https://classic.wowhead.com/item=7713</v>
      </c>
      <c r="U30" s="9">
        <f>IF(C30&lt;&gt;0,C30-Gear!$C$16,0)</f>
        <v>0.61780925389915964</v>
      </c>
    </row>
    <row r="31" spans="1:21" x14ac:dyDescent="0.25">
      <c r="A31" s="24">
        <f>'Item Database'!A240</f>
        <v>21523</v>
      </c>
      <c r="B31" s="9" t="str">
        <f>'Item Database'!B240</f>
        <v>Fang of Korialstrasz</v>
      </c>
      <c r="C31" s="12">
        <f>'Item Database'!C240</f>
        <v>0.57662197030588236</v>
      </c>
      <c r="D31" s="9" t="str">
        <f>'Item Database'!D240</f>
        <v>Weapon</v>
      </c>
      <c r="E31" s="9">
        <f>'Item Database'!E240</f>
        <v>0</v>
      </c>
      <c r="F31" s="9">
        <f>'Item Database'!F240</f>
        <v>0</v>
      </c>
      <c r="G31" s="9">
        <f>'Item Database'!G240</f>
        <v>9</v>
      </c>
      <c r="H31" s="9">
        <f>'Item Database'!H240</f>
        <v>0</v>
      </c>
      <c r="I31" s="9">
        <f>'Item Database'!I240</f>
        <v>14</v>
      </c>
      <c r="J31" s="9">
        <f>'Item Database'!J240</f>
        <v>13</v>
      </c>
      <c r="K31" s="9">
        <f>'Item Database'!K240</f>
        <v>0</v>
      </c>
      <c r="L31" s="21">
        <f>'Item Database'!L240</f>
        <v>0</v>
      </c>
      <c r="M31" s="21">
        <f>'Item Database'!M240</f>
        <v>0</v>
      </c>
      <c r="N31" s="9">
        <f>'Item Database'!N240</f>
        <v>0</v>
      </c>
      <c r="O31" s="9">
        <f>'Item Database'!O240</f>
        <v>0</v>
      </c>
      <c r="P31" s="9">
        <f>'Item Database'!P240</f>
        <v>0</v>
      </c>
      <c r="Q31" s="9">
        <f>'Item Database'!Q240</f>
        <v>0</v>
      </c>
      <c r="R31" s="9">
        <f>'Item Database'!R240</f>
        <v>0</v>
      </c>
      <c r="S31" s="9">
        <f>'Item Database'!S240</f>
        <v>0</v>
      </c>
      <c r="T31" s="53" t="str">
        <f>HYPERLINK('Item Database'!T240)</f>
        <v>https://classic.wowhead.com/item=21523</v>
      </c>
      <c r="U31" s="9">
        <f>IF(C31&lt;&gt;0,C31-Gear!$C$16,0)</f>
        <v>0.57662197030588236</v>
      </c>
    </row>
    <row r="32" spans="1:21" x14ac:dyDescent="0.25">
      <c r="A32" s="24">
        <f>'Item Database'!A277</f>
        <v>18420</v>
      </c>
      <c r="B32" s="9" t="str">
        <f>'Item Database'!B277</f>
        <v>Bonecrusher</v>
      </c>
      <c r="C32" s="12">
        <f>'Item Database'!C277</f>
        <v>0</v>
      </c>
      <c r="D32" s="9" t="str">
        <f>'Item Database'!D277</f>
        <v>Two-Hand</v>
      </c>
      <c r="E32" s="9">
        <f>'Item Database'!E277</f>
        <v>0</v>
      </c>
      <c r="F32" s="9">
        <f>'Item Database'!F277</f>
        <v>0</v>
      </c>
      <c r="G32" s="9">
        <f>'Item Database'!G277</f>
        <v>0</v>
      </c>
      <c r="H32" s="9">
        <f>'Item Database'!H277</f>
        <v>0</v>
      </c>
      <c r="I32" s="9">
        <f>'Item Database'!I277</f>
        <v>0</v>
      </c>
      <c r="J32" s="9">
        <f>'Item Database'!J277</f>
        <v>0</v>
      </c>
      <c r="K32" s="9">
        <f>'Item Database'!K277</f>
        <v>0</v>
      </c>
      <c r="L32" s="21">
        <f>'Item Database'!L277</f>
        <v>0</v>
      </c>
      <c r="M32" s="21">
        <f>'Item Database'!M277</f>
        <v>0</v>
      </c>
      <c r="N32" s="9">
        <f>'Item Database'!N277</f>
        <v>0</v>
      </c>
      <c r="O32" s="9">
        <f>'Item Database'!O277</f>
        <v>0</v>
      </c>
      <c r="P32" s="9">
        <f>'Item Database'!P277</f>
        <v>0</v>
      </c>
      <c r="Q32" s="9">
        <f>'Item Database'!Q277</f>
        <v>0</v>
      </c>
      <c r="R32" s="9">
        <f>'Item Database'!R277</f>
        <v>0</v>
      </c>
      <c r="S32" s="9">
        <f>'Item Database'!S277</f>
        <v>0</v>
      </c>
      <c r="T32" s="53" t="str">
        <f>HYPERLINK('Item Database'!T277)</f>
        <v>https://classic.wowhead.com/item=18420</v>
      </c>
      <c r="U32" s="9">
        <f>IF(C32&lt;&gt;0,C32-Gear!$C$16,0)</f>
        <v>0</v>
      </c>
    </row>
    <row r="33" spans="1:21" x14ac:dyDescent="0.25">
      <c r="A33" s="9">
        <f>'Item Database'!A281</f>
        <v>19335</v>
      </c>
      <c r="B33" s="9" t="str">
        <f>'Item Database'!B281</f>
        <v>Spineshatter</v>
      </c>
      <c r="C33" s="12">
        <f>'Item Database'!C281</f>
        <v>0</v>
      </c>
      <c r="D33" s="9" t="str">
        <f>'Item Database'!D281</f>
        <v>Weapon</v>
      </c>
      <c r="E33" s="9">
        <f>'Item Database'!E281</f>
        <v>0</v>
      </c>
      <c r="F33" s="9">
        <f>'Item Database'!F281</f>
        <v>0</v>
      </c>
      <c r="G33" s="9">
        <f>'Item Database'!G281</f>
        <v>16</v>
      </c>
      <c r="H33" s="9">
        <f>'Item Database'!H281</f>
        <v>0</v>
      </c>
      <c r="I33" s="9">
        <f>'Item Database'!I281</f>
        <v>0</v>
      </c>
      <c r="J33" s="9">
        <f>'Item Database'!J281</f>
        <v>0</v>
      </c>
      <c r="K33" s="9">
        <f>'Item Database'!K281</f>
        <v>0</v>
      </c>
      <c r="L33" s="21">
        <f>'Item Database'!L281</f>
        <v>0</v>
      </c>
      <c r="M33" s="21">
        <f>'Item Database'!M281</f>
        <v>0</v>
      </c>
      <c r="N33" s="9">
        <f>'Item Database'!N281</f>
        <v>0</v>
      </c>
      <c r="O33" s="9">
        <f>'Item Database'!O281</f>
        <v>0</v>
      </c>
      <c r="P33" s="9">
        <f>'Item Database'!P281</f>
        <v>0</v>
      </c>
      <c r="Q33" s="9">
        <f>'Item Database'!Q281</f>
        <v>0</v>
      </c>
      <c r="R33" s="9">
        <f>'Item Database'!R281</f>
        <v>0</v>
      </c>
      <c r="S33" s="9">
        <f>'Item Database'!S281</f>
        <v>0</v>
      </c>
      <c r="T33" s="53" t="str">
        <f>HYPERLINK('Item Database'!T281)</f>
        <v>https://classic.wowhead.com/item=19335</v>
      </c>
      <c r="U33" s="9">
        <f>IF(C33&lt;&gt;0,C33-Gear!$C$16,0)</f>
        <v>0</v>
      </c>
    </row>
    <row r="34" spans="1:21" x14ac:dyDescent="0.25">
      <c r="U34" s="9">
        <f>IF(C34&lt;&gt;0,C34-Gear!$C$16,0)</f>
        <v>0</v>
      </c>
    </row>
    <row r="35" spans="1:21" x14ac:dyDescent="0.25">
      <c r="T35" s="9">
        <f>IF(C35&lt;&gt;0,C35-Gear!$C$16,0)</f>
        <v>0</v>
      </c>
      <c r="U35" s="9">
        <f>IF(C35&lt;&gt;0,C35-Gear!$C$16,0)</f>
        <v>0</v>
      </c>
    </row>
    <row r="36" spans="1:21" x14ac:dyDescent="0.25">
      <c r="T36" s="9">
        <f>IF(C36&lt;&gt;0,C36-Gear!$C$16,0)</f>
        <v>0</v>
      </c>
      <c r="U36" s="9">
        <f>IF(C36&lt;&gt;0,C36-Gear!$C$16,0)</f>
        <v>0</v>
      </c>
    </row>
    <row r="37" spans="1:21" x14ac:dyDescent="0.25">
      <c r="T37" s="9">
        <f>IF(C37&lt;&gt;0,C37-Gear!$C$16,0)</f>
        <v>0</v>
      </c>
      <c r="U37" s="9">
        <f>IF(C37&lt;&gt;0,C37-Gear!$C$16,0)</f>
        <v>0</v>
      </c>
    </row>
    <row r="38" spans="1:21" x14ac:dyDescent="0.25">
      <c r="T38" s="9">
        <f>IF(C38&lt;&gt;0,C38-Gear!$C$16,0)</f>
        <v>0</v>
      </c>
      <c r="U38" s="9">
        <f>IF(C38&lt;&gt;0,C38-Gear!$C$16,0)</f>
        <v>0</v>
      </c>
    </row>
    <row r="39" spans="1:21" x14ac:dyDescent="0.25">
      <c r="T39" s="9">
        <f>IF(C39&lt;&gt;0,C39-Gear!$C$16,0)</f>
        <v>0</v>
      </c>
      <c r="U39" s="9">
        <f>IF(C39&lt;&gt;0,C39-Gear!$C$16,0)</f>
        <v>0</v>
      </c>
    </row>
    <row r="40" spans="1:21" x14ac:dyDescent="0.25">
      <c r="T40" s="9">
        <f>IF(C40&lt;&gt;0,C40-Gear!$C$16,0)</f>
        <v>0</v>
      </c>
      <c r="U40" s="9">
        <f>IF(C40&lt;&gt;0,C40-Gear!$C$16,0)</f>
        <v>0</v>
      </c>
    </row>
    <row r="41" spans="1:21" x14ac:dyDescent="0.25">
      <c r="T41" s="9">
        <f>IF(C41&lt;&gt;0,C41-Gear!$C$16,0)</f>
        <v>0</v>
      </c>
      <c r="U41" s="9">
        <f>IF(C41&lt;&gt;0,C41-Gear!$C$16,0)</f>
        <v>0</v>
      </c>
    </row>
    <row r="42" spans="1:21" x14ac:dyDescent="0.25">
      <c r="T42" s="9">
        <f>IF(C42&lt;&gt;0,C42-Gear!$C$16,0)</f>
        <v>0</v>
      </c>
      <c r="U42" s="9">
        <f>IF(C42&lt;&gt;0,C42-Gear!$C$16,0)</f>
        <v>0</v>
      </c>
    </row>
    <row r="43" spans="1:21" x14ac:dyDescent="0.25">
      <c r="T43" s="9">
        <f>IF(C43&lt;&gt;0,C43-Gear!$C$16,0)</f>
        <v>0</v>
      </c>
      <c r="U43" s="9">
        <f>IF(C43&lt;&gt;0,C43-Gear!$C$16,0)</f>
        <v>0</v>
      </c>
    </row>
    <row r="44" spans="1:21" x14ac:dyDescent="0.25">
      <c r="T44" s="9">
        <f>IF(C44&lt;&gt;0,C44-Gear!$C$16,0)</f>
        <v>0</v>
      </c>
      <c r="U44" s="9">
        <f>IF(C44&lt;&gt;0,C44-Gear!$C$16,0)</f>
        <v>0</v>
      </c>
    </row>
    <row r="45" spans="1:21" x14ac:dyDescent="0.25">
      <c r="T45" s="9">
        <f>IF(C45&lt;&gt;0,C45-Gear!$C$16,0)</f>
        <v>0</v>
      </c>
      <c r="U45" s="9">
        <f>IF(C45&lt;&gt;0,C45-Gear!$C$16,0)</f>
        <v>0</v>
      </c>
    </row>
    <row r="46" spans="1:21" x14ac:dyDescent="0.25">
      <c r="T46" s="9">
        <f>IF(C46&lt;&gt;0,C46-Gear!$C$16,0)</f>
        <v>0</v>
      </c>
      <c r="U46" s="9">
        <f>IF(C46&lt;&gt;0,C46-Gear!$C$16,0)</f>
        <v>0</v>
      </c>
    </row>
    <row r="47" spans="1:21" x14ac:dyDescent="0.25">
      <c r="T47" s="9">
        <f>IF(C47&lt;&gt;0,C47-Gear!$C$16,0)</f>
        <v>0</v>
      </c>
      <c r="U47" s="9">
        <f>IF(C47&lt;&gt;0,C47-Gear!$C$16,0)</f>
        <v>0</v>
      </c>
    </row>
    <row r="48" spans="1:21" x14ac:dyDescent="0.25">
      <c r="T48" s="9">
        <f>IF(C48&lt;&gt;0,C48-Gear!$C$16,0)</f>
        <v>0</v>
      </c>
      <c r="U48" s="9">
        <f>IF(C48&lt;&gt;0,C48-Gear!$C$16,0)</f>
        <v>0</v>
      </c>
    </row>
    <row r="49" spans="20:21" x14ac:dyDescent="0.25">
      <c r="T49" s="9">
        <f>IF(C49&lt;&gt;0,C49-Gear!$C$16,0)</f>
        <v>0</v>
      </c>
      <c r="U49" s="9">
        <f>IF(C49&lt;&gt;0,C49-Gear!$C$16,0)</f>
        <v>0</v>
      </c>
    </row>
    <row r="50" spans="20:21" x14ac:dyDescent="0.25">
      <c r="T50" s="9">
        <f>IF(C50&lt;&gt;0,C50-Gear!$C$16,0)</f>
        <v>0</v>
      </c>
      <c r="U50" s="9">
        <f>IF(C50&lt;&gt;0,C50-Gear!$C$16,0)</f>
        <v>0</v>
      </c>
    </row>
    <row r="51" spans="20:21" x14ac:dyDescent="0.25">
      <c r="T51" s="9">
        <f>IF(C51&lt;&gt;0,C51-Gear!$C$16,0)</f>
        <v>0</v>
      </c>
      <c r="U51" s="9">
        <f>IF(C51&lt;&gt;0,C51-Gear!$C$16,0)</f>
        <v>0</v>
      </c>
    </row>
    <row r="52" spans="20:21" x14ac:dyDescent="0.25">
      <c r="T52" s="9">
        <f>IF(C52&lt;&gt;0,C52-Gear!$C$16,0)</f>
        <v>0</v>
      </c>
      <c r="U52" s="9">
        <f>IF(C52&lt;&gt;0,C52-Gear!$C$16,0)</f>
        <v>0</v>
      </c>
    </row>
    <row r="53" spans="20:21" x14ac:dyDescent="0.25">
      <c r="T53" s="9">
        <f>IF(C53&lt;&gt;0,C53-Gear!$C$16,0)</f>
        <v>0</v>
      </c>
      <c r="U53" s="9">
        <f>IF(C53&lt;&gt;0,C53-Gear!$C$16,0)</f>
        <v>0</v>
      </c>
    </row>
    <row r="54" spans="20:21" x14ac:dyDescent="0.25">
      <c r="T54" s="9">
        <f>IF(C54&lt;&gt;0,C54-Gear!$C$16,0)</f>
        <v>0</v>
      </c>
      <c r="U54" s="9">
        <f>IF(C54&lt;&gt;0,C54-Gear!$C$16,0)</f>
        <v>0</v>
      </c>
    </row>
    <row r="55" spans="20:21" x14ac:dyDescent="0.25">
      <c r="T55" s="9">
        <f>IF(C55&lt;&gt;0,C55-Gear!$C$16,0)</f>
        <v>0</v>
      </c>
      <c r="U55" s="9">
        <f>IF(C55&lt;&gt;0,C55-Gear!$C$16,0)</f>
        <v>0</v>
      </c>
    </row>
    <row r="56" spans="20:21" x14ac:dyDescent="0.25">
      <c r="T56" s="9">
        <f>IF(C56&lt;&gt;0,C56-Gear!$C$16,0)</f>
        <v>0</v>
      </c>
      <c r="U56" s="9">
        <f>IF(C56&lt;&gt;0,C56-Gear!$C$16,0)</f>
        <v>0</v>
      </c>
    </row>
    <row r="57" spans="20:21" x14ac:dyDescent="0.25">
      <c r="T57" s="9">
        <f>IF(C57&lt;&gt;0,C57-Gear!$C$16,0)</f>
        <v>0</v>
      </c>
      <c r="U57" s="9">
        <f>IF(C57&lt;&gt;0,C57-Gear!$C$16,0)</f>
        <v>0</v>
      </c>
    </row>
    <row r="58" spans="20:21" x14ac:dyDescent="0.25">
      <c r="T58" s="9">
        <f>IF(C58&lt;&gt;0,C58-Gear!$C$16,0)</f>
        <v>0</v>
      </c>
      <c r="U58" s="9">
        <f>IF(C58&lt;&gt;0,C58-Gear!$C$16,0)</f>
        <v>0</v>
      </c>
    </row>
    <row r="59" spans="20:21" x14ac:dyDescent="0.25">
      <c r="T59" s="9">
        <f>IF(C59&lt;&gt;0,C59-Gear!$C$16,0)</f>
        <v>0</v>
      </c>
      <c r="U59" s="9">
        <f>IF(C59&lt;&gt;0,C59-Gear!$C$16,0)</f>
        <v>0</v>
      </c>
    </row>
    <row r="60" spans="20:21" x14ac:dyDescent="0.25">
      <c r="T60" s="9">
        <f>IF(C60&lt;&gt;0,C60-Gear!$C$16,0)</f>
        <v>0</v>
      </c>
      <c r="U60" s="9">
        <f>IF(C60&lt;&gt;0,C60-Gear!$C$16,0)</f>
        <v>0</v>
      </c>
    </row>
    <row r="61" spans="20:21" x14ac:dyDescent="0.25">
      <c r="T61" s="9">
        <f>IF(C61&lt;&gt;0,C61-Gear!$C$16,0)</f>
        <v>0</v>
      </c>
      <c r="U61" s="9">
        <f>IF(C61&lt;&gt;0,C61-Gear!$C$16,0)</f>
        <v>0</v>
      </c>
    </row>
    <row r="62" spans="20:21" x14ac:dyDescent="0.25">
      <c r="T62" s="9">
        <f>IF(C62&lt;&gt;0,C62-Gear!$C$16,0)</f>
        <v>0</v>
      </c>
      <c r="U62" s="9">
        <f>IF(C62&lt;&gt;0,C62-Gear!$C$16,0)</f>
        <v>0</v>
      </c>
    </row>
    <row r="63" spans="20:21" x14ac:dyDescent="0.25">
      <c r="T63" s="9">
        <f>IF(C63&lt;&gt;0,C63-Gear!$C$16,0)</f>
        <v>0</v>
      </c>
      <c r="U63" s="9">
        <f>IF(C63&lt;&gt;0,C63-Gear!$C$16,0)</f>
        <v>0</v>
      </c>
    </row>
    <row r="64" spans="20:21" x14ac:dyDescent="0.25">
      <c r="T64" s="9">
        <f>IF(C64&lt;&gt;0,C64-Gear!$C$16,0)</f>
        <v>0</v>
      </c>
      <c r="U64" s="9">
        <f>IF(C64&lt;&gt;0,C64-Gear!$C$16,0)</f>
        <v>0</v>
      </c>
    </row>
    <row r="65" spans="20:21" x14ac:dyDescent="0.25">
      <c r="T65" s="9">
        <f>IF(C65&lt;&gt;0,C65-Gear!$C$16,0)</f>
        <v>0</v>
      </c>
      <c r="U65" s="9">
        <f>IF(C65&lt;&gt;0,C65-Gear!$C$16,0)</f>
        <v>0</v>
      </c>
    </row>
    <row r="66" spans="20:21" x14ac:dyDescent="0.25">
      <c r="T66" s="9">
        <f>IF(C66&lt;&gt;0,C66-Gear!$C$16,0)</f>
        <v>0</v>
      </c>
      <c r="U66" s="9">
        <f>IF(C66&lt;&gt;0,C66-Gear!$C$16,0)</f>
        <v>0</v>
      </c>
    </row>
    <row r="67" spans="20:21" x14ac:dyDescent="0.25">
      <c r="T67" s="9">
        <f>IF(C67&lt;&gt;0,C67-Gear!$C$16,0)</f>
        <v>0</v>
      </c>
      <c r="U67" s="9">
        <f>IF(C67&lt;&gt;0,C67-Gear!$C$16,0)</f>
        <v>0</v>
      </c>
    </row>
    <row r="68" spans="20:21" x14ac:dyDescent="0.25">
      <c r="T68" s="9">
        <f>IF(C68&lt;&gt;0,C68-Gear!$C$16,0)</f>
        <v>0</v>
      </c>
      <c r="U68" s="9">
        <f>IF(C68&lt;&gt;0,C68-Gear!$C$16,0)</f>
        <v>0</v>
      </c>
    </row>
    <row r="69" spans="20:21" x14ac:dyDescent="0.25">
      <c r="T69" s="9">
        <f>IF(C69&lt;&gt;0,C69-Gear!$C$16,0)</f>
        <v>0</v>
      </c>
      <c r="U69" s="9">
        <f>IF(C69&lt;&gt;0,C69-Gear!$C$16,0)</f>
        <v>0</v>
      </c>
    </row>
    <row r="70" spans="20:21" x14ac:dyDescent="0.25">
      <c r="T70" s="9">
        <f>IF(C70&lt;&gt;0,C70-Gear!$C$16,0)</f>
        <v>0</v>
      </c>
      <c r="U70" s="9">
        <f>IF(C70&lt;&gt;0,C70-Gear!$C$16,0)</f>
        <v>0</v>
      </c>
    </row>
    <row r="71" spans="20:21" x14ac:dyDescent="0.25">
      <c r="T71" s="9">
        <f>IF(C71&lt;&gt;0,C71-Gear!$C$16,0)</f>
        <v>0</v>
      </c>
      <c r="U71" s="9">
        <f>IF(C71&lt;&gt;0,C71-Gear!$C$16,0)</f>
        <v>0</v>
      </c>
    </row>
    <row r="72" spans="20:21" x14ac:dyDescent="0.25">
      <c r="T72" s="9">
        <f>IF(C72&lt;&gt;0,C72-Gear!$C$16,0)</f>
        <v>0</v>
      </c>
      <c r="U72" s="9">
        <f>IF(C72&lt;&gt;0,C72-Gear!$C$16,0)</f>
        <v>0</v>
      </c>
    </row>
    <row r="73" spans="20:21" x14ac:dyDescent="0.25">
      <c r="T73" s="9">
        <f>IF(C73&lt;&gt;0,C73-Gear!$C$16,0)</f>
        <v>0</v>
      </c>
      <c r="U73" s="9">
        <f>IF(C73&lt;&gt;0,C73-Gear!$C$16,0)</f>
        <v>0</v>
      </c>
    </row>
    <row r="74" spans="20:21" x14ac:dyDescent="0.25">
      <c r="T74" s="9">
        <f>IF(C74&lt;&gt;0,C74-Gear!$C$16,0)</f>
        <v>0</v>
      </c>
      <c r="U74" s="9">
        <f>IF(C74&lt;&gt;0,C74-Gear!$C$16,0)</f>
        <v>0</v>
      </c>
    </row>
    <row r="75" spans="20:21" x14ac:dyDescent="0.25">
      <c r="T75" s="9">
        <f>IF(C75&lt;&gt;0,C75-Gear!$C$16,0)</f>
        <v>0</v>
      </c>
      <c r="U75" s="9">
        <f>IF(C75&lt;&gt;0,C75-Gear!$C$16,0)</f>
        <v>0</v>
      </c>
    </row>
    <row r="76" spans="20:21" x14ac:dyDescent="0.25">
      <c r="T76" s="9">
        <f>IF(C76&lt;&gt;0,C76-Gear!$C$16,0)</f>
        <v>0</v>
      </c>
      <c r="U76" s="9">
        <f>IF(C76&lt;&gt;0,C76-Gear!$C$16,0)</f>
        <v>0</v>
      </c>
    </row>
    <row r="77" spans="20:21" x14ac:dyDescent="0.25">
      <c r="T77" s="9">
        <f>IF(C77&lt;&gt;0,C77-Gear!$C$16,0)</f>
        <v>0</v>
      </c>
      <c r="U77" s="9">
        <f>IF(C77&lt;&gt;0,C77-Gear!$C$16,0)</f>
        <v>0</v>
      </c>
    </row>
    <row r="78" spans="20:21" x14ac:dyDescent="0.25">
      <c r="T78" s="9">
        <f>IF(C78&lt;&gt;0,C78-Gear!$C$16,0)</f>
        <v>0</v>
      </c>
      <c r="U78" s="9">
        <f>IF(C78&lt;&gt;0,C78-Gear!$C$16,0)</f>
        <v>0</v>
      </c>
    </row>
    <row r="79" spans="20:21" x14ac:dyDescent="0.25">
      <c r="T79" s="9">
        <f>IF(C79&lt;&gt;0,C79-Gear!$C$16,0)</f>
        <v>0</v>
      </c>
      <c r="U79" s="9">
        <f>IF(C79&lt;&gt;0,C79-Gear!$C$16,0)</f>
        <v>0</v>
      </c>
    </row>
    <row r="80" spans="20:21" x14ac:dyDescent="0.25">
      <c r="T80" s="9">
        <f>IF(C80&lt;&gt;0,C80-Gear!$C$16,0)</f>
        <v>0</v>
      </c>
      <c r="U80" s="9">
        <f>IF(C80&lt;&gt;0,C80-Gear!$C$16,0)</f>
        <v>0</v>
      </c>
    </row>
    <row r="81" spans="20:21" x14ac:dyDescent="0.25">
      <c r="T81" s="9">
        <f>IF(C81&lt;&gt;0,C81-Gear!$C$16,0)</f>
        <v>0</v>
      </c>
      <c r="U81" s="9">
        <f>IF(C81&lt;&gt;0,C81-Gear!$C$16,0)</f>
        <v>0</v>
      </c>
    </row>
    <row r="82" spans="20:21" x14ac:dyDescent="0.25">
      <c r="T82" s="9">
        <f>IF(C82&lt;&gt;0,C82-Gear!$C$16,0)</f>
        <v>0</v>
      </c>
      <c r="U82" s="9">
        <f>IF(C82&lt;&gt;0,C82-Gear!$C$16,0)</f>
        <v>0</v>
      </c>
    </row>
    <row r="83" spans="20:21" x14ac:dyDescent="0.25">
      <c r="T83" s="9">
        <f>IF(C83&lt;&gt;0,C83-Gear!$C$16,0)</f>
        <v>0</v>
      </c>
      <c r="U83" s="9">
        <f>IF(C83&lt;&gt;0,C83-Gear!$C$16,0)</f>
        <v>0</v>
      </c>
    </row>
    <row r="84" spans="20:21" x14ac:dyDescent="0.25">
      <c r="T84" s="9">
        <f>IF(C84&lt;&gt;0,C84-Gear!$C$16,0)</f>
        <v>0</v>
      </c>
      <c r="U84" s="9">
        <f>IF(C84&lt;&gt;0,C84-Gear!$C$16,0)</f>
        <v>0</v>
      </c>
    </row>
    <row r="85" spans="20:21" x14ac:dyDescent="0.25">
      <c r="T85" s="9">
        <f>IF(C85&lt;&gt;0,C85-Gear!$C$16,0)</f>
        <v>0</v>
      </c>
      <c r="U85" s="9">
        <f>IF(C85&lt;&gt;0,C85-Gear!$C$16,0)</f>
        <v>0</v>
      </c>
    </row>
    <row r="86" spans="20:21" x14ac:dyDescent="0.25">
      <c r="T86" s="9">
        <f>IF(C86&lt;&gt;0,C86-Gear!$C$16,0)</f>
        <v>0</v>
      </c>
      <c r="U86" s="9">
        <f>IF(C86&lt;&gt;0,C86-Gear!$C$16,0)</f>
        <v>0</v>
      </c>
    </row>
    <row r="87" spans="20:21" x14ac:dyDescent="0.25">
      <c r="T87" s="9">
        <f>IF(C87&lt;&gt;0,C87-Gear!$C$16,0)</f>
        <v>0</v>
      </c>
      <c r="U87" s="9">
        <f>IF(C87&lt;&gt;0,C87-Gear!$C$16,0)</f>
        <v>0</v>
      </c>
    </row>
    <row r="88" spans="20:21" x14ac:dyDescent="0.25">
      <c r="T88" s="9">
        <f>IF(C88&lt;&gt;0,C88-Gear!$C$16,0)</f>
        <v>0</v>
      </c>
      <c r="U88" s="9">
        <f>IF(C88&lt;&gt;0,C88-Gear!$C$16,0)</f>
        <v>0</v>
      </c>
    </row>
    <row r="89" spans="20:21" x14ac:dyDescent="0.25">
      <c r="T89" s="9">
        <f>IF(C89&lt;&gt;0,C89-Gear!$C$16,0)</f>
        <v>0</v>
      </c>
      <c r="U89" s="9">
        <f>IF(C89&lt;&gt;0,C89-Gear!$C$16,0)</f>
        <v>0</v>
      </c>
    </row>
    <row r="90" spans="20:21" x14ac:dyDescent="0.25">
      <c r="T90" s="9">
        <f>IF(C90&lt;&gt;0,C90-Gear!$C$16,0)</f>
        <v>0</v>
      </c>
      <c r="U90" s="9">
        <f>IF(C90&lt;&gt;0,C90-Gear!$C$16,0)</f>
        <v>0</v>
      </c>
    </row>
    <row r="91" spans="20:21" x14ac:dyDescent="0.25">
      <c r="T91" s="9">
        <f>IF(C91&lt;&gt;0,C91-Gear!$C$16,0)</f>
        <v>0</v>
      </c>
      <c r="U91" s="9">
        <f>IF(C91&lt;&gt;0,C91-Gear!$C$16,0)</f>
        <v>0</v>
      </c>
    </row>
    <row r="92" spans="20:21" x14ac:dyDescent="0.25">
      <c r="T92" s="9">
        <f>IF(C92&lt;&gt;0,C92-Gear!$C$16,0)</f>
        <v>0</v>
      </c>
      <c r="U92" s="9">
        <f>IF(C92&lt;&gt;0,C92-Gear!$C$16,0)</f>
        <v>0</v>
      </c>
    </row>
    <row r="93" spans="20:21" x14ac:dyDescent="0.25">
      <c r="T93" s="9">
        <f>IF(C93&lt;&gt;0,C93-Gear!$C$16,0)</f>
        <v>0</v>
      </c>
      <c r="U93" s="9">
        <f>IF(C93&lt;&gt;0,C93-Gear!$C$16,0)</f>
        <v>0</v>
      </c>
    </row>
    <row r="94" spans="20:21" x14ac:dyDescent="0.25">
      <c r="T94" s="9">
        <f>IF(C94&lt;&gt;0,C94-Gear!$C$16,0)</f>
        <v>0</v>
      </c>
      <c r="U94" s="9">
        <f>IF(C94&lt;&gt;0,C94-Gear!$C$16,0)</f>
        <v>0</v>
      </c>
    </row>
    <row r="95" spans="20:21" x14ac:dyDescent="0.25">
      <c r="T95" s="9">
        <f>IF(C95&lt;&gt;0,C95-Gear!$C$16,0)</f>
        <v>0</v>
      </c>
      <c r="U95" s="9">
        <f>IF(C95&lt;&gt;0,C95-Gear!$C$16,0)</f>
        <v>0</v>
      </c>
    </row>
    <row r="96" spans="20:21" x14ac:dyDescent="0.25">
      <c r="T96" s="9">
        <f>IF(C96&lt;&gt;0,C96-Gear!$C$16,0)</f>
        <v>0</v>
      </c>
      <c r="U96" s="9">
        <f>IF(C96&lt;&gt;0,C96-Gear!$C$16,0)</f>
        <v>0</v>
      </c>
    </row>
    <row r="97" spans="20:21" x14ac:dyDescent="0.25">
      <c r="T97" s="9">
        <f>IF(C97&lt;&gt;0,C97-Gear!$C$16,0)</f>
        <v>0</v>
      </c>
      <c r="U97" s="9">
        <f>IF(C97&lt;&gt;0,C97-Gear!$C$16,0)</f>
        <v>0</v>
      </c>
    </row>
    <row r="98" spans="20:21" x14ac:dyDescent="0.25">
      <c r="T98" s="9">
        <f>IF(C98&lt;&gt;0,C98-Gear!$C$16,0)</f>
        <v>0</v>
      </c>
      <c r="U98" s="9">
        <f>IF(C98&lt;&gt;0,C98-Gear!$C$16,0)</f>
        <v>0</v>
      </c>
    </row>
    <row r="99" spans="20:21" x14ac:dyDescent="0.25">
      <c r="T99" s="9">
        <f>IF(C99&lt;&gt;0,C99-Gear!$C$16,0)</f>
        <v>0</v>
      </c>
      <c r="U99" s="9">
        <f>IF(C99&lt;&gt;0,C99-Gear!$C$16,0)</f>
        <v>0</v>
      </c>
    </row>
    <row r="100" spans="20:21" x14ac:dyDescent="0.25">
      <c r="T100" s="9">
        <f>IF(C100&lt;&gt;0,C100-Gear!$C$16,0)</f>
        <v>0</v>
      </c>
      <c r="U100" s="9">
        <f>IF(C100&lt;&gt;0,C100-Gear!$C$16,0)</f>
        <v>0</v>
      </c>
    </row>
    <row r="101" spans="20:21" x14ac:dyDescent="0.25">
      <c r="T101" s="9">
        <f>IF(C101&lt;&gt;0,C101-Gear!$C$16,0)</f>
        <v>0</v>
      </c>
      <c r="U101" s="9">
        <f>IF(C101&lt;&gt;0,C101-Gear!$C$16,0)</f>
        <v>0</v>
      </c>
    </row>
    <row r="102" spans="20:21" x14ac:dyDescent="0.25">
      <c r="T102" s="9">
        <f>IF(C102&lt;&gt;0,C102-Gear!$C$16,0)</f>
        <v>0</v>
      </c>
      <c r="U102" s="9">
        <f>IF(C102&lt;&gt;0,C102-Gear!$C$16,0)</f>
        <v>0</v>
      </c>
    </row>
    <row r="103" spans="20:21" x14ac:dyDescent="0.25">
      <c r="T103" s="9">
        <f>IF(C103&lt;&gt;0,C103-Gear!$C$16,0)</f>
        <v>0</v>
      </c>
      <c r="U103" s="9">
        <f>IF(C103&lt;&gt;0,C103-Gear!$C$16,0)</f>
        <v>0</v>
      </c>
    </row>
    <row r="104" spans="20:21" x14ac:dyDescent="0.25">
      <c r="T104" s="9">
        <f>IF(C104&lt;&gt;0,C104-Gear!$C$16,0)</f>
        <v>0</v>
      </c>
      <c r="U104" s="9">
        <f>IF(C104&lt;&gt;0,C104-Gear!$C$16,0)</f>
        <v>0</v>
      </c>
    </row>
    <row r="105" spans="20:21" x14ac:dyDescent="0.25">
      <c r="T105" s="9">
        <f>IF(C105&lt;&gt;0,C105-Gear!$C$16,0)</f>
        <v>0</v>
      </c>
      <c r="U105" s="9">
        <f>IF(C105&lt;&gt;0,C105-Gear!$C$16,0)</f>
        <v>0</v>
      </c>
    </row>
    <row r="106" spans="20:21" x14ac:dyDescent="0.25">
      <c r="T106" s="9">
        <f>IF(C106&lt;&gt;0,C106-Gear!$C$16,0)</f>
        <v>0</v>
      </c>
      <c r="U106" s="9">
        <f>IF(C106&lt;&gt;0,C106-Gear!$C$16,0)</f>
        <v>0</v>
      </c>
    </row>
    <row r="107" spans="20:21" x14ac:dyDescent="0.25">
      <c r="T107" s="9">
        <f>IF(C107&lt;&gt;0,C107-Gear!$C$16,0)</f>
        <v>0</v>
      </c>
      <c r="U107" s="9">
        <f>IF(C107&lt;&gt;0,C107-Gear!$C$16,0)</f>
        <v>0</v>
      </c>
    </row>
    <row r="108" spans="20:21" x14ac:dyDescent="0.25">
      <c r="T108" s="9">
        <f>IF(C108&lt;&gt;0,C108-Gear!$C$16,0)</f>
        <v>0</v>
      </c>
      <c r="U108" s="9">
        <f>IF(C108&lt;&gt;0,C108-Gear!$C$16,0)</f>
        <v>0</v>
      </c>
    </row>
    <row r="109" spans="20:21" x14ac:dyDescent="0.25">
      <c r="T109" s="9">
        <f>IF(C109&lt;&gt;0,C109-Gear!$C$16,0)</f>
        <v>0</v>
      </c>
      <c r="U109" s="9">
        <f>IF(C109&lt;&gt;0,C109-Gear!$C$16,0)</f>
        <v>0</v>
      </c>
    </row>
    <row r="110" spans="20:21" x14ac:dyDescent="0.25">
      <c r="T110" s="9">
        <f>IF(C110&lt;&gt;0,C110-Gear!$C$16,0)</f>
        <v>0</v>
      </c>
      <c r="U110" s="9">
        <f>IF(C110&lt;&gt;0,C110-Gear!$C$16,0)</f>
        <v>0</v>
      </c>
    </row>
    <row r="111" spans="20:21" x14ac:dyDescent="0.25">
      <c r="T111" s="9">
        <f>IF(C111&lt;&gt;0,C111-Gear!$C$16,0)</f>
        <v>0</v>
      </c>
      <c r="U111" s="9">
        <f>IF(C111&lt;&gt;0,C111-Gear!$C$16,0)</f>
        <v>0</v>
      </c>
    </row>
    <row r="112" spans="20:21" x14ac:dyDescent="0.25">
      <c r="T112" s="9">
        <f>IF(C112&lt;&gt;0,C112-Gear!$C$16,0)</f>
        <v>0</v>
      </c>
      <c r="U112" s="9">
        <f>IF(C112&lt;&gt;0,C112-Gear!$C$16,0)</f>
        <v>0</v>
      </c>
    </row>
    <row r="113" spans="20:21" x14ac:dyDescent="0.25">
      <c r="T113" s="9">
        <f>IF(C113&lt;&gt;0,C113-Gear!$C$16,0)</f>
        <v>0</v>
      </c>
      <c r="U113" s="9">
        <f>IF(C113&lt;&gt;0,C113-Gear!$C$16,0)</f>
        <v>0</v>
      </c>
    </row>
    <row r="114" spans="20:21" x14ac:dyDescent="0.25">
      <c r="T114" s="9">
        <f>IF(C114&lt;&gt;0,C114-Gear!$C$16,0)</f>
        <v>0</v>
      </c>
      <c r="U114" s="9">
        <f>IF(C114&lt;&gt;0,C114-Gear!$C$16,0)</f>
        <v>0</v>
      </c>
    </row>
    <row r="115" spans="20:21" x14ac:dyDescent="0.25">
      <c r="T115" s="9">
        <f>IF(C115&lt;&gt;0,C115-Gear!$C$16,0)</f>
        <v>0</v>
      </c>
      <c r="U115" s="9">
        <f>IF(C115&lt;&gt;0,C115-Gear!$C$16,0)</f>
        <v>0</v>
      </c>
    </row>
    <row r="116" spans="20:21" x14ac:dyDescent="0.25">
      <c r="T116" s="9">
        <f>IF(C116&lt;&gt;0,C116-Gear!$C$16,0)</f>
        <v>0</v>
      </c>
      <c r="U116" s="9">
        <f>IF(C116&lt;&gt;0,C116-Gear!$C$16,0)</f>
        <v>0</v>
      </c>
    </row>
    <row r="117" spans="20:21" x14ac:dyDescent="0.25">
      <c r="T117" s="9">
        <f>IF(C117&lt;&gt;0,C117-Gear!$C$16,0)</f>
        <v>0</v>
      </c>
      <c r="U117" s="9">
        <f>IF(C117&lt;&gt;0,C117-Gear!$C$16,0)</f>
        <v>0</v>
      </c>
    </row>
    <row r="118" spans="20:21" x14ac:dyDescent="0.25">
      <c r="T118" s="9">
        <f>IF(C118&lt;&gt;0,C118-Gear!$C$16,0)</f>
        <v>0</v>
      </c>
      <c r="U118" s="9">
        <f>IF(C118&lt;&gt;0,C118-Gear!$C$16,0)</f>
        <v>0</v>
      </c>
    </row>
    <row r="119" spans="20:21" x14ac:dyDescent="0.25">
      <c r="T119" s="9">
        <f>IF(C119&lt;&gt;0,C119-Gear!$C$16,0)</f>
        <v>0</v>
      </c>
      <c r="U119" s="9">
        <f>IF(C119&lt;&gt;0,C119-Gear!$C$16,0)</f>
        <v>0</v>
      </c>
    </row>
    <row r="120" spans="20:21" x14ac:dyDescent="0.25">
      <c r="T120" s="9">
        <f>IF(C120&lt;&gt;0,C120-Gear!$C$16,0)</f>
        <v>0</v>
      </c>
      <c r="U120" s="9">
        <f>IF(C120&lt;&gt;0,C120-Gear!$C$16,0)</f>
        <v>0</v>
      </c>
    </row>
    <row r="121" spans="20:21" x14ac:dyDescent="0.25">
      <c r="T121" s="9">
        <f>IF(C121&lt;&gt;0,C121-Gear!$C$16,0)</f>
        <v>0</v>
      </c>
      <c r="U121" s="9">
        <f>IF(C121&lt;&gt;0,C121-Gear!$C$16,0)</f>
        <v>0</v>
      </c>
    </row>
    <row r="122" spans="20:21" x14ac:dyDescent="0.25">
      <c r="T122" s="9">
        <f>IF(C122&lt;&gt;0,C122-Gear!$C$16,0)</f>
        <v>0</v>
      </c>
      <c r="U122" s="9">
        <f>IF(C122&lt;&gt;0,C122-Gear!$C$16,0)</f>
        <v>0</v>
      </c>
    </row>
    <row r="123" spans="20:21" x14ac:dyDescent="0.25">
      <c r="T123" s="9">
        <f>IF(C123&lt;&gt;0,C123-Gear!$C$16,0)</f>
        <v>0</v>
      </c>
      <c r="U123" s="9">
        <f>IF(C123&lt;&gt;0,C123-Gear!$C$16,0)</f>
        <v>0</v>
      </c>
    </row>
    <row r="124" spans="20:21" x14ac:dyDescent="0.25">
      <c r="T124" s="9">
        <f>IF(C124&lt;&gt;0,C124-Gear!$C$16,0)</f>
        <v>0</v>
      </c>
      <c r="U124" s="9">
        <f>IF(C124&lt;&gt;0,C124-Gear!$C$16,0)</f>
        <v>0</v>
      </c>
    </row>
    <row r="125" spans="20:21" x14ac:dyDescent="0.25">
      <c r="T125" s="9">
        <f>IF(C125&lt;&gt;0,C125-Gear!$C$16,0)</f>
        <v>0</v>
      </c>
      <c r="U125" s="9">
        <f>IF(C125&lt;&gt;0,C125-Gear!$C$16,0)</f>
        <v>0</v>
      </c>
    </row>
    <row r="126" spans="20:21" x14ac:dyDescent="0.25">
      <c r="T126" s="9">
        <f>IF(C126&lt;&gt;0,C126-Gear!$C$16,0)</f>
        <v>0</v>
      </c>
      <c r="U126" s="9">
        <f>IF(C126&lt;&gt;0,C126-Gear!$C$16,0)</f>
        <v>0</v>
      </c>
    </row>
    <row r="127" spans="20:21" x14ac:dyDescent="0.25">
      <c r="T127" s="9">
        <f>IF(C127&lt;&gt;0,C127-Gear!$C$16,0)</f>
        <v>0</v>
      </c>
      <c r="U127" s="9">
        <f>IF(C127&lt;&gt;0,C127-Gear!$C$16,0)</f>
        <v>0</v>
      </c>
    </row>
    <row r="128" spans="20:21" x14ac:dyDescent="0.25">
      <c r="T128" s="9">
        <f>IF(C128&lt;&gt;0,C128-Gear!$C$16,0)</f>
        <v>0</v>
      </c>
      <c r="U128" s="9">
        <f>IF(C128&lt;&gt;0,C128-Gear!$C$16,0)</f>
        <v>0</v>
      </c>
    </row>
    <row r="129" spans="20:21" x14ac:dyDescent="0.25">
      <c r="T129" s="9">
        <f>IF(C129&lt;&gt;0,C129-Gear!$C$16,0)</f>
        <v>0</v>
      </c>
      <c r="U129" s="9">
        <f>IF(C129&lt;&gt;0,C129-Gear!$C$16,0)</f>
        <v>0</v>
      </c>
    </row>
    <row r="130" spans="20:21" x14ac:dyDescent="0.25">
      <c r="T130" s="9">
        <f>IF(C130&lt;&gt;0,C130-Gear!$C$16,0)</f>
        <v>0</v>
      </c>
      <c r="U130" s="9">
        <f>IF(C130&lt;&gt;0,C130-Gear!$C$16,0)</f>
        <v>0</v>
      </c>
    </row>
    <row r="131" spans="20:21" x14ac:dyDescent="0.25">
      <c r="T131" s="9">
        <f>IF(C131&lt;&gt;0,C131-Gear!$C$16,0)</f>
        <v>0</v>
      </c>
      <c r="U131" s="9">
        <f>IF(C131&lt;&gt;0,C131-Gear!$C$16,0)</f>
        <v>0</v>
      </c>
    </row>
    <row r="132" spans="20:21" x14ac:dyDescent="0.25">
      <c r="T132" s="9">
        <f>IF(C132&lt;&gt;0,C132-Gear!$C$16,0)</f>
        <v>0</v>
      </c>
      <c r="U132" s="9">
        <f>IF(C132&lt;&gt;0,C132-Gear!$C$16,0)</f>
        <v>0</v>
      </c>
    </row>
    <row r="133" spans="20:21" x14ac:dyDescent="0.25">
      <c r="T133" s="9">
        <f>IF(C133&lt;&gt;0,C133-Gear!$C$16,0)</f>
        <v>0</v>
      </c>
      <c r="U133" s="9">
        <f>IF(C133&lt;&gt;0,C133-Gear!$C$16,0)</f>
        <v>0</v>
      </c>
    </row>
    <row r="134" spans="20:21" x14ac:dyDescent="0.25">
      <c r="T134" s="9">
        <f>IF(C134&lt;&gt;0,C134-Gear!$C$16,0)</f>
        <v>0</v>
      </c>
      <c r="U134" s="9">
        <f>IF(C134&lt;&gt;0,C134-Gear!$C$16,0)</f>
        <v>0</v>
      </c>
    </row>
    <row r="135" spans="20:21" x14ac:dyDescent="0.25">
      <c r="T135" s="9">
        <f>IF(C135&lt;&gt;0,C135-Gear!$C$16,0)</f>
        <v>0</v>
      </c>
      <c r="U135" s="9">
        <f>IF(C135&lt;&gt;0,C135-Gear!$C$16,0)</f>
        <v>0</v>
      </c>
    </row>
    <row r="136" spans="20:21" x14ac:dyDescent="0.25">
      <c r="T136" s="9">
        <f>IF(C136&lt;&gt;0,C136-Gear!$C$16,0)</f>
        <v>0</v>
      </c>
      <c r="U136" s="9">
        <f>IF(C136&lt;&gt;0,C136-Gear!$C$16,0)</f>
        <v>0</v>
      </c>
    </row>
    <row r="137" spans="20:21" x14ac:dyDescent="0.25">
      <c r="T137" s="9">
        <f>IF(C137&lt;&gt;0,C137-Gear!$C$16,0)</f>
        <v>0</v>
      </c>
      <c r="U137" s="9">
        <f>IF(C137&lt;&gt;0,C137-Gear!$C$16,0)</f>
        <v>0</v>
      </c>
    </row>
    <row r="138" spans="20:21" x14ac:dyDescent="0.25">
      <c r="T138" s="9">
        <f>IF(C138&lt;&gt;0,C138-Gear!$C$16,0)</f>
        <v>0</v>
      </c>
      <c r="U138" s="9">
        <f>IF(C138&lt;&gt;0,C138-Gear!$C$16,0)</f>
        <v>0</v>
      </c>
    </row>
    <row r="139" spans="20:21" x14ac:dyDescent="0.25">
      <c r="T139" s="9">
        <f>IF(C139&lt;&gt;0,C139-Gear!$C$16,0)</f>
        <v>0</v>
      </c>
      <c r="U139" s="9">
        <f>IF(C139&lt;&gt;0,C139-Gear!$C$16,0)</f>
        <v>0</v>
      </c>
    </row>
    <row r="140" spans="20:21" x14ac:dyDescent="0.25">
      <c r="T140" s="9">
        <f>IF(C140&lt;&gt;0,C140-Gear!$C$16,0)</f>
        <v>0</v>
      </c>
      <c r="U140" s="9">
        <f>IF(C140&lt;&gt;0,C140-Gear!$C$16,0)</f>
        <v>0</v>
      </c>
    </row>
    <row r="141" spans="20:21" x14ac:dyDescent="0.25">
      <c r="T141" s="9">
        <f>IF(C141&lt;&gt;0,C141-Gear!$C$16,0)</f>
        <v>0</v>
      </c>
      <c r="U141" s="9">
        <f>IF(C141&lt;&gt;0,C141-Gear!$C$16,0)</f>
        <v>0</v>
      </c>
    </row>
    <row r="142" spans="20:21" x14ac:dyDescent="0.25">
      <c r="T142" s="9">
        <f>IF(C142&lt;&gt;0,C142-Gear!$C$16,0)</f>
        <v>0</v>
      </c>
      <c r="U142" s="9">
        <f>IF(C142&lt;&gt;0,C142-Gear!$C$16,0)</f>
        <v>0</v>
      </c>
    </row>
    <row r="143" spans="20:21" x14ac:dyDescent="0.25">
      <c r="T143" s="9">
        <f>IF(C143&lt;&gt;0,C143-Gear!$C$16,0)</f>
        <v>0</v>
      </c>
      <c r="U143" s="9">
        <f>IF(C143&lt;&gt;0,C143-Gear!$C$16,0)</f>
        <v>0</v>
      </c>
    </row>
    <row r="144" spans="20:21" x14ac:dyDescent="0.25">
      <c r="T144" s="9">
        <f>IF(C144&lt;&gt;0,C144-Gear!$C$16,0)</f>
        <v>0</v>
      </c>
      <c r="U144" s="9">
        <f>IF(C144&lt;&gt;0,C144-Gear!$C$16,0)</f>
        <v>0</v>
      </c>
    </row>
    <row r="145" spans="20:21" x14ac:dyDescent="0.25">
      <c r="T145" s="9">
        <f>IF(C145&lt;&gt;0,C145-Gear!$C$16,0)</f>
        <v>0</v>
      </c>
      <c r="U145" s="9">
        <f>IF(C145&lt;&gt;0,C145-Gear!$C$16,0)</f>
        <v>0</v>
      </c>
    </row>
    <row r="146" spans="20:21" x14ac:dyDescent="0.25">
      <c r="T146" s="9">
        <f>IF(C146&lt;&gt;0,C146-Gear!$C$16,0)</f>
        <v>0</v>
      </c>
      <c r="U146" s="9">
        <f>IF(C146&lt;&gt;0,C146-Gear!$C$16,0)</f>
        <v>0</v>
      </c>
    </row>
    <row r="147" spans="20:21" x14ac:dyDescent="0.25">
      <c r="T147" s="9">
        <f>IF(C147&lt;&gt;0,C147-Gear!$C$16,0)</f>
        <v>0</v>
      </c>
      <c r="U147" s="9">
        <f>IF(C147&lt;&gt;0,C147-Gear!$C$16,0)</f>
        <v>0</v>
      </c>
    </row>
    <row r="148" spans="20:21" x14ac:dyDescent="0.25">
      <c r="T148" s="9">
        <f>IF(C148&lt;&gt;0,C148-Gear!$C$16,0)</f>
        <v>0</v>
      </c>
      <c r="U148" s="9">
        <f>IF(C148&lt;&gt;0,C148-Gear!$C$16,0)</f>
        <v>0</v>
      </c>
    </row>
    <row r="149" spans="20:21" x14ac:dyDescent="0.25">
      <c r="T149" s="9">
        <f>IF(C149&lt;&gt;0,C149-Gear!$C$16,0)</f>
        <v>0</v>
      </c>
      <c r="U149" s="9">
        <f>IF(C149&lt;&gt;0,C149-Gear!$C$16,0)</f>
        <v>0</v>
      </c>
    </row>
    <row r="150" spans="20:21" x14ac:dyDescent="0.25">
      <c r="T150" s="9">
        <f>IF(C150&lt;&gt;0,C150-Gear!$C$16,0)</f>
        <v>0</v>
      </c>
      <c r="U150" s="9">
        <f>IF(C150&lt;&gt;0,C150-Gear!$C$16,0)</f>
        <v>0</v>
      </c>
    </row>
    <row r="151" spans="20:21" x14ac:dyDescent="0.25">
      <c r="T151" s="9">
        <f>IF(C151&lt;&gt;0,C151-Gear!$C$16,0)</f>
        <v>0</v>
      </c>
      <c r="U151" s="9">
        <f>IF(C151&lt;&gt;0,C151-Gear!$C$16,0)</f>
        <v>0</v>
      </c>
    </row>
    <row r="152" spans="20:21" x14ac:dyDescent="0.25">
      <c r="T152" s="9">
        <f>IF(C152&lt;&gt;0,C152-Gear!$C$16,0)</f>
        <v>0</v>
      </c>
      <c r="U152" s="9">
        <f>IF(C152&lt;&gt;0,C152-Gear!$C$16,0)</f>
        <v>0</v>
      </c>
    </row>
    <row r="153" spans="20:21" x14ac:dyDescent="0.25">
      <c r="T153" s="9">
        <f>IF(C153&lt;&gt;0,C153-Gear!$C$16,0)</f>
        <v>0</v>
      </c>
      <c r="U153" s="9">
        <f>IF(C153&lt;&gt;0,C153-Gear!$C$16,0)</f>
        <v>0</v>
      </c>
    </row>
    <row r="154" spans="20:21" x14ac:dyDescent="0.25">
      <c r="T154" s="9">
        <f>IF(C154&lt;&gt;0,C154-Gear!$C$16,0)</f>
        <v>0</v>
      </c>
      <c r="U154" s="9">
        <f>IF(C154&lt;&gt;0,C154-Gear!$C$16,0)</f>
        <v>0</v>
      </c>
    </row>
    <row r="155" spans="20:21" x14ac:dyDescent="0.25">
      <c r="T155" s="9">
        <f>IF(C155&lt;&gt;0,C155-Gear!$C$16,0)</f>
        <v>0</v>
      </c>
      <c r="U155" s="9">
        <f>IF(C155&lt;&gt;0,C155-Gear!$C$16,0)</f>
        <v>0</v>
      </c>
    </row>
    <row r="156" spans="20:21" x14ac:dyDescent="0.25">
      <c r="T156" s="9">
        <f>IF(C156&lt;&gt;0,C156-Gear!$C$16,0)</f>
        <v>0</v>
      </c>
      <c r="U156" s="9">
        <f>IF(C156&lt;&gt;0,C156-Gear!$C$16,0)</f>
        <v>0</v>
      </c>
    </row>
    <row r="157" spans="20:21" x14ac:dyDescent="0.25">
      <c r="T157" s="9">
        <f>IF(C157&lt;&gt;0,C157-Gear!$C$16,0)</f>
        <v>0</v>
      </c>
      <c r="U157" s="9">
        <f>IF(C157&lt;&gt;0,C157-Gear!$C$16,0)</f>
        <v>0</v>
      </c>
    </row>
    <row r="158" spans="20:21" x14ac:dyDescent="0.25">
      <c r="T158" s="9">
        <f>IF(C158&lt;&gt;0,C158-Gear!$C$16,0)</f>
        <v>0</v>
      </c>
      <c r="U158" s="9">
        <f>IF(C158&lt;&gt;0,C158-Gear!$C$16,0)</f>
        <v>0</v>
      </c>
    </row>
    <row r="159" spans="20:21" x14ac:dyDescent="0.25">
      <c r="T159" s="9">
        <f>IF(C159&lt;&gt;0,C159-Gear!$C$16,0)</f>
        <v>0</v>
      </c>
      <c r="U159" s="9">
        <f>IF(C159&lt;&gt;0,C159-Gear!$C$16,0)</f>
        <v>0</v>
      </c>
    </row>
    <row r="160" spans="20:21" x14ac:dyDescent="0.25">
      <c r="T160" s="9">
        <f>IF(C160&lt;&gt;0,C160-Gear!$C$16,0)</f>
        <v>0</v>
      </c>
      <c r="U160" s="9">
        <f>IF(C160&lt;&gt;0,C160-Gear!$C$16,0)</f>
        <v>0</v>
      </c>
    </row>
    <row r="161" spans="20:21" x14ac:dyDescent="0.25">
      <c r="T161" s="9">
        <f>IF(C161&lt;&gt;0,C161-Gear!$C$16,0)</f>
        <v>0</v>
      </c>
      <c r="U161" s="9">
        <f>IF(C161&lt;&gt;0,C161-Gear!$C$16,0)</f>
        <v>0</v>
      </c>
    </row>
    <row r="162" spans="20:21" x14ac:dyDescent="0.25">
      <c r="T162" s="9">
        <f>IF(C162&lt;&gt;0,C162-Gear!$C$16,0)</f>
        <v>0</v>
      </c>
      <c r="U162" s="9">
        <f>IF(C162&lt;&gt;0,C162-Gear!$C$16,0)</f>
        <v>0</v>
      </c>
    </row>
    <row r="163" spans="20:21" x14ac:dyDescent="0.25">
      <c r="T163" s="9">
        <f>IF(C163&lt;&gt;0,C163-Gear!$C$16,0)</f>
        <v>0</v>
      </c>
      <c r="U163" s="9">
        <f>IF(C163&lt;&gt;0,C163-Gear!$C$16,0)</f>
        <v>0</v>
      </c>
    </row>
    <row r="164" spans="20:21" x14ac:dyDescent="0.25">
      <c r="T164" s="9">
        <f>IF(C164&lt;&gt;0,C164-Gear!$C$16,0)</f>
        <v>0</v>
      </c>
      <c r="U164" s="9">
        <f>IF(C164&lt;&gt;0,C164-Gear!$C$16,0)</f>
        <v>0</v>
      </c>
    </row>
    <row r="165" spans="20:21" x14ac:dyDescent="0.25">
      <c r="T165" s="9">
        <f>IF(C165&lt;&gt;0,C165-Gear!$C$16,0)</f>
        <v>0</v>
      </c>
      <c r="U165" s="9">
        <f>IF(C165&lt;&gt;0,C165-Gear!$C$16,0)</f>
        <v>0</v>
      </c>
    </row>
    <row r="166" spans="20:21" x14ac:dyDescent="0.25">
      <c r="T166" s="9">
        <f>IF(C166&lt;&gt;0,C166-Gear!$C$16,0)</f>
        <v>0</v>
      </c>
      <c r="U166" s="9">
        <f>IF(C166&lt;&gt;0,C166-Gear!$C$16,0)</f>
        <v>0</v>
      </c>
    </row>
    <row r="167" spans="20:21" x14ac:dyDescent="0.25">
      <c r="T167" s="9">
        <f>IF(C167&lt;&gt;0,C167-Gear!$C$16,0)</f>
        <v>0</v>
      </c>
      <c r="U167" s="9">
        <f>IF(C167&lt;&gt;0,C167-Gear!$C$16,0)</f>
        <v>0</v>
      </c>
    </row>
    <row r="168" spans="20:21" x14ac:dyDescent="0.25">
      <c r="T168" s="9">
        <f>IF(C168&lt;&gt;0,C168-Gear!$C$16,0)</f>
        <v>0</v>
      </c>
      <c r="U168" s="9">
        <f>IF(C168&lt;&gt;0,C168-Gear!$C$16,0)</f>
        <v>0</v>
      </c>
    </row>
    <row r="169" spans="20:21" x14ac:dyDescent="0.25">
      <c r="T169" s="9">
        <f>IF(C169&lt;&gt;0,C169-Gear!$C$16,0)</f>
        <v>0</v>
      </c>
      <c r="U169" s="9">
        <f>IF(C169&lt;&gt;0,C169-Gear!$C$16,0)</f>
        <v>0</v>
      </c>
    </row>
    <row r="170" spans="20:21" x14ac:dyDescent="0.25">
      <c r="T170" s="9">
        <f>IF(C170&lt;&gt;0,C170-Gear!$C$16,0)</f>
        <v>0</v>
      </c>
      <c r="U170" s="9">
        <f>IF(C170&lt;&gt;0,C170-Gear!$C$16,0)</f>
        <v>0</v>
      </c>
    </row>
    <row r="171" spans="20:21" x14ac:dyDescent="0.25">
      <c r="T171" s="9">
        <f>IF(C171&lt;&gt;0,C171-Gear!$C$16,0)</f>
        <v>0</v>
      </c>
      <c r="U171" s="9">
        <f>IF(C171&lt;&gt;0,C171-Gear!$C$16,0)</f>
        <v>0</v>
      </c>
    </row>
    <row r="172" spans="20:21" x14ac:dyDescent="0.25">
      <c r="T172" s="9">
        <f>IF(C172&lt;&gt;0,C172-Gear!$C$16,0)</f>
        <v>0</v>
      </c>
      <c r="U172" s="9">
        <f>IF(C172&lt;&gt;0,C172-Gear!$C$16,0)</f>
        <v>0</v>
      </c>
    </row>
    <row r="173" spans="20:21" x14ac:dyDescent="0.25">
      <c r="T173" s="9">
        <f>IF(C173&lt;&gt;0,C173-Gear!$C$16,0)</f>
        <v>0</v>
      </c>
      <c r="U173" s="9">
        <f>IF(C173&lt;&gt;0,C173-Gear!$C$16,0)</f>
        <v>0</v>
      </c>
    </row>
    <row r="174" spans="20:21" x14ac:dyDescent="0.25">
      <c r="T174" s="9">
        <f>IF(C174&lt;&gt;0,C174-Gear!$C$16,0)</f>
        <v>0</v>
      </c>
      <c r="U174" s="9">
        <f>IF(C174&lt;&gt;0,C174-Gear!$C$16,0)</f>
        <v>0</v>
      </c>
    </row>
    <row r="175" spans="20:21" x14ac:dyDescent="0.25">
      <c r="T175" s="9">
        <f>IF(C175&lt;&gt;0,C175-Gear!$C$16,0)</f>
        <v>0</v>
      </c>
      <c r="U175" s="9">
        <f>IF(C175&lt;&gt;0,C175-Gear!$C$16,0)</f>
        <v>0</v>
      </c>
    </row>
    <row r="176" spans="20:21" x14ac:dyDescent="0.25">
      <c r="T176" s="9">
        <f>IF(C176&lt;&gt;0,C176-Gear!$C$16,0)</f>
        <v>0</v>
      </c>
      <c r="U176" s="9">
        <f>IF(C176&lt;&gt;0,C176-Gear!$C$16,0)</f>
        <v>0</v>
      </c>
    </row>
    <row r="177" spans="20:21" x14ac:dyDescent="0.25">
      <c r="T177" s="9">
        <f>IF(C177&lt;&gt;0,C177-Gear!$C$16,0)</f>
        <v>0</v>
      </c>
      <c r="U177" s="9">
        <f>IF(C177&lt;&gt;0,C177-Gear!$C$16,0)</f>
        <v>0</v>
      </c>
    </row>
    <row r="178" spans="20:21" x14ac:dyDescent="0.25">
      <c r="T178" s="9">
        <f>IF(C178&lt;&gt;0,C178-Gear!$C$16,0)</f>
        <v>0</v>
      </c>
      <c r="U178" s="9">
        <f>IF(C178&lt;&gt;0,C178-Gear!$C$16,0)</f>
        <v>0</v>
      </c>
    </row>
    <row r="179" spans="20:21" x14ac:dyDescent="0.25">
      <c r="T179" s="9">
        <f>IF(C179&lt;&gt;0,C179-Gear!$C$16,0)</f>
        <v>0</v>
      </c>
      <c r="U179" s="9">
        <f>IF(C179&lt;&gt;0,C179-Gear!$C$16,0)</f>
        <v>0</v>
      </c>
    </row>
    <row r="180" spans="20:21" x14ac:dyDescent="0.25">
      <c r="T180" s="9">
        <f>IF(C180&lt;&gt;0,C180-Gear!$C$16,0)</f>
        <v>0</v>
      </c>
      <c r="U180" s="9">
        <f>IF(C180&lt;&gt;0,C180-Gear!$C$16,0)</f>
        <v>0</v>
      </c>
    </row>
    <row r="181" spans="20:21" x14ac:dyDescent="0.25">
      <c r="T181" s="9">
        <f>IF(C181&lt;&gt;0,C181-Gear!$C$16,0)</f>
        <v>0</v>
      </c>
      <c r="U181" s="9">
        <f>IF(C181&lt;&gt;0,C181-Gear!$C$16,0)</f>
        <v>0</v>
      </c>
    </row>
    <row r="182" spans="20:21" x14ac:dyDescent="0.25">
      <c r="T182" s="9">
        <f>IF(C182&lt;&gt;0,C182-Gear!$C$16,0)</f>
        <v>0</v>
      </c>
      <c r="U182" s="9">
        <f>IF(C182&lt;&gt;0,C182-Gear!$C$16,0)</f>
        <v>0</v>
      </c>
    </row>
    <row r="183" spans="20:21" x14ac:dyDescent="0.25">
      <c r="T183" s="9">
        <f>IF(C183&lt;&gt;0,C183-Gear!$C$16,0)</f>
        <v>0</v>
      </c>
      <c r="U183" s="9">
        <f>IF(C183&lt;&gt;0,C183-Gear!$C$16,0)</f>
        <v>0</v>
      </c>
    </row>
    <row r="184" spans="20:21" x14ac:dyDescent="0.25">
      <c r="T184" s="9">
        <f>IF(C184&lt;&gt;0,C184-Gear!$C$16,0)</f>
        <v>0</v>
      </c>
      <c r="U184" s="9">
        <f>IF(C184&lt;&gt;0,C184-Gear!$C$16,0)</f>
        <v>0</v>
      </c>
    </row>
    <row r="185" spans="20:21" x14ac:dyDescent="0.25">
      <c r="T185" s="9">
        <f>IF(C185&lt;&gt;0,C185-Gear!$C$16,0)</f>
        <v>0</v>
      </c>
      <c r="U185" s="9">
        <f>IF(C185&lt;&gt;0,C185-Gear!$C$16,0)</f>
        <v>0</v>
      </c>
    </row>
    <row r="186" spans="20:21" x14ac:dyDescent="0.25">
      <c r="T186" s="9">
        <f>IF(C186&lt;&gt;0,C186-Gear!$C$16,0)</f>
        <v>0</v>
      </c>
      <c r="U186" s="9">
        <f>IF(C186&lt;&gt;0,C186-Gear!$C$16,0)</f>
        <v>0</v>
      </c>
    </row>
    <row r="187" spans="20:21" x14ac:dyDescent="0.25">
      <c r="T187" s="9">
        <f>IF(C187&lt;&gt;0,C187-Gear!$C$16,0)</f>
        <v>0</v>
      </c>
      <c r="U187" s="9">
        <f>IF(C187&lt;&gt;0,C187-Gear!$C$16,0)</f>
        <v>0</v>
      </c>
    </row>
    <row r="188" spans="20:21" x14ac:dyDescent="0.25">
      <c r="T188" s="9">
        <f>IF(C188&lt;&gt;0,C188-Gear!$C$16,0)</f>
        <v>0</v>
      </c>
      <c r="U188" s="9">
        <f>IF(C188&lt;&gt;0,C188-Gear!$C$16,0)</f>
        <v>0</v>
      </c>
    </row>
    <row r="189" spans="20:21" x14ac:dyDescent="0.25">
      <c r="T189" s="9">
        <f>IF(C189&lt;&gt;0,C189-Gear!$C$16,0)</f>
        <v>0</v>
      </c>
      <c r="U189" s="9">
        <f>IF(C189&lt;&gt;0,C189-Gear!$C$16,0)</f>
        <v>0</v>
      </c>
    </row>
    <row r="190" spans="20:21" x14ac:dyDescent="0.25">
      <c r="T190" s="9">
        <f>IF(C190&lt;&gt;0,C190-Gear!$C$16,0)</f>
        <v>0</v>
      </c>
      <c r="U190" s="9">
        <f>IF(C190&lt;&gt;0,C190-Gear!$C$16,0)</f>
        <v>0</v>
      </c>
    </row>
    <row r="191" spans="20:21" x14ac:dyDescent="0.25">
      <c r="T191" s="9">
        <f>IF(C191&lt;&gt;0,C191-Gear!$C$16,0)</f>
        <v>0</v>
      </c>
      <c r="U191" s="9">
        <f>IF(C191&lt;&gt;0,C191-Gear!$C$16,0)</f>
        <v>0</v>
      </c>
    </row>
    <row r="192" spans="20:21" x14ac:dyDescent="0.25">
      <c r="T192" s="9">
        <f>IF(C192&lt;&gt;0,C192-Gear!$C$16,0)</f>
        <v>0</v>
      </c>
      <c r="U192" s="9">
        <f>IF(C192&lt;&gt;0,C192-Gear!$C$16,0)</f>
        <v>0</v>
      </c>
    </row>
    <row r="193" spans="20:21" x14ac:dyDescent="0.25">
      <c r="T193" s="9">
        <f>IF(C193&lt;&gt;0,C193-Gear!$C$16,0)</f>
        <v>0</v>
      </c>
      <c r="U193" s="9">
        <f>IF(C193&lt;&gt;0,C193-Gear!$C$16,0)</f>
        <v>0</v>
      </c>
    </row>
    <row r="194" spans="20:21" x14ac:dyDescent="0.25">
      <c r="T194" s="9">
        <f>IF(C194&lt;&gt;0,C194-Gear!$C$16,0)</f>
        <v>0</v>
      </c>
      <c r="U194" s="9">
        <f>IF(C194&lt;&gt;0,C194-Gear!$C$16,0)</f>
        <v>0</v>
      </c>
    </row>
    <row r="195" spans="20:21" x14ac:dyDescent="0.25">
      <c r="T195" s="9">
        <f>IF(C195&lt;&gt;0,C195-Gear!$C$16,0)</f>
        <v>0</v>
      </c>
      <c r="U195" s="9">
        <f>IF(C195&lt;&gt;0,C195-Gear!$C$16,0)</f>
        <v>0</v>
      </c>
    </row>
    <row r="196" spans="20:21" x14ac:dyDescent="0.25">
      <c r="T196" s="9">
        <f>IF(C196&lt;&gt;0,C196-Gear!$C$16,0)</f>
        <v>0</v>
      </c>
      <c r="U196" s="9">
        <f>IF(C196&lt;&gt;0,C196-Gear!$C$16,0)</f>
        <v>0</v>
      </c>
    </row>
    <row r="197" spans="20:21" x14ac:dyDescent="0.25">
      <c r="T197" s="9">
        <f>IF(C197&lt;&gt;0,C197-Gear!$C$16,0)</f>
        <v>0</v>
      </c>
      <c r="U197" s="9">
        <f>IF(C197&lt;&gt;0,C197-Gear!$C$16,0)</f>
        <v>0</v>
      </c>
    </row>
    <row r="198" spans="20:21" x14ac:dyDescent="0.25">
      <c r="T198" s="9">
        <f>IF(C198&lt;&gt;0,C198-Gear!$C$16,0)</f>
        <v>0</v>
      </c>
      <c r="U198" s="9">
        <f>IF(C198&lt;&gt;0,C198-Gear!$C$16,0)</f>
        <v>0</v>
      </c>
    </row>
    <row r="199" spans="20:21" x14ac:dyDescent="0.25">
      <c r="T199" s="9">
        <f>IF(C199&lt;&gt;0,C199-Gear!$C$16,0)</f>
        <v>0</v>
      </c>
      <c r="U199" s="9">
        <f>IF(C199&lt;&gt;0,C199-Gear!$C$16,0)</f>
        <v>0</v>
      </c>
    </row>
    <row r="200" spans="20:21" x14ac:dyDescent="0.25">
      <c r="T200" s="9">
        <f>IF(C200&lt;&gt;0,C200-Gear!$C$16,0)</f>
        <v>0</v>
      </c>
      <c r="U200" s="9">
        <f>IF(C200&lt;&gt;0,C200-Gear!$C$16,0)</f>
        <v>0</v>
      </c>
    </row>
    <row r="201" spans="20:21" x14ac:dyDescent="0.25">
      <c r="T201" s="9">
        <f>IF(C201&lt;&gt;0,C201-Gear!$C$16,0)</f>
        <v>0</v>
      </c>
      <c r="U201" s="9">
        <f>IF(C201&lt;&gt;0,C201-Gear!$C$16,0)</f>
        <v>0</v>
      </c>
    </row>
    <row r="202" spans="20:21" x14ac:dyDescent="0.25">
      <c r="T202" s="9">
        <f>IF(C202&lt;&gt;0,C202-Gear!$C$16,0)</f>
        <v>0</v>
      </c>
      <c r="U202" s="9">
        <f>IF(C202&lt;&gt;0,C202-Gear!$C$16,0)</f>
        <v>0</v>
      </c>
    </row>
    <row r="203" spans="20:21" x14ac:dyDescent="0.25">
      <c r="T203" s="9">
        <f>IF(C203&lt;&gt;0,C203-Gear!$C$16,0)</f>
        <v>0</v>
      </c>
      <c r="U203" s="9">
        <f>IF(C203&lt;&gt;0,C203-Gear!$C$16,0)</f>
        <v>0</v>
      </c>
    </row>
    <row r="204" spans="20:21" x14ac:dyDescent="0.25">
      <c r="T204" s="9">
        <f>IF(C204&lt;&gt;0,C204-Gear!$C$16,0)</f>
        <v>0</v>
      </c>
      <c r="U204" s="9">
        <f>IF(C204&lt;&gt;0,C204-Gear!$C$16,0)</f>
        <v>0</v>
      </c>
    </row>
    <row r="205" spans="20:21" x14ac:dyDescent="0.25">
      <c r="T205" s="9">
        <f>IF(C205&lt;&gt;0,C205-Gear!$C$16,0)</f>
        <v>0</v>
      </c>
      <c r="U205" s="9">
        <f>IF(C205&lt;&gt;0,C205-Gear!$C$16,0)</f>
        <v>0</v>
      </c>
    </row>
    <row r="206" spans="20:21" x14ac:dyDescent="0.25">
      <c r="T206" s="9">
        <f>IF(C206&lt;&gt;0,C206-Gear!$C$16,0)</f>
        <v>0</v>
      </c>
      <c r="U206" s="9">
        <f>IF(C206&lt;&gt;0,C206-Gear!$C$16,0)</f>
        <v>0</v>
      </c>
    </row>
    <row r="207" spans="20:21" x14ac:dyDescent="0.25">
      <c r="T207" s="9">
        <f>IF(C207&lt;&gt;0,C207-Gear!$C$16,0)</f>
        <v>0</v>
      </c>
      <c r="U207" s="9">
        <f>IF(C207&lt;&gt;0,C207-Gear!$C$16,0)</f>
        <v>0</v>
      </c>
    </row>
    <row r="208" spans="20:21" x14ac:dyDescent="0.25">
      <c r="T208" s="9">
        <f>IF(C208&lt;&gt;0,C208-Gear!$C$16,0)</f>
        <v>0</v>
      </c>
      <c r="U208" s="9">
        <f>IF(C208&lt;&gt;0,C208-Gear!$C$16,0)</f>
        <v>0</v>
      </c>
    </row>
    <row r="209" spans="20:21" x14ac:dyDescent="0.25">
      <c r="T209" s="9">
        <f>IF(C209&lt;&gt;0,C209-Gear!$C$16,0)</f>
        <v>0</v>
      </c>
      <c r="U209" s="9">
        <f>IF(C209&lt;&gt;0,C209-Gear!$C$16,0)</f>
        <v>0</v>
      </c>
    </row>
    <row r="210" spans="20:21" x14ac:dyDescent="0.25">
      <c r="T210" s="9">
        <f>IF(C210&lt;&gt;0,C210-Gear!$C$16,0)</f>
        <v>0</v>
      </c>
      <c r="U210" s="9">
        <f>IF(C210&lt;&gt;0,C210-Gear!$C$16,0)</f>
        <v>0</v>
      </c>
    </row>
    <row r="211" spans="20:21" x14ac:dyDescent="0.25">
      <c r="T211" s="9">
        <f>IF(C211&lt;&gt;0,C211-Gear!$C$16,0)</f>
        <v>0</v>
      </c>
      <c r="U211" s="9">
        <f>IF(C211&lt;&gt;0,C211-Gear!$C$16,0)</f>
        <v>0</v>
      </c>
    </row>
    <row r="212" spans="20:21" x14ac:dyDescent="0.25">
      <c r="T212" s="9">
        <f>IF(C212&lt;&gt;0,C212-Gear!$C$16,0)</f>
        <v>0</v>
      </c>
      <c r="U212" s="9">
        <f>IF(C212&lt;&gt;0,C212-Gear!$C$16,0)</f>
        <v>0</v>
      </c>
    </row>
    <row r="213" spans="20:21" x14ac:dyDescent="0.25">
      <c r="T213" s="9">
        <f>IF(C213&lt;&gt;0,C213-Gear!$C$16,0)</f>
        <v>0</v>
      </c>
      <c r="U213" s="9">
        <f>IF(C213&lt;&gt;0,C213-Gear!$C$16,0)</f>
        <v>0</v>
      </c>
    </row>
    <row r="214" spans="20:21" x14ac:dyDescent="0.25">
      <c r="T214" s="9">
        <f>IF(C214&lt;&gt;0,C214-Gear!$C$16,0)</f>
        <v>0</v>
      </c>
      <c r="U214" s="9">
        <f>IF(C214&lt;&gt;0,C214-Gear!$C$16,0)</f>
        <v>0</v>
      </c>
    </row>
    <row r="215" spans="20:21" x14ac:dyDescent="0.25">
      <c r="T215" s="9">
        <f>IF(C215&lt;&gt;0,C215-Gear!$C$16,0)</f>
        <v>0</v>
      </c>
      <c r="U215" s="9">
        <f>IF(C215&lt;&gt;0,C215-Gear!$C$16,0)</f>
        <v>0</v>
      </c>
    </row>
    <row r="216" spans="20:21" x14ac:dyDescent="0.25">
      <c r="T216" s="9">
        <f>IF(C216&lt;&gt;0,C216-Gear!$C$16,0)</f>
        <v>0</v>
      </c>
      <c r="U216" s="9">
        <f>IF(C216&lt;&gt;0,C216-Gear!$C$16,0)</f>
        <v>0</v>
      </c>
    </row>
    <row r="217" spans="20:21" x14ac:dyDescent="0.25">
      <c r="T217" s="9">
        <f>IF(C217&lt;&gt;0,C217-Gear!$C$16,0)</f>
        <v>0</v>
      </c>
      <c r="U217" s="9">
        <f>IF(C217&lt;&gt;0,C217-Gear!$C$16,0)</f>
        <v>0</v>
      </c>
    </row>
    <row r="218" spans="20:21" x14ac:dyDescent="0.25">
      <c r="T218" s="9">
        <f>IF(C218&lt;&gt;0,C218-Gear!$C$16,0)</f>
        <v>0</v>
      </c>
      <c r="U218" s="9">
        <f>IF(C218&lt;&gt;0,C218-Gear!$C$16,0)</f>
        <v>0</v>
      </c>
    </row>
    <row r="219" spans="20:21" x14ac:dyDescent="0.25">
      <c r="T219" s="9">
        <f>IF(C219&lt;&gt;0,C219-Gear!$C$16,0)</f>
        <v>0</v>
      </c>
      <c r="U219" s="9">
        <f>IF(C219&lt;&gt;0,C219-Gear!$C$16,0)</f>
        <v>0</v>
      </c>
    </row>
    <row r="220" spans="20:21" x14ac:dyDescent="0.25">
      <c r="T220" s="9">
        <f>IF(C220&lt;&gt;0,C220-Gear!$C$16,0)</f>
        <v>0</v>
      </c>
      <c r="U220" s="9">
        <f>IF(C220&lt;&gt;0,C220-Gear!$C$16,0)</f>
        <v>0</v>
      </c>
    </row>
    <row r="221" spans="20:21" x14ac:dyDescent="0.25">
      <c r="T221" s="9">
        <f>IF(C221&lt;&gt;0,C221-Gear!$C$16,0)</f>
        <v>0</v>
      </c>
      <c r="U221" s="9">
        <f>IF(C221&lt;&gt;0,C221-Gear!$C$16,0)</f>
        <v>0</v>
      </c>
    </row>
    <row r="222" spans="20:21" x14ac:dyDescent="0.25">
      <c r="T222" s="9">
        <f>IF(C222&lt;&gt;0,C222-Gear!$C$16,0)</f>
        <v>0</v>
      </c>
      <c r="U222" s="9">
        <f>IF(C222&lt;&gt;0,C222-Gear!$C$16,0)</f>
        <v>0</v>
      </c>
    </row>
    <row r="223" spans="20:21" x14ac:dyDescent="0.25">
      <c r="T223" s="9">
        <f>IF(C223&lt;&gt;0,C223-Gear!$C$16,0)</f>
        <v>0</v>
      </c>
      <c r="U223" s="9">
        <f>IF(C223&lt;&gt;0,C223-Gear!$C$16,0)</f>
        <v>0</v>
      </c>
    </row>
    <row r="224" spans="20:21" x14ac:dyDescent="0.25">
      <c r="T224" s="9">
        <f>IF(C224&lt;&gt;0,C224-Gear!$C$16,0)</f>
        <v>0</v>
      </c>
      <c r="U224" s="9">
        <f>IF(C224&lt;&gt;0,C224-Gear!$C$16,0)</f>
        <v>0</v>
      </c>
    </row>
    <row r="225" spans="20:21" x14ac:dyDescent="0.25">
      <c r="T225" s="9">
        <f>IF(C225&lt;&gt;0,C225-Gear!$C$16,0)</f>
        <v>0</v>
      </c>
      <c r="U225" s="9">
        <f>IF(C225&lt;&gt;0,C225-Gear!$C$16,0)</f>
        <v>0</v>
      </c>
    </row>
    <row r="226" spans="20:21" x14ac:dyDescent="0.25">
      <c r="T226" s="9">
        <f>IF(C226&lt;&gt;0,C226-Gear!$C$16,0)</f>
        <v>0</v>
      </c>
      <c r="U226" s="9">
        <f>IF(C226&lt;&gt;0,C226-Gear!$C$16,0)</f>
        <v>0</v>
      </c>
    </row>
    <row r="227" spans="20:21" x14ac:dyDescent="0.25">
      <c r="T227" s="9">
        <f>IF(C227&lt;&gt;0,C227-Gear!$C$16,0)</f>
        <v>0</v>
      </c>
      <c r="U227" s="9">
        <f>IF(C227&lt;&gt;0,C227-Gear!$C$16,0)</f>
        <v>0</v>
      </c>
    </row>
    <row r="228" spans="20:21" x14ac:dyDescent="0.25">
      <c r="T228" s="9">
        <f>IF(C228&lt;&gt;0,C228-Gear!$C$16,0)</f>
        <v>0</v>
      </c>
      <c r="U228" s="9">
        <f>IF(C228&lt;&gt;0,C228-Gear!$C$16,0)</f>
        <v>0</v>
      </c>
    </row>
    <row r="229" spans="20:21" x14ac:dyDescent="0.25">
      <c r="T229" s="9">
        <f>IF(C229&lt;&gt;0,C229-Gear!$C$16,0)</f>
        <v>0</v>
      </c>
      <c r="U229" s="9">
        <f>IF(C229&lt;&gt;0,C229-Gear!$C$16,0)</f>
        <v>0</v>
      </c>
    </row>
    <row r="230" spans="20:21" x14ac:dyDescent="0.25">
      <c r="T230" s="9">
        <f>IF(C230&lt;&gt;0,C230-Gear!$C$16,0)</f>
        <v>0</v>
      </c>
      <c r="U230" s="9">
        <f>IF(C230&lt;&gt;0,C230-Gear!$C$16,0)</f>
        <v>0</v>
      </c>
    </row>
    <row r="231" spans="20:21" x14ac:dyDescent="0.25">
      <c r="T231" s="9">
        <f>IF(C231&lt;&gt;0,C231-Gear!$C$16,0)</f>
        <v>0</v>
      </c>
      <c r="U231" s="9">
        <f>IF(C231&lt;&gt;0,C231-Gear!$C$16,0)</f>
        <v>0</v>
      </c>
    </row>
    <row r="232" spans="20:21" x14ac:dyDescent="0.25">
      <c r="T232" s="9">
        <f>IF(C232&lt;&gt;0,C232-Gear!$C$16,0)</f>
        <v>0</v>
      </c>
      <c r="U232" s="9">
        <f>IF(C232&lt;&gt;0,C232-Gear!$C$16,0)</f>
        <v>0</v>
      </c>
    </row>
    <row r="233" spans="20:21" x14ac:dyDescent="0.25">
      <c r="T233" s="9">
        <f>IF(C233&lt;&gt;0,C233-Gear!$C$16,0)</f>
        <v>0</v>
      </c>
      <c r="U233" s="9">
        <f>IF(C233&lt;&gt;0,C233-Gear!$C$16,0)</f>
        <v>0</v>
      </c>
    </row>
    <row r="234" spans="20:21" x14ac:dyDescent="0.25">
      <c r="T234" s="9">
        <f>IF(C234&lt;&gt;0,C234-Gear!$C$16,0)</f>
        <v>0</v>
      </c>
      <c r="U234" s="9">
        <f>IF(C234&lt;&gt;0,C234-Gear!$C$16,0)</f>
        <v>0</v>
      </c>
    </row>
    <row r="235" spans="20:21" x14ac:dyDescent="0.25">
      <c r="T235" s="9">
        <f>IF(C235&lt;&gt;0,C235-Gear!$C$16,0)</f>
        <v>0</v>
      </c>
      <c r="U235" s="9">
        <f>IF(C235&lt;&gt;0,C235-Gear!$C$16,0)</f>
        <v>0</v>
      </c>
    </row>
    <row r="236" spans="20:21" x14ac:dyDescent="0.25">
      <c r="T236" s="9">
        <f>IF(C236&lt;&gt;0,C236-Gear!$C$16,0)</f>
        <v>0</v>
      </c>
      <c r="U236" s="9">
        <f>IF(C236&lt;&gt;0,C236-Gear!$C$16,0)</f>
        <v>0</v>
      </c>
    </row>
    <row r="237" spans="20:21" x14ac:dyDescent="0.25">
      <c r="T237" s="9">
        <f>IF(C237&lt;&gt;0,C237-Gear!$C$16,0)</f>
        <v>0</v>
      </c>
      <c r="U237" s="9">
        <f>IF(C237&lt;&gt;0,C237-Gear!$C$16,0)</f>
        <v>0</v>
      </c>
    </row>
    <row r="238" spans="20:21" x14ac:dyDescent="0.25">
      <c r="T238" s="9">
        <f>IF(C238&lt;&gt;0,C238-Gear!$C$16,0)</f>
        <v>0</v>
      </c>
      <c r="U238" s="9">
        <f>IF(C238&lt;&gt;0,C238-Gear!$C$16,0)</f>
        <v>0</v>
      </c>
    </row>
    <row r="239" spans="20:21" x14ac:dyDescent="0.25">
      <c r="T239" s="9">
        <f>IF(C239&lt;&gt;0,C239-Gear!$C$16,0)</f>
        <v>0</v>
      </c>
      <c r="U239" s="9">
        <f>IF(C239&lt;&gt;0,C239-Gear!$C$16,0)</f>
        <v>0</v>
      </c>
    </row>
    <row r="240" spans="20:21" x14ac:dyDescent="0.25">
      <c r="T240" s="9">
        <f>IF(C240&lt;&gt;0,C240-Gear!$C$16,0)</f>
        <v>0</v>
      </c>
      <c r="U240" s="9">
        <f>IF(C240&lt;&gt;0,C240-Gear!$C$16,0)</f>
        <v>0</v>
      </c>
    </row>
    <row r="241" spans="20:21" x14ac:dyDescent="0.25">
      <c r="T241" s="9">
        <f>IF(C241&lt;&gt;0,C241-Gear!$C$16,0)</f>
        <v>0</v>
      </c>
      <c r="U241" s="9">
        <f>IF(C241&lt;&gt;0,C241-Gear!$C$16,0)</f>
        <v>0</v>
      </c>
    </row>
    <row r="242" spans="20:21" x14ac:dyDescent="0.25">
      <c r="T242" s="9">
        <f>IF(C242&lt;&gt;0,C242-Gear!$C$16,0)</f>
        <v>0</v>
      </c>
      <c r="U242" s="9">
        <f>IF(C242&lt;&gt;0,C242-Gear!$C$16,0)</f>
        <v>0</v>
      </c>
    </row>
    <row r="243" spans="20:21" x14ac:dyDescent="0.25">
      <c r="T243" s="9">
        <f>IF(C243&lt;&gt;0,C243-Gear!$C$16,0)</f>
        <v>0</v>
      </c>
      <c r="U243" s="9">
        <f>IF(C243&lt;&gt;0,C243-Gear!$C$16,0)</f>
        <v>0</v>
      </c>
    </row>
    <row r="244" spans="20:21" x14ac:dyDescent="0.25">
      <c r="T244" s="9">
        <f>IF(C244&lt;&gt;0,C244-Gear!$C$16,0)</f>
        <v>0</v>
      </c>
      <c r="U244" s="9">
        <f>IF(C244&lt;&gt;0,C244-Gear!$C$16,0)</f>
        <v>0</v>
      </c>
    </row>
    <row r="245" spans="20:21" x14ac:dyDescent="0.25">
      <c r="T245" s="9">
        <f>IF(C245&lt;&gt;0,C245-Gear!$C$16,0)</f>
        <v>0</v>
      </c>
      <c r="U245" s="9">
        <f>IF(C245&lt;&gt;0,C245-Gear!$C$16,0)</f>
        <v>0</v>
      </c>
    </row>
    <row r="246" spans="20:21" x14ac:dyDescent="0.25">
      <c r="T246" s="9">
        <f>IF(C246&lt;&gt;0,C246-Gear!$C$16,0)</f>
        <v>0</v>
      </c>
      <c r="U246" s="9">
        <f>IF(C246&lt;&gt;0,C246-Gear!$C$16,0)</f>
        <v>0</v>
      </c>
    </row>
    <row r="247" spans="20:21" x14ac:dyDescent="0.25">
      <c r="T247" s="9">
        <f>IF(C247&lt;&gt;0,C247-Gear!$C$16,0)</f>
        <v>0</v>
      </c>
      <c r="U247" s="9">
        <f>IF(C247&lt;&gt;0,C247-Gear!$C$16,0)</f>
        <v>0</v>
      </c>
    </row>
    <row r="248" spans="20:21" x14ac:dyDescent="0.25">
      <c r="T248" s="9">
        <f>IF(C248&lt;&gt;0,C248-Gear!$C$16,0)</f>
        <v>0</v>
      </c>
      <c r="U248" s="9">
        <f>IF(C248&lt;&gt;0,C248-Gear!$C$16,0)</f>
        <v>0</v>
      </c>
    </row>
    <row r="249" spans="20:21" x14ac:dyDescent="0.25">
      <c r="T249" s="9">
        <f>IF(C249&lt;&gt;0,C249-Gear!$C$16,0)</f>
        <v>0</v>
      </c>
      <c r="U249" s="9">
        <f>IF(C249&lt;&gt;0,C249-Gear!$C$16,0)</f>
        <v>0</v>
      </c>
    </row>
    <row r="250" spans="20:21" x14ac:dyDescent="0.25">
      <c r="T250" s="9">
        <f>IF(C250&lt;&gt;0,C250-Gear!$C$16,0)</f>
        <v>0</v>
      </c>
      <c r="U250" s="9">
        <f>IF(C250&lt;&gt;0,C250-Gear!$C$16,0)</f>
        <v>0</v>
      </c>
    </row>
    <row r="251" spans="20:21" x14ac:dyDescent="0.25">
      <c r="T251" s="9">
        <f>IF(C251&lt;&gt;0,C251-Gear!$C$16,0)</f>
        <v>0</v>
      </c>
      <c r="U251" s="9">
        <f>IF(C251&lt;&gt;0,C251-Gear!$C$16,0)</f>
        <v>0</v>
      </c>
    </row>
    <row r="252" spans="20:21" x14ac:dyDescent="0.25">
      <c r="T252" s="9">
        <f>IF(C252&lt;&gt;0,C252-Gear!$C$16,0)</f>
        <v>0</v>
      </c>
      <c r="U252" s="9">
        <f>IF(C252&lt;&gt;0,C252-Gear!$C$16,0)</f>
        <v>0</v>
      </c>
    </row>
    <row r="253" spans="20:21" x14ac:dyDescent="0.25">
      <c r="T253" s="9">
        <f>IF(C253&lt;&gt;0,C253-Gear!$C$16,0)</f>
        <v>0</v>
      </c>
      <c r="U253" s="9">
        <f>IF(C253&lt;&gt;0,C253-Gear!$C$16,0)</f>
        <v>0</v>
      </c>
    </row>
    <row r="254" spans="20:21" x14ac:dyDescent="0.25">
      <c r="T254" s="9">
        <f>IF(C254&lt;&gt;0,C254-Gear!$C$16,0)</f>
        <v>0</v>
      </c>
      <c r="U254" s="9">
        <f>IF(C254&lt;&gt;0,C254-Gear!$C$16,0)</f>
        <v>0</v>
      </c>
    </row>
    <row r="255" spans="20:21" x14ac:dyDescent="0.25">
      <c r="T255" s="9">
        <f>IF(C255&lt;&gt;0,C255-Gear!$C$16,0)</f>
        <v>0</v>
      </c>
      <c r="U255" s="9">
        <f>IF(C255&lt;&gt;0,C255-Gear!$C$16,0)</f>
        <v>0</v>
      </c>
    </row>
    <row r="256" spans="20:21" x14ac:dyDescent="0.25">
      <c r="T256" s="9">
        <f>IF(C256&lt;&gt;0,C256-Gear!$C$16,0)</f>
        <v>0</v>
      </c>
      <c r="U256" s="9">
        <f>IF(C256&lt;&gt;0,C256-Gear!$C$16,0)</f>
        <v>0</v>
      </c>
    </row>
    <row r="257" spans="20:21" x14ac:dyDescent="0.25">
      <c r="T257" s="9">
        <f>IF(C257&lt;&gt;0,C257-Gear!$C$16,0)</f>
        <v>0</v>
      </c>
      <c r="U257" s="9">
        <f>IF(C257&lt;&gt;0,C257-Gear!$C$16,0)</f>
        <v>0</v>
      </c>
    </row>
    <row r="258" spans="20:21" x14ac:dyDescent="0.25">
      <c r="T258" s="9">
        <f>IF(C258&lt;&gt;0,C258-Gear!$C$16,0)</f>
        <v>0</v>
      </c>
      <c r="U258" s="9">
        <f>IF(C258&lt;&gt;0,C258-Gear!$C$16,0)</f>
        <v>0</v>
      </c>
    </row>
    <row r="259" spans="20:21" x14ac:dyDescent="0.25">
      <c r="T259" s="9">
        <f>IF(C259&lt;&gt;0,C259-Gear!$C$16,0)</f>
        <v>0</v>
      </c>
      <c r="U259" s="9">
        <f>IF(C259&lt;&gt;0,C259-Gear!$C$16,0)</f>
        <v>0</v>
      </c>
    </row>
    <row r="260" spans="20:21" x14ac:dyDescent="0.25">
      <c r="T260" s="9">
        <f>IF(C260&lt;&gt;0,C260-Gear!$C$16,0)</f>
        <v>0</v>
      </c>
      <c r="U260" s="9">
        <f>IF(C260&lt;&gt;0,C260-Gear!$C$16,0)</f>
        <v>0</v>
      </c>
    </row>
    <row r="261" spans="20:21" x14ac:dyDescent="0.25">
      <c r="T261" s="9">
        <f>IF(C261&lt;&gt;0,C261-Gear!$C$16,0)</f>
        <v>0</v>
      </c>
      <c r="U261" s="9">
        <f>IF(C261&lt;&gt;0,C261-Gear!$C$16,0)</f>
        <v>0</v>
      </c>
    </row>
    <row r="262" spans="20:21" x14ac:dyDescent="0.25">
      <c r="T262" s="9">
        <f>IF(C262&lt;&gt;0,C262-Gear!$C$16,0)</f>
        <v>0</v>
      </c>
      <c r="U262" s="9">
        <f>IF(C262&lt;&gt;0,C262-Gear!$C$16,0)</f>
        <v>0</v>
      </c>
    </row>
    <row r="263" spans="20:21" x14ac:dyDescent="0.25">
      <c r="T263" s="9">
        <f>IF(C263&lt;&gt;0,C263-Gear!$C$16,0)</f>
        <v>0</v>
      </c>
      <c r="U263" s="9">
        <f>IF(C263&lt;&gt;0,C263-Gear!$C$16,0)</f>
        <v>0</v>
      </c>
    </row>
    <row r="264" spans="20:21" x14ac:dyDescent="0.25">
      <c r="T264" s="9">
        <f>IF(C264&lt;&gt;0,C264-Gear!$C$16,0)</f>
        <v>0</v>
      </c>
      <c r="U264" s="9">
        <f>IF(C264&lt;&gt;0,C264-Gear!$C$16,0)</f>
        <v>0</v>
      </c>
    </row>
    <row r="265" spans="20:21" x14ac:dyDescent="0.25">
      <c r="T265" s="9">
        <f>IF(C265&lt;&gt;0,C265-Gear!$C$16,0)</f>
        <v>0</v>
      </c>
      <c r="U265" s="9">
        <f>IF(C265&lt;&gt;0,C265-Gear!$C$16,0)</f>
        <v>0</v>
      </c>
    </row>
    <row r="266" spans="20:21" x14ac:dyDescent="0.25">
      <c r="T266" s="9">
        <f>IF(C266&lt;&gt;0,C266-Gear!$C$16,0)</f>
        <v>0</v>
      </c>
      <c r="U266" s="9">
        <f>IF(C266&lt;&gt;0,C266-Gear!$C$16,0)</f>
        <v>0</v>
      </c>
    </row>
    <row r="267" spans="20:21" x14ac:dyDescent="0.25">
      <c r="T267" s="9">
        <f>IF(C267&lt;&gt;0,C267-Gear!$C$16,0)</f>
        <v>0</v>
      </c>
      <c r="U267" s="9">
        <f>IF(C267&lt;&gt;0,C267-Gear!$C$16,0)</f>
        <v>0</v>
      </c>
    </row>
    <row r="268" spans="20:21" x14ac:dyDescent="0.25">
      <c r="T268" s="9">
        <f>IF(C268&lt;&gt;0,C268-Gear!$C$16,0)</f>
        <v>0</v>
      </c>
      <c r="U268" s="9">
        <f>IF(C268&lt;&gt;0,C268-Gear!$C$16,0)</f>
        <v>0</v>
      </c>
    </row>
    <row r="269" spans="20:21" x14ac:dyDescent="0.25">
      <c r="T269" s="9">
        <f>IF(C269&lt;&gt;0,C269-Gear!$C$16,0)</f>
        <v>0</v>
      </c>
      <c r="U269" s="9">
        <f>IF(C269&lt;&gt;0,C269-Gear!$C$16,0)</f>
        <v>0</v>
      </c>
    </row>
    <row r="270" spans="20:21" x14ac:dyDescent="0.25">
      <c r="T270" s="9">
        <f>IF(C270&lt;&gt;0,C270-Gear!$C$16,0)</f>
        <v>0</v>
      </c>
      <c r="U270" s="9">
        <f>IF(C270&lt;&gt;0,C270-Gear!$C$16,0)</f>
        <v>0</v>
      </c>
    </row>
    <row r="271" spans="20:21" x14ac:dyDescent="0.25">
      <c r="T271" s="9">
        <f>IF(C271&lt;&gt;0,C271-Gear!$C$16,0)</f>
        <v>0</v>
      </c>
      <c r="U271" s="9">
        <f>IF(C271&lt;&gt;0,C271-Gear!$C$16,0)</f>
        <v>0</v>
      </c>
    </row>
    <row r="272" spans="20:21" x14ac:dyDescent="0.25">
      <c r="T272" s="9">
        <f>IF(C272&lt;&gt;0,C272-Gear!$C$16,0)</f>
        <v>0</v>
      </c>
      <c r="U272" s="9">
        <f>IF(C272&lt;&gt;0,C272-Gear!$C$16,0)</f>
        <v>0</v>
      </c>
    </row>
    <row r="273" spans="20:21" x14ac:dyDescent="0.25">
      <c r="T273" s="9">
        <f>IF(C273&lt;&gt;0,C273-Gear!$C$16,0)</f>
        <v>0</v>
      </c>
      <c r="U273" s="9">
        <f>IF(C273&lt;&gt;0,C273-Gear!$C$16,0)</f>
        <v>0</v>
      </c>
    </row>
    <row r="274" spans="20:21" x14ac:dyDescent="0.25">
      <c r="T274" s="9">
        <f>IF(C274&lt;&gt;0,C274-Gear!$C$16,0)</f>
        <v>0</v>
      </c>
      <c r="U274" s="9">
        <f>IF(C274&lt;&gt;0,C274-Gear!$C$16,0)</f>
        <v>0</v>
      </c>
    </row>
    <row r="275" spans="20:21" x14ac:dyDescent="0.25">
      <c r="T275" s="9">
        <f>IF(C275&lt;&gt;0,C275-Gear!$C$16,0)</f>
        <v>0</v>
      </c>
      <c r="U275" s="9">
        <f>IF(C275&lt;&gt;0,C275-Gear!$C$16,0)</f>
        <v>0</v>
      </c>
    </row>
    <row r="276" spans="20:21" x14ac:dyDescent="0.25">
      <c r="T276" s="9">
        <f>IF(C276&lt;&gt;0,C276-Gear!$C$16,0)</f>
        <v>0</v>
      </c>
      <c r="U276" s="9">
        <f>IF(C276&lt;&gt;0,C276-Gear!$C$16,0)</f>
        <v>0</v>
      </c>
    </row>
    <row r="277" spans="20:21" x14ac:dyDescent="0.25">
      <c r="T277" s="9">
        <f>IF(C277&lt;&gt;0,C277-Gear!$C$16,0)</f>
        <v>0</v>
      </c>
      <c r="U277" s="9">
        <f>IF(C277&lt;&gt;0,C277-Gear!$C$16,0)</f>
        <v>0</v>
      </c>
    </row>
    <row r="278" spans="20:21" x14ac:dyDescent="0.25">
      <c r="T278" s="9">
        <f>IF(C278&lt;&gt;0,C278-Gear!$C$16,0)</f>
        <v>0</v>
      </c>
      <c r="U278" s="9">
        <f>IF(C278&lt;&gt;0,C278-Gear!$C$16,0)</f>
        <v>0</v>
      </c>
    </row>
    <row r="279" spans="20:21" x14ac:dyDescent="0.25">
      <c r="T279" s="9">
        <f>IF(C279&lt;&gt;0,C279-Gear!$C$16,0)</f>
        <v>0</v>
      </c>
      <c r="U279" s="9">
        <f>IF(C279&lt;&gt;0,C279-Gear!$C$16,0)</f>
        <v>0</v>
      </c>
    </row>
    <row r="280" spans="20:21" x14ac:dyDescent="0.25">
      <c r="T280" s="9">
        <f>IF(C280&lt;&gt;0,C280-Gear!$C$16,0)</f>
        <v>0</v>
      </c>
      <c r="U280" s="9">
        <f>IF(C280&lt;&gt;0,C280-Gear!$C$16,0)</f>
        <v>0</v>
      </c>
    </row>
    <row r="281" spans="20:21" x14ac:dyDescent="0.25">
      <c r="T281" s="9">
        <f>IF(C281&lt;&gt;0,C281-Gear!$C$16,0)</f>
        <v>0</v>
      </c>
      <c r="U281" s="9">
        <f>IF(C281&lt;&gt;0,C281-Gear!$C$16,0)</f>
        <v>0</v>
      </c>
    </row>
    <row r="282" spans="20:21" x14ac:dyDescent="0.25">
      <c r="T282" s="9">
        <f>IF(C282&lt;&gt;0,C282-Gear!$C$16,0)</f>
        <v>0</v>
      </c>
      <c r="U282" s="9">
        <f>IF(C282&lt;&gt;0,C282-Gear!$C$16,0)</f>
        <v>0</v>
      </c>
    </row>
    <row r="283" spans="20:21" x14ac:dyDescent="0.25">
      <c r="T283" s="9">
        <f>IF(C283&lt;&gt;0,C283-Gear!$C$16,0)</f>
        <v>0</v>
      </c>
      <c r="U283" s="9">
        <f>IF(C283&lt;&gt;0,C283-Gear!$C$16,0)</f>
        <v>0</v>
      </c>
    </row>
    <row r="284" spans="20:21" x14ac:dyDescent="0.25">
      <c r="T284" s="9">
        <f>IF(C284&lt;&gt;0,C284-Gear!$C$16,0)</f>
        <v>0</v>
      </c>
      <c r="U284" s="9">
        <f>IF(C284&lt;&gt;0,C284-Gear!$C$16,0)</f>
        <v>0</v>
      </c>
    </row>
    <row r="285" spans="20:21" x14ac:dyDescent="0.25">
      <c r="T285" s="9">
        <f>IF(C285&lt;&gt;0,C285-Gear!$C$16,0)</f>
        <v>0</v>
      </c>
      <c r="U285" s="9">
        <f>IF(C285&lt;&gt;0,C285-Gear!$C$16,0)</f>
        <v>0</v>
      </c>
    </row>
    <row r="286" spans="20:21" x14ac:dyDescent="0.25">
      <c r="T286" s="9">
        <f>IF(C286&lt;&gt;0,C286-Gear!$C$16,0)</f>
        <v>0</v>
      </c>
      <c r="U286" s="9">
        <f>IF(C286&lt;&gt;0,C286-Gear!$C$16,0)</f>
        <v>0</v>
      </c>
    </row>
    <row r="287" spans="20:21" x14ac:dyDescent="0.25">
      <c r="T287" s="9">
        <f>IF(C287&lt;&gt;0,C287-Gear!$C$16,0)</f>
        <v>0</v>
      </c>
      <c r="U287" s="9">
        <f>IF(C287&lt;&gt;0,C287-Gear!$C$16,0)</f>
        <v>0</v>
      </c>
    </row>
    <row r="288" spans="20:21" x14ac:dyDescent="0.25">
      <c r="T288" s="9">
        <f>IF(C288&lt;&gt;0,C288-Gear!$C$16,0)</f>
        <v>0</v>
      </c>
      <c r="U288" s="9">
        <f>IF(C288&lt;&gt;0,C288-Gear!$C$16,0)</f>
        <v>0</v>
      </c>
    </row>
    <row r="289" spans="20:21" x14ac:dyDescent="0.25">
      <c r="T289" s="9">
        <f>IF(C289&lt;&gt;0,C289-Gear!$C$16,0)</f>
        <v>0</v>
      </c>
      <c r="U289" s="9">
        <f>IF(C289&lt;&gt;0,C289-Gear!$C$16,0)</f>
        <v>0</v>
      </c>
    </row>
    <row r="290" spans="20:21" x14ac:dyDescent="0.25">
      <c r="T290" s="9">
        <f>IF(C290&lt;&gt;0,C290-Gear!$C$16,0)</f>
        <v>0</v>
      </c>
      <c r="U290" s="9">
        <f>IF(C290&lt;&gt;0,C290-Gear!$C$16,0)</f>
        <v>0</v>
      </c>
    </row>
    <row r="291" spans="20:21" x14ac:dyDescent="0.25">
      <c r="T291" s="9">
        <f>IF(C291&lt;&gt;0,C291-Gear!$C$16,0)</f>
        <v>0</v>
      </c>
      <c r="U291" s="9">
        <f>IF(C291&lt;&gt;0,C291-Gear!$C$16,0)</f>
        <v>0</v>
      </c>
    </row>
    <row r="292" spans="20:21" x14ac:dyDescent="0.25">
      <c r="T292" s="9">
        <f>IF(C292&lt;&gt;0,C292-Gear!$C$16,0)</f>
        <v>0</v>
      </c>
      <c r="U292" s="9">
        <f>IF(C292&lt;&gt;0,C292-Gear!$C$16,0)</f>
        <v>0</v>
      </c>
    </row>
    <row r="293" spans="20:21" x14ac:dyDescent="0.25">
      <c r="T293" s="9">
        <f>IF(C293&lt;&gt;0,C293-Gear!$C$16,0)</f>
        <v>0</v>
      </c>
      <c r="U293" s="9">
        <f>IF(C293&lt;&gt;0,C293-Gear!$C$16,0)</f>
        <v>0</v>
      </c>
    </row>
    <row r="294" spans="20:21" x14ac:dyDescent="0.25">
      <c r="T294" s="9">
        <f>IF(C294&lt;&gt;0,C294-Gear!$C$16,0)</f>
        <v>0</v>
      </c>
      <c r="U294" s="9">
        <f>IF(C294&lt;&gt;0,C294-Gear!$C$16,0)</f>
        <v>0</v>
      </c>
    </row>
    <row r="295" spans="20:21" x14ac:dyDescent="0.25">
      <c r="T295" s="9">
        <f>IF(C295&lt;&gt;0,C295-Gear!$C$16,0)</f>
        <v>0</v>
      </c>
      <c r="U295" s="9">
        <f>IF(C295&lt;&gt;0,C295-Gear!$C$16,0)</f>
        <v>0</v>
      </c>
    </row>
    <row r="296" spans="20:21" x14ac:dyDescent="0.25">
      <c r="T296" s="9">
        <f>IF(C296&lt;&gt;0,C296-Gear!$C$16,0)</f>
        <v>0</v>
      </c>
      <c r="U296" s="9">
        <f>IF(C296&lt;&gt;0,C296-Gear!$C$16,0)</f>
        <v>0</v>
      </c>
    </row>
    <row r="297" spans="20:21" x14ac:dyDescent="0.25">
      <c r="T297" s="9">
        <f>IF(C297&lt;&gt;0,C297-Gear!$C$16,0)</f>
        <v>0</v>
      </c>
      <c r="U297" s="9">
        <f>IF(C297&lt;&gt;0,C297-Gear!$C$16,0)</f>
        <v>0</v>
      </c>
    </row>
    <row r="298" spans="20:21" x14ac:dyDescent="0.25">
      <c r="T298" s="9">
        <f>IF(C298&lt;&gt;0,C298-Gear!$C$16,0)</f>
        <v>0</v>
      </c>
      <c r="U298" s="9">
        <f>IF(C298&lt;&gt;0,C298-Gear!$C$16,0)</f>
        <v>0</v>
      </c>
    </row>
    <row r="299" spans="20:21" x14ac:dyDescent="0.25">
      <c r="T299" s="9">
        <f>IF(C299&lt;&gt;0,C299-Gear!$C$16,0)</f>
        <v>0</v>
      </c>
      <c r="U299" s="9">
        <f>IF(C299&lt;&gt;0,C299-Gear!$C$16,0)</f>
        <v>0</v>
      </c>
    </row>
    <row r="300" spans="20:21" x14ac:dyDescent="0.25">
      <c r="T300" s="9">
        <f>IF(C300&lt;&gt;0,C300-Gear!$C$16,0)</f>
        <v>0</v>
      </c>
      <c r="U300" s="9">
        <f>IF(C300&lt;&gt;0,C300-Gear!$C$16,0)</f>
        <v>0</v>
      </c>
    </row>
    <row r="301" spans="20:21" x14ac:dyDescent="0.25">
      <c r="T301" s="9">
        <f>IF(C301&lt;&gt;0,C301-Gear!$C$16,0)</f>
        <v>0</v>
      </c>
      <c r="U301" s="9">
        <f>IF(C301&lt;&gt;0,C301-Gear!$C$16,0)</f>
        <v>0</v>
      </c>
    </row>
    <row r="302" spans="20:21" x14ac:dyDescent="0.25">
      <c r="T302" s="9">
        <f>IF(C302&lt;&gt;0,C302-Gear!$C$16,0)</f>
        <v>0</v>
      </c>
      <c r="U302" s="9">
        <f>IF(C302&lt;&gt;0,C302-Gear!$C$16,0)</f>
        <v>0</v>
      </c>
    </row>
    <row r="303" spans="20:21" x14ac:dyDescent="0.25">
      <c r="T303" s="9">
        <f>IF(C303&lt;&gt;0,C303-Gear!$C$16,0)</f>
        <v>0</v>
      </c>
      <c r="U303" s="9">
        <f>IF(C303&lt;&gt;0,C303-Gear!$C$16,0)</f>
        <v>0</v>
      </c>
    </row>
    <row r="304" spans="20:21" x14ac:dyDescent="0.25">
      <c r="T304" s="9">
        <f>IF(C304&lt;&gt;0,C304-Gear!$C$16,0)</f>
        <v>0</v>
      </c>
      <c r="U304" s="9">
        <f>IF(C304&lt;&gt;0,C304-Gear!$C$16,0)</f>
        <v>0</v>
      </c>
    </row>
    <row r="305" spans="20:21" x14ac:dyDescent="0.25">
      <c r="T305" s="9">
        <f>IF(C305&lt;&gt;0,C305-Gear!$C$16,0)</f>
        <v>0</v>
      </c>
      <c r="U305" s="9">
        <f>IF(C305&lt;&gt;0,C305-Gear!$C$16,0)</f>
        <v>0</v>
      </c>
    </row>
    <row r="306" spans="20:21" x14ac:dyDescent="0.25">
      <c r="T306" s="9">
        <f>IF(C306&lt;&gt;0,C306-Gear!$C$16,0)</f>
        <v>0</v>
      </c>
      <c r="U306" s="9">
        <f>IF(C306&lt;&gt;0,C306-Gear!$C$16,0)</f>
        <v>0</v>
      </c>
    </row>
    <row r="307" spans="20:21" x14ac:dyDescent="0.25">
      <c r="T307" s="9">
        <f>IF(C307&lt;&gt;0,C307-Gear!$C$16,0)</f>
        <v>0</v>
      </c>
      <c r="U307" s="9">
        <f>IF(C307&lt;&gt;0,C307-Gear!$C$16,0)</f>
        <v>0</v>
      </c>
    </row>
    <row r="308" spans="20:21" x14ac:dyDescent="0.25">
      <c r="T308" s="9">
        <f>IF(C308&lt;&gt;0,C308-Gear!$C$16,0)</f>
        <v>0</v>
      </c>
      <c r="U308" s="9">
        <f>IF(C308&lt;&gt;0,C308-Gear!$C$16,0)</f>
        <v>0</v>
      </c>
    </row>
    <row r="309" spans="20:21" x14ac:dyDescent="0.25">
      <c r="T309" s="9">
        <f>IF(C309&lt;&gt;0,C309-Gear!$C$16,0)</f>
        <v>0</v>
      </c>
      <c r="U309" s="9">
        <f>IF(C309&lt;&gt;0,C309-Gear!$C$16,0)</f>
        <v>0</v>
      </c>
    </row>
    <row r="310" spans="20:21" x14ac:dyDescent="0.25">
      <c r="T310" s="9">
        <f>IF(C310&lt;&gt;0,C310-Gear!$C$16,0)</f>
        <v>0</v>
      </c>
      <c r="U310" s="9">
        <f>IF(C310&lt;&gt;0,C310-Gear!$C$16,0)</f>
        <v>0</v>
      </c>
    </row>
    <row r="311" spans="20:21" x14ac:dyDescent="0.25">
      <c r="T311" s="9">
        <f>IF(C311&lt;&gt;0,C311-Gear!$C$16,0)</f>
        <v>0</v>
      </c>
      <c r="U311" s="9">
        <f>IF(C311&lt;&gt;0,C311-Gear!$C$16,0)</f>
        <v>0</v>
      </c>
    </row>
    <row r="312" spans="20:21" x14ac:dyDescent="0.25">
      <c r="T312" s="9">
        <f>IF(C312&lt;&gt;0,C312-Gear!$C$16,0)</f>
        <v>0</v>
      </c>
      <c r="U312" s="9">
        <f>IF(C312&lt;&gt;0,C312-Gear!$C$16,0)</f>
        <v>0</v>
      </c>
    </row>
    <row r="313" spans="20:21" x14ac:dyDescent="0.25">
      <c r="T313" s="9">
        <f>IF(C313&lt;&gt;0,C313-Gear!$C$16,0)</f>
        <v>0</v>
      </c>
      <c r="U313" s="9">
        <f>IF(C313&lt;&gt;0,C313-Gear!$C$16,0)</f>
        <v>0</v>
      </c>
    </row>
    <row r="314" spans="20:21" x14ac:dyDescent="0.25">
      <c r="T314" s="9">
        <f>IF(C314&lt;&gt;0,C314-Gear!$C$16,0)</f>
        <v>0</v>
      </c>
      <c r="U314" s="9">
        <f>IF(C314&lt;&gt;0,C314-Gear!$C$16,0)</f>
        <v>0</v>
      </c>
    </row>
    <row r="315" spans="20:21" x14ac:dyDescent="0.25">
      <c r="T315" s="9">
        <f>IF(C315&lt;&gt;0,C315-Gear!$C$16,0)</f>
        <v>0</v>
      </c>
      <c r="U315" s="9">
        <f>IF(C315&lt;&gt;0,C315-Gear!$C$16,0)</f>
        <v>0</v>
      </c>
    </row>
    <row r="316" spans="20:21" x14ac:dyDescent="0.25">
      <c r="T316" s="9">
        <f>IF(C316&lt;&gt;0,C316-Gear!$C$16,0)</f>
        <v>0</v>
      </c>
      <c r="U316" s="9">
        <f>IF(C316&lt;&gt;0,C316-Gear!$C$16,0)</f>
        <v>0</v>
      </c>
    </row>
    <row r="317" spans="20:21" x14ac:dyDescent="0.25">
      <c r="T317" s="9">
        <f>IF(C317&lt;&gt;0,C317-Gear!$C$16,0)</f>
        <v>0</v>
      </c>
      <c r="U317" s="9">
        <f>IF(C317&lt;&gt;0,C317-Gear!$C$16,0)</f>
        <v>0</v>
      </c>
    </row>
    <row r="318" spans="20:21" x14ac:dyDescent="0.25">
      <c r="T318" s="9">
        <f>IF(C318&lt;&gt;0,C318-Gear!$C$16,0)</f>
        <v>0</v>
      </c>
      <c r="U318" s="9">
        <f>IF(C318&lt;&gt;0,C318-Gear!$C$16,0)</f>
        <v>0</v>
      </c>
    </row>
    <row r="319" spans="20:21" x14ac:dyDescent="0.25">
      <c r="T319" s="9">
        <f>IF(C319&lt;&gt;0,C319-Gear!$C$16,0)</f>
        <v>0</v>
      </c>
      <c r="U319" s="9">
        <f>IF(C319&lt;&gt;0,C319-Gear!$C$16,0)</f>
        <v>0</v>
      </c>
    </row>
    <row r="320" spans="20:21" x14ac:dyDescent="0.25">
      <c r="T320" s="9">
        <f>IF(C320&lt;&gt;0,C320-Gear!$C$16,0)</f>
        <v>0</v>
      </c>
      <c r="U320" s="9">
        <f>IF(C320&lt;&gt;0,C320-Gear!$C$16,0)</f>
        <v>0</v>
      </c>
    </row>
    <row r="321" spans="20:21" x14ac:dyDescent="0.25">
      <c r="T321" s="9">
        <f>IF(C321&lt;&gt;0,C321-Gear!$C$16,0)</f>
        <v>0</v>
      </c>
      <c r="U321" s="9">
        <f>IF(C321&lt;&gt;0,C321-Gear!$C$16,0)</f>
        <v>0</v>
      </c>
    </row>
    <row r="322" spans="20:21" x14ac:dyDescent="0.25">
      <c r="T322" s="9">
        <f>IF(C322&lt;&gt;0,C322-Gear!$C$16,0)</f>
        <v>0</v>
      </c>
      <c r="U322" s="9">
        <f>IF(C322&lt;&gt;0,C322-Gear!$C$16,0)</f>
        <v>0</v>
      </c>
    </row>
    <row r="323" spans="20:21" x14ac:dyDescent="0.25">
      <c r="T323" s="9">
        <f>IF(C323&lt;&gt;0,C323-Gear!$C$16,0)</f>
        <v>0</v>
      </c>
      <c r="U323" s="9">
        <f>IF(C323&lt;&gt;0,C323-Gear!$C$16,0)</f>
        <v>0</v>
      </c>
    </row>
    <row r="324" spans="20:21" x14ac:dyDescent="0.25">
      <c r="T324" s="9">
        <f>IF(C324&lt;&gt;0,C324-Gear!$C$16,0)</f>
        <v>0</v>
      </c>
      <c r="U324" s="9">
        <f>IF(C324&lt;&gt;0,C324-Gear!$C$16,0)</f>
        <v>0</v>
      </c>
    </row>
    <row r="325" spans="20:21" x14ac:dyDescent="0.25">
      <c r="T325" s="9">
        <f>IF(C325&lt;&gt;0,C325-Gear!$C$16,0)</f>
        <v>0</v>
      </c>
      <c r="U325" s="9">
        <f>IF(C325&lt;&gt;0,C325-Gear!$C$16,0)</f>
        <v>0</v>
      </c>
    </row>
    <row r="326" spans="20:21" x14ac:dyDescent="0.25">
      <c r="T326" s="9">
        <f>IF(C326&lt;&gt;0,C326-Gear!$C$16,0)</f>
        <v>0</v>
      </c>
      <c r="U326" s="9">
        <f>IF(C326&lt;&gt;0,C326-Gear!$C$16,0)</f>
        <v>0</v>
      </c>
    </row>
    <row r="327" spans="20:21" x14ac:dyDescent="0.25">
      <c r="T327" s="9">
        <f>IF(C327&lt;&gt;0,C327-Gear!$C$16,0)</f>
        <v>0</v>
      </c>
      <c r="U327" s="9">
        <f>IF(C327&lt;&gt;0,C327-Gear!$C$16,0)</f>
        <v>0</v>
      </c>
    </row>
    <row r="328" spans="20:21" x14ac:dyDescent="0.25">
      <c r="T328" s="9">
        <f>IF(C328&lt;&gt;0,C328-Gear!$C$16,0)</f>
        <v>0</v>
      </c>
      <c r="U328" s="9">
        <f>IF(C328&lt;&gt;0,C328-Gear!$C$16,0)</f>
        <v>0</v>
      </c>
    </row>
    <row r="329" spans="20:21" x14ac:dyDescent="0.25">
      <c r="T329" s="9">
        <f>IF(C329&lt;&gt;0,C329-Gear!$C$16,0)</f>
        <v>0</v>
      </c>
      <c r="U329" s="9">
        <f>IF(C329&lt;&gt;0,C329-Gear!$C$16,0)</f>
        <v>0</v>
      </c>
    </row>
    <row r="330" spans="20:21" x14ac:dyDescent="0.25">
      <c r="T330" s="9">
        <f>IF(C330&lt;&gt;0,C330-Gear!$C$16,0)</f>
        <v>0</v>
      </c>
      <c r="U330" s="9">
        <f>IF(C330&lt;&gt;0,C330-Gear!$C$16,0)</f>
        <v>0</v>
      </c>
    </row>
    <row r="331" spans="20:21" x14ac:dyDescent="0.25">
      <c r="T331" s="9">
        <f>IF(C331&lt;&gt;0,C331-Gear!$C$16,0)</f>
        <v>0</v>
      </c>
      <c r="U331" s="9">
        <f>IF(C331&lt;&gt;0,C331-Gear!$C$16,0)</f>
        <v>0</v>
      </c>
    </row>
    <row r="332" spans="20:21" x14ac:dyDescent="0.25">
      <c r="T332" s="9">
        <f>IF(C332&lt;&gt;0,C332-Gear!$C$16,0)</f>
        <v>0</v>
      </c>
      <c r="U332" s="9">
        <f>IF(C332&lt;&gt;0,C332-Gear!$C$16,0)</f>
        <v>0</v>
      </c>
    </row>
    <row r="333" spans="20:21" x14ac:dyDescent="0.25">
      <c r="T333" s="9">
        <f>IF(C333&lt;&gt;0,C333-Gear!$C$16,0)</f>
        <v>0</v>
      </c>
      <c r="U333" s="9">
        <f>IF(C333&lt;&gt;0,C333-Gear!$C$16,0)</f>
        <v>0</v>
      </c>
    </row>
    <row r="334" spans="20:21" x14ac:dyDescent="0.25">
      <c r="T334" s="9">
        <f>IF(C334&lt;&gt;0,C334-Gear!$C$16,0)</f>
        <v>0</v>
      </c>
      <c r="U334" s="9">
        <f>IF(C334&lt;&gt;0,C334-Gear!$C$16,0)</f>
        <v>0</v>
      </c>
    </row>
    <row r="335" spans="20:21" x14ac:dyDescent="0.25">
      <c r="T335" s="9">
        <f>IF(C335&lt;&gt;0,C335-Gear!$C$16,0)</f>
        <v>0</v>
      </c>
      <c r="U335" s="9">
        <f>IF(C335&lt;&gt;0,C335-Gear!$C$16,0)</f>
        <v>0</v>
      </c>
    </row>
    <row r="336" spans="20:21" x14ac:dyDescent="0.25">
      <c r="T336" s="9">
        <f>IF(C336&lt;&gt;0,C336-Gear!$C$16,0)</f>
        <v>0</v>
      </c>
      <c r="U336" s="9">
        <f>IF(C336&lt;&gt;0,C336-Gear!$C$16,0)</f>
        <v>0</v>
      </c>
    </row>
    <row r="337" spans="20:21" x14ac:dyDescent="0.25">
      <c r="T337" s="9">
        <f>IF(C337&lt;&gt;0,C337-Gear!$C$16,0)</f>
        <v>0</v>
      </c>
      <c r="U337" s="9">
        <f>IF(C337&lt;&gt;0,C337-Gear!$C$16,0)</f>
        <v>0</v>
      </c>
    </row>
    <row r="338" spans="20:21" x14ac:dyDescent="0.25">
      <c r="T338" s="9">
        <f>IF(C338&lt;&gt;0,C338-Gear!$C$16,0)</f>
        <v>0</v>
      </c>
      <c r="U338" s="9">
        <f>IF(C338&lt;&gt;0,C338-Gear!$C$16,0)</f>
        <v>0</v>
      </c>
    </row>
    <row r="339" spans="20:21" x14ac:dyDescent="0.25">
      <c r="T339" s="9">
        <f>IF(C339&lt;&gt;0,C339-Gear!$C$16,0)</f>
        <v>0</v>
      </c>
      <c r="U339" s="9">
        <f>IF(C339&lt;&gt;0,C339-Gear!$C$16,0)</f>
        <v>0</v>
      </c>
    </row>
    <row r="340" spans="20:21" x14ac:dyDescent="0.25">
      <c r="T340" s="9">
        <f>IF(C340&lt;&gt;0,C340-Gear!$C$16,0)</f>
        <v>0</v>
      </c>
      <c r="U340" s="9">
        <f>IF(C340&lt;&gt;0,C340-Gear!$C$16,0)</f>
        <v>0</v>
      </c>
    </row>
    <row r="341" spans="20:21" x14ac:dyDescent="0.25">
      <c r="T341" s="9">
        <f>IF(C341&lt;&gt;0,C341-Gear!$C$16,0)</f>
        <v>0</v>
      </c>
      <c r="U341" s="9">
        <f>IF(C341&lt;&gt;0,C341-Gear!$C$16,0)</f>
        <v>0</v>
      </c>
    </row>
    <row r="342" spans="20:21" x14ac:dyDescent="0.25">
      <c r="T342" s="9">
        <f>IF(C342&lt;&gt;0,C342-Gear!$C$16,0)</f>
        <v>0</v>
      </c>
      <c r="U342" s="9">
        <f>IF(C342&lt;&gt;0,C342-Gear!$C$16,0)</f>
        <v>0</v>
      </c>
    </row>
    <row r="343" spans="20:21" x14ac:dyDescent="0.25">
      <c r="T343" s="9">
        <f>IF(C343&lt;&gt;0,C343-Gear!$C$16,0)</f>
        <v>0</v>
      </c>
      <c r="U343" s="9">
        <f>IF(C343&lt;&gt;0,C343-Gear!$C$16,0)</f>
        <v>0</v>
      </c>
    </row>
    <row r="344" spans="20:21" x14ac:dyDescent="0.25">
      <c r="T344" s="9">
        <f>IF(C344&lt;&gt;0,C344-Gear!$C$16,0)</f>
        <v>0</v>
      </c>
      <c r="U344" s="9">
        <f>IF(C344&lt;&gt;0,C344-Gear!$C$16,0)</f>
        <v>0</v>
      </c>
    </row>
    <row r="345" spans="20:21" x14ac:dyDescent="0.25">
      <c r="T345" s="9">
        <f>IF(C345&lt;&gt;0,C345-Gear!$C$16,0)</f>
        <v>0</v>
      </c>
      <c r="U345" s="9">
        <f>IF(C345&lt;&gt;0,C345-Gear!$C$16,0)</f>
        <v>0</v>
      </c>
    </row>
    <row r="346" spans="20:21" x14ac:dyDescent="0.25">
      <c r="T346" s="9">
        <f>IF(C346&lt;&gt;0,C346-Gear!$C$16,0)</f>
        <v>0</v>
      </c>
      <c r="U346" s="9">
        <f>IF(C346&lt;&gt;0,C346-Gear!$C$16,0)</f>
        <v>0</v>
      </c>
    </row>
    <row r="347" spans="20:21" x14ac:dyDescent="0.25">
      <c r="T347" s="9">
        <f>IF(C347&lt;&gt;0,C347-Gear!$C$16,0)</f>
        <v>0</v>
      </c>
      <c r="U347" s="9">
        <f>IF(C347&lt;&gt;0,C347-Gear!$C$16,0)</f>
        <v>0</v>
      </c>
    </row>
    <row r="348" spans="20:21" x14ac:dyDescent="0.25">
      <c r="T348" s="9">
        <f>IF(C348&lt;&gt;0,C348-Gear!$C$16,0)</f>
        <v>0</v>
      </c>
      <c r="U348" s="9">
        <f>IF(C348&lt;&gt;0,C348-Gear!$C$16,0)</f>
        <v>0</v>
      </c>
    </row>
    <row r="349" spans="20:21" x14ac:dyDescent="0.25">
      <c r="T349" s="9">
        <f>IF(C349&lt;&gt;0,C349-Gear!$C$16,0)</f>
        <v>0</v>
      </c>
      <c r="U349" s="9">
        <f>IF(C349&lt;&gt;0,C349-Gear!$C$16,0)</f>
        <v>0</v>
      </c>
    </row>
    <row r="350" spans="20:21" x14ac:dyDescent="0.25">
      <c r="T350" s="9">
        <f>IF(C350&lt;&gt;0,C350-Gear!$C$16,0)</f>
        <v>0</v>
      </c>
      <c r="U350" s="9">
        <f>IF(C350&lt;&gt;0,C350-Gear!$C$16,0)</f>
        <v>0</v>
      </c>
    </row>
    <row r="351" spans="20:21" x14ac:dyDescent="0.25">
      <c r="T351" s="9">
        <f>IF(C351&lt;&gt;0,C351-Gear!$C$16,0)</f>
        <v>0</v>
      </c>
      <c r="U351" s="9">
        <f>IF(C351&lt;&gt;0,C351-Gear!$C$16,0)</f>
        <v>0</v>
      </c>
    </row>
    <row r="352" spans="20:21" x14ac:dyDescent="0.25">
      <c r="T352" s="9">
        <f>IF(C352&lt;&gt;0,C352-Gear!$C$16,0)</f>
        <v>0</v>
      </c>
      <c r="U352" s="9">
        <f>IF(C352&lt;&gt;0,C352-Gear!$C$16,0)</f>
        <v>0</v>
      </c>
    </row>
    <row r="353" spans="20:21" x14ac:dyDescent="0.25">
      <c r="T353" s="9">
        <f>IF(C353&lt;&gt;0,C353-Gear!$C$16,0)</f>
        <v>0</v>
      </c>
      <c r="U353" s="9">
        <f>IF(C353&lt;&gt;0,C353-Gear!$C$16,0)</f>
        <v>0</v>
      </c>
    </row>
    <row r="354" spans="20:21" x14ac:dyDescent="0.25">
      <c r="T354" s="9">
        <f>IF(C354&lt;&gt;0,C354-Gear!$C$16,0)</f>
        <v>0</v>
      </c>
      <c r="U354" s="9">
        <f>IF(C354&lt;&gt;0,C354-Gear!$C$16,0)</f>
        <v>0</v>
      </c>
    </row>
    <row r="355" spans="20:21" x14ac:dyDescent="0.25">
      <c r="T355" s="9">
        <f>IF(C355&lt;&gt;0,C355-Gear!$C$16,0)</f>
        <v>0</v>
      </c>
      <c r="U355" s="9">
        <f>IF(C355&lt;&gt;0,C355-Gear!$C$16,0)</f>
        <v>0</v>
      </c>
    </row>
    <row r="356" spans="20:21" x14ac:dyDescent="0.25">
      <c r="T356" s="9">
        <f>IF(C356&lt;&gt;0,C356-Gear!$C$16,0)</f>
        <v>0</v>
      </c>
      <c r="U356" s="9">
        <f>IF(C356&lt;&gt;0,C356-Gear!$C$16,0)</f>
        <v>0</v>
      </c>
    </row>
    <row r="357" spans="20:21" x14ac:dyDescent="0.25">
      <c r="T357" s="9">
        <f>IF(C357&lt;&gt;0,C357-Gear!$C$16,0)</f>
        <v>0</v>
      </c>
      <c r="U357" s="9">
        <f>IF(C357&lt;&gt;0,C357-Gear!$C$16,0)</f>
        <v>0</v>
      </c>
    </row>
    <row r="358" spans="20:21" x14ac:dyDescent="0.25">
      <c r="T358" s="9">
        <f>IF(C358&lt;&gt;0,C358-Gear!$C$16,0)</f>
        <v>0</v>
      </c>
      <c r="U358" s="9">
        <f>IF(C358&lt;&gt;0,C358-Gear!$C$16,0)</f>
        <v>0</v>
      </c>
    </row>
    <row r="359" spans="20:21" x14ac:dyDescent="0.25">
      <c r="T359" s="9">
        <f>IF(C359&lt;&gt;0,C359-Gear!$C$16,0)</f>
        <v>0</v>
      </c>
      <c r="U359" s="9">
        <f>IF(C359&lt;&gt;0,C359-Gear!$C$16,0)</f>
        <v>0</v>
      </c>
    </row>
    <row r="360" spans="20:21" x14ac:dyDescent="0.25">
      <c r="T360" s="9">
        <f>IF(C360&lt;&gt;0,C360-Gear!$C$16,0)</f>
        <v>0</v>
      </c>
      <c r="U360" s="9">
        <f>IF(C360&lt;&gt;0,C360-Gear!$C$16,0)</f>
        <v>0</v>
      </c>
    </row>
    <row r="361" spans="20:21" x14ac:dyDescent="0.25">
      <c r="T361" s="9">
        <f>IF(C361&lt;&gt;0,C361-Gear!$C$16,0)</f>
        <v>0</v>
      </c>
      <c r="U361" s="9">
        <f>IF(C361&lt;&gt;0,C361-Gear!$C$16,0)</f>
        <v>0</v>
      </c>
    </row>
    <row r="362" spans="20:21" x14ac:dyDescent="0.25">
      <c r="T362" s="9">
        <f>IF(C362&lt;&gt;0,C362-Gear!$C$16,0)</f>
        <v>0</v>
      </c>
      <c r="U362" s="9">
        <f>IF(C362&lt;&gt;0,C362-Gear!$C$16,0)</f>
        <v>0</v>
      </c>
    </row>
    <row r="363" spans="20:21" x14ac:dyDescent="0.25">
      <c r="T363" s="9">
        <f>IF(C363&lt;&gt;0,C363-Gear!$C$16,0)</f>
        <v>0</v>
      </c>
      <c r="U363" s="9">
        <f>IF(C363&lt;&gt;0,C363-Gear!$C$16,0)</f>
        <v>0</v>
      </c>
    </row>
    <row r="364" spans="20:21" x14ac:dyDescent="0.25">
      <c r="T364" s="9">
        <f>IF(C364&lt;&gt;0,C364-Gear!$C$16,0)</f>
        <v>0</v>
      </c>
      <c r="U364" s="9">
        <f>IF(C364&lt;&gt;0,C364-Gear!$C$16,0)</f>
        <v>0</v>
      </c>
    </row>
    <row r="365" spans="20:21" x14ac:dyDescent="0.25">
      <c r="T365" s="9">
        <f>IF(C365&lt;&gt;0,C365-Gear!$C$16,0)</f>
        <v>0</v>
      </c>
      <c r="U365" s="9">
        <f>IF(C365&lt;&gt;0,C365-Gear!$C$16,0)</f>
        <v>0</v>
      </c>
    </row>
    <row r="366" spans="20:21" x14ac:dyDescent="0.25">
      <c r="T366" s="9">
        <f>IF(C366&lt;&gt;0,C366-Gear!$C$16,0)</f>
        <v>0</v>
      </c>
      <c r="U366" s="9">
        <f>IF(C366&lt;&gt;0,C366-Gear!$C$16,0)</f>
        <v>0</v>
      </c>
    </row>
    <row r="367" spans="20:21" x14ac:dyDescent="0.25">
      <c r="T367" s="9">
        <f>IF(C367&lt;&gt;0,C367-Gear!$C$16,0)</f>
        <v>0</v>
      </c>
      <c r="U367" s="9">
        <f>IF(C367&lt;&gt;0,C367-Gear!$C$16,0)</f>
        <v>0</v>
      </c>
    </row>
    <row r="368" spans="20:21" x14ac:dyDescent="0.25">
      <c r="T368" s="9">
        <f>IF(C368&lt;&gt;0,C368-Gear!$C$16,0)</f>
        <v>0</v>
      </c>
      <c r="U368" s="9">
        <f>IF(C368&lt;&gt;0,C368-Gear!$C$16,0)</f>
        <v>0</v>
      </c>
    </row>
    <row r="369" spans="20:21" x14ac:dyDescent="0.25">
      <c r="T369" s="9">
        <f>IF(C369&lt;&gt;0,C369-Gear!$C$16,0)</f>
        <v>0</v>
      </c>
      <c r="U369" s="9">
        <f>IF(C369&lt;&gt;0,C369-Gear!$C$16,0)</f>
        <v>0</v>
      </c>
    </row>
    <row r="370" spans="20:21" x14ac:dyDescent="0.25">
      <c r="T370" s="9">
        <f>IF(C370&lt;&gt;0,C370-Gear!$C$16,0)</f>
        <v>0</v>
      </c>
      <c r="U370" s="9">
        <f>IF(C370&lt;&gt;0,C370-Gear!$C$16,0)</f>
        <v>0</v>
      </c>
    </row>
    <row r="371" spans="20:21" x14ac:dyDescent="0.25">
      <c r="T371" s="9">
        <f>IF(C371&lt;&gt;0,C371-Gear!$C$16,0)</f>
        <v>0</v>
      </c>
      <c r="U371" s="9">
        <f>IF(C371&lt;&gt;0,C371-Gear!$C$16,0)</f>
        <v>0</v>
      </c>
    </row>
    <row r="372" spans="20:21" x14ac:dyDescent="0.25">
      <c r="T372" s="9">
        <f>IF(C372&lt;&gt;0,C372-Gear!$C$16,0)</f>
        <v>0</v>
      </c>
      <c r="U372" s="9">
        <f>IF(C372&lt;&gt;0,C372-Gear!$C$16,0)</f>
        <v>0</v>
      </c>
    </row>
    <row r="373" spans="20:21" x14ac:dyDescent="0.25">
      <c r="T373" s="9">
        <f>IF(C373&lt;&gt;0,C373-Gear!$C$16,0)</f>
        <v>0</v>
      </c>
      <c r="U373" s="9">
        <f>IF(C373&lt;&gt;0,C373-Gear!$C$16,0)</f>
        <v>0</v>
      </c>
    </row>
    <row r="374" spans="20:21" x14ac:dyDescent="0.25">
      <c r="T374" s="9">
        <f>IF(C374&lt;&gt;0,C374-Gear!$C$16,0)</f>
        <v>0</v>
      </c>
      <c r="U374" s="9">
        <f>IF(C374&lt;&gt;0,C374-Gear!$C$16,0)</f>
        <v>0</v>
      </c>
    </row>
    <row r="375" spans="20:21" x14ac:dyDescent="0.25">
      <c r="T375" s="9">
        <f>IF(C375&lt;&gt;0,C375-Gear!$C$16,0)</f>
        <v>0</v>
      </c>
      <c r="U375" s="9">
        <f>IF(C375&lt;&gt;0,C375-Gear!$C$16,0)</f>
        <v>0</v>
      </c>
    </row>
    <row r="376" spans="20:21" x14ac:dyDescent="0.25">
      <c r="T376" s="9">
        <f>IF(C376&lt;&gt;0,C376-Gear!$C$16,0)</f>
        <v>0</v>
      </c>
      <c r="U376" s="9">
        <f>IF(C376&lt;&gt;0,C376-Gear!$C$16,0)</f>
        <v>0</v>
      </c>
    </row>
    <row r="377" spans="20:21" x14ac:dyDescent="0.25">
      <c r="T377" s="9">
        <f>IF(C377&lt;&gt;0,C377-Gear!$C$16,0)</f>
        <v>0</v>
      </c>
      <c r="U377" s="9">
        <f>IF(C377&lt;&gt;0,C377-Gear!$C$16,0)</f>
        <v>0</v>
      </c>
    </row>
    <row r="378" spans="20:21" x14ac:dyDescent="0.25">
      <c r="T378" s="9">
        <f>IF(C378&lt;&gt;0,C378-Gear!$C$16,0)</f>
        <v>0</v>
      </c>
      <c r="U378" s="9">
        <f>IF(C378&lt;&gt;0,C378-Gear!$C$16,0)</f>
        <v>0</v>
      </c>
    </row>
    <row r="379" spans="20:21" x14ac:dyDescent="0.25">
      <c r="T379" s="9">
        <f>IF(C379&lt;&gt;0,C379-Gear!$C$16,0)</f>
        <v>0</v>
      </c>
      <c r="U379" s="9">
        <f>IF(C379&lt;&gt;0,C379-Gear!$C$16,0)</f>
        <v>0</v>
      </c>
    </row>
    <row r="380" spans="20:21" x14ac:dyDescent="0.25">
      <c r="T380" s="9">
        <f>IF(C380&lt;&gt;0,C380-Gear!$C$16,0)</f>
        <v>0</v>
      </c>
      <c r="U380" s="9">
        <f>IF(C380&lt;&gt;0,C380-Gear!$C$16,0)</f>
        <v>0</v>
      </c>
    </row>
    <row r="381" spans="20:21" x14ac:dyDescent="0.25">
      <c r="T381" s="9">
        <f>IF(C381&lt;&gt;0,C381-Gear!$C$16,0)</f>
        <v>0</v>
      </c>
      <c r="U381" s="9">
        <f>IF(C381&lt;&gt;0,C381-Gear!$C$16,0)</f>
        <v>0</v>
      </c>
    </row>
    <row r="382" spans="20:21" x14ac:dyDescent="0.25">
      <c r="T382" s="9">
        <f>IF(C382&lt;&gt;0,C382-Gear!$C$16,0)</f>
        <v>0</v>
      </c>
      <c r="U382" s="9">
        <f>IF(C382&lt;&gt;0,C382-Gear!$C$16,0)</f>
        <v>0</v>
      </c>
    </row>
    <row r="383" spans="20:21" x14ac:dyDescent="0.25">
      <c r="T383" s="9">
        <f>IF(C383&lt;&gt;0,C383-Gear!$C$16,0)</f>
        <v>0</v>
      </c>
      <c r="U383" s="9">
        <f>IF(C383&lt;&gt;0,C383-Gear!$C$16,0)</f>
        <v>0</v>
      </c>
    </row>
    <row r="384" spans="20:21" x14ac:dyDescent="0.25">
      <c r="T384" s="9">
        <f>IF(C384&lt;&gt;0,C384-Gear!$C$16,0)</f>
        <v>0</v>
      </c>
      <c r="U384" s="9">
        <f>IF(C384&lt;&gt;0,C384-Gear!$C$16,0)</f>
        <v>0</v>
      </c>
    </row>
    <row r="385" spans="20:21" x14ac:dyDescent="0.25">
      <c r="T385" s="9">
        <f>IF(C385&lt;&gt;0,C385-Gear!$C$16,0)</f>
        <v>0</v>
      </c>
      <c r="U385" s="9">
        <f>IF(C385&lt;&gt;0,C385-Gear!$C$16,0)</f>
        <v>0</v>
      </c>
    </row>
    <row r="386" spans="20:21" x14ac:dyDescent="0.25">
      <c r="T386" s="9">
        <f>IF(C386&lt;&gt;0,C386-Gear!$C$16,0)</f>
        <v>0</v>
      </c>
      <c r="U386" s="9">
        <f>IF(C386&lt;&gt;0,C386-Gear!$C$16,0)</f>
        <v>0</v>
      </c>
    </row>
    <row r="387" spans="20:21" x14ac:dyDescent="0.25">
      <c r="T387" s="9">
        <f>IF(C387&lt;&gt;0,C387-Gear!$C$16,0)</f>
        <v>0</v>
      </c>
      <c r="U387" s="9">
        <f>IF(C387&lt;&gt;0,C387-Gear!$C$16,0)</f>
        <v>0</v>
      </c>
    </row>
    <row r="388" spans="20:21" x14ac:dyDescent="0.25">
      <c r="T388" s="9">
        <f>IF(C388&lt;&gt;0,C388-Gear!$C$16,0)</f>
        <v>0</v>
      </c>
      <c r="U388" s="9">
        <f>IF(C388&lt;&gt;0,C388-Gear!$C$16,0)</f>
        <v>0</v>
      </c>
    </row>
    <row r="389" spans="20:21" x14ac:dyDescent="0.25">
      <c r="T389" s="9">
        <f>IF(C389&lt;&gt;0,C389-Gear!$C$16,0)</f>
        <v>0</v>
      </c>
      <c r="U389" s="9">
        <f>IF(C389&lt;&gt;0,C389-Gear!$C$16,0)</f>
        <v>0</v>
      </c>
    </row>
    <row r="390" spans="20:21" x14ac:dyDescent="0.25">
      <c r="T390" s="9">
        <f>IF(C390&lt;&gt;0,C390-Gear!$C$16,0)</f>
        <v>0</v>
      </c>
      <c r="U390" s="9">
        <f>IF(C390&lt;&gt;0,C390-Gear!$C$16,0)</f>
        <v>0</v>
      </c>
    </row>
    <row r="391" spans="20:21" x14ac:dyDescent="0.25">
      <c r="T391" s="9">
        <f>IF(C391&lt;&gt;0,C391-Gear!$C$16,0)</f>
        <v>0</v>
      </c>
      <c r="U391" s="9">
        <f>IF(C391&lt;&gt;0,C391-Gear!$C$16,0)</f>
        <v>0</v>
      </c>
    </row>
    <row r="392" spans="20:21" x14ac:dyDescent="0.25">
      <c r="T392" s="9">
        <f>IF(C392&lt;&gt;0,C392-Gear!$C$16,0)</f>
        <v>0</v>
      </c>
      <c r="U392" s="9">
        <f>IF(C392&lt;&gt;0,C392-Gear!$C$16,0)</f>
        <v>0</v>
      </c>
    </row>
    <row r="393" spans="20:21" x14ac:dyDescent="0.25">
      <c r="T393" s="9">
        <f>IF(C393&lt;&gt;0,C393-Gear!$C$16,0)</f>
        <v>0</v>
      </c>
      <c r="U393" s="9">
        <f>IF(C393&lt;&gt;0,C393-Gear!$C$16,0)</f>
        <v>0</v>
      </c>
    </row>
    <row r="394" spans="20:21" x14ac:dyDescent="0.25">
      <c r="T394" s="9">
        <f>IF(C394&lt;&gt;0,C394-Gear!$C$16,0)</f>
        <v>0</v>
      </c>
      <c r="U394" s="9">
        <f>IF(C394&lt;&gt;0,C394-Gear!$C$16,0)</f>
        <v>0</v>
      </c>
    </row>
    <row r="395" spans="20:21" x14ac:dyDescent="0.25">
      <c r="T395" s="9">
        <f>IF(C395&lt;&gt;0,C395-Gear!$C$16,0)</f>
        <v>0</v>
      </c>
      <c r="U395" s="9">
        <f>IF(C395&lt;&gt;0,C395-Gear!$C$16,0)</f>
        <v>0</v>
      </c>
    </row>
    <row r="396" spans="20:21" x14ac:dyDescent="0.25">
      <c r="T396" s="9">
        <f>IF(C396&lt;&gt;0,C396-Gear!$C$16,0)</f>
        <v>0</v>
      </c>
      <c r="U396" s="9">
        <f>IF(C396&lt;&gt;0,C396-Gear!$C$16,0)</f>
        <v>0</v>
      </c>
    </row>
    <row r="397" spans="20:21" x14ac:dyDescent="0.25">
      <c r="T397" s="9">
        <f>IF(C397&lt;&gt;0,C397-Gear!$C$16,0)</f>
        <v>0</v>
      </c>
      <c r="U397" s="9">
        <f>IF(C397&lt;&gt;0,C397-Gear!$C$16,0)</f>
        <v>0</v>
      </c>
    </row>
    <row r="398" spans="20:21" x14ac:dyDescent="0.25">
      <c r="T398" s="9">
        <f>IF(C398&lt;&gt;0,C398-Gear!$C$16,0)</f>
        <v>0</v>
      </c>
      <c r="U398" s="9">
        <f>IF(C398&lt;&gt;0,C398-Gear!$C$16,0)</f>
        <v>0</v>
      </c>
    </row>
    <row r="399" spans="20:21" x14ac:dyDescent="0.25">
      <c r="T399" s="9">
        <f>IF(C399&lt;&gt;0,C399-Gear!$C$16,0)</f>
        <v>0</v>
      </c>
      <c r="U399" s="9">
        <f>IF(C399&lt;&gt;0,C399-Gear!$C$16,0)</f>
        <v>0</v>
      </c>
    </row>
    <row r="400" spans="20:21" x14ac:dyDescent="0.25">
      <c r="T400" s="9">
        <f>IF(C400&lt;&gt;0,C400-Gear!$C$16,0)</f>
        <v>0</v>
      </c>
      <c r="U400" s="9">
        <f>IF(C400&lt;&gt;0,C400-Gear!$C$16,0)</f>
        <v>0</v>
      </c>
    </row>
    <row r="401" spans="20:21" x14ac:dyDescent="0.25">
      <c r="T401" s="9">
        <f>IF(C401&lt;&gt;0,C401-Gear!$C$16,0)</f>
        <v>0</v>
      </c>
      <c r="U401" s="9">
        <f>IF(C401&lt;&gt;0,C401-Gear!$C$16,0)</f>
        <v>0</v>
      </c>
    </row>
    <row r="402" spans="20:21" x14ac:dyDescent="0.25">
      <c r="T402" s="9">
        <f>IF(C402&lt;&gt;0,C402-Gear!$C$16,0)</f>
        <v>0</v>
      </c>
      <c r="U402" s="9">
        <f>IF(C402&lt;&gt;0,C402-Gear!$C$16,0)</f>
        <v>0</v>
      </c>
    </row>
    <row r="403" spans="20:21" x14ac:dyDescent="0.25">
      <c r="T403" s="9">
        <f>IF(C403&lt;&gt;0,C403-Gear!$C$16,0)</f>
        <v>0</v>
      </c>
      <c r="U403" s="9">
        <f>IF(C403&lt;&gt;0,C403-Gear!$C$16,0)</f>
        <v>0</v>
      </c>
    </row>
    <row r="404" spans="20:21" x14ac:dyDescent="0.25">
      <c r="T404" s="9">
        <f>IF(C404&lt;&gt;0,C404-Gear!$C$16,0)</f>
        <v>0</v>
      </c>
      <c r="U404" s="9">
        <f>IF(C404&lt;&gt;0,C404-Gear!$C$16,0)</f>
        <v>0</v>
      </c>
    </row>
    <row r="405" spans="20:21" x14ac:dyDescent="0.25">
      <c r="T405" s="9">
        <f>IF(C405&lt;&gt;0,C405-Gear!$C$16,0)</f>
        <v>0</v>
      </c>
      <c r="U405" s="9">
        <f>IF(C405&lt;&gt;0,C405-Gear!$C$16,0)</f>
        <v>0</v>
      </c>
    </row>
    <row r="406" spans="20:21" x14ac:dyDescent="0.25">
      <c r="T406" s="9">
        <f>IF(C406&lt;&gt;0,C406-Gear!$C$16,0)</f>
        <v>0</v>
      </c>
      <c r="U406" s="9">
        <f>IF(C406&lt;&gt;0,C406-Gear!$C$16,0)</f>
        <v>0</v>
      </c>
    </row>
    <row r="407" spans="20:21" x14ac:dyDescent="0.25">
      <c r="T407" s="9">
        <f>IF(C407&lt;&gt;0,C407-Gear!$C$16,0)</f>
        <v>0</v>
      </c>
      <c r="U407" s="9">
        <f>IF(C407&lt;&gt;0,C407-Gear!$C$16,0)</f>
        <v>0</v>
      </c>
    </row>
    <row r="408" spans="20:21" x14ac:dyDescent="0.25">
      <c r="T408" s="9">
        <f>IF(C408&lt;&gt;0,C408-Gear!$C$16,0)</f>
        <v>0</v>
      </c>
      <c r="U408" s="9">
        <f>IF(C408&lt;&gt;0,C408-Gear!$C$16,0)</f>
        <v>0</v>
      </c>
    </row>
    <row r="409" spans="20:21" x14ac:dyDescent="0.25">
      <c r="T409" s="9">
        <f>IF(C409&lt;&gt;0,C409-Gear!$C$16,0)</f>
        <v>0</v>
      </c>
      <c r="U409" s="9">
        <f>IF(C409&lt;&gt;0,C409-Gear!$C$16,0)</f>
        <v>0</v>
      </c>
    </row>
    <row r="410" spans="20:21" x14ac:dyDescent="0.25">
      <c r="T410" s="9">
        <f>IF(C410&lt;&gt;0,C410-Gear!$C$16,0)</f>
        <v>0</v>
      </c>
      <c r="U410" s="9">
        <f>IF(C410&lt;&gt;0,C410-Gear!$C$16,0)</f>
        <v>0</v>
      </c>
    </row>
    <row r="411" spans="20:21" x14ac:dyDescent="0.25">
      <c r="T411" s="9">
        <f>IF(C411&lt;&gt;0,C411-Gear!$C$16,0)</f>
        <v>0</v>
      </c>
      <c r="U411" s="9">
        <f>IF(C411&lt;&gt;0,C411-Gear!$C$16,0)</f>
        <v>0</v>
      </c>
    </row>
    <row r="412" spans="20:21" x14ac:dyDescent="0.25">
      <c r="T412" s="9">
        <f>IF(C412&lt;&gt;0,C412-Gear!$C$16,0)</f>
        <v>0</v>
      </c>
      <c r="U412" s="9">
        <f>IF(C412&lt;&gt;0,C412-Gear!$C$16,0)</f>
        <v>0</v>
      </c>
    </row>
    <row r="413" spans="20:21" x14ac:dyDescent="0.25">
      <c r="T413" s="9">
        <f>IF(C413&lt;&gt;0,C413-Gear!$C$16,0)</f>
        <v>0</v>
      </c>
      <c r="U413" s="9">
        <f>IF(C413&lt;&gt;0,C413-Gear!$C$16,0)</f>
        <v>0</v>
      </c>
    </row>
    <row r="414" spans="20:21" x14ac:dyDescent="0.25">
      <c r="T414" s="9">
        <f>IF(C414&lt;&gt;0,C414-Gear!$C$16,0)</f>
        <v>0</v>
      </c>
      <c r="U414" s="9">
        <f>IF(C414&lt;&gt;0,C414-Gear!$C$16,0)</f>
        <v>0</v>
      </c>
    </row>
    <row r="415" spans="20:21" x14ac:dyDescent="0.25">
      <c r="T415" s="9">
        <f>IF(C415&lt;&gt;0,C415-Gear!$C$16,0)</f>
        <v>0</v>
      </c>
      <c r="U415" s="9">
        <f>IF(C415&lt;&gt;0,C415-Gear!$C$16,0)</f>
        <v>0</v>
      </c>
    </row>
    <row r="416" spans="20:21" x14ac:dyDescent="0.25">
      <c r="T416" s="9">
        <f>IF(C416&lt;&gt;0,C416-Gear!$C$16,0)</f>
        <v>0</v>
      </c>
      <c r="U416" s="9">
        <f>IF(C416&lt;&gt;0,C416-Gear!$C$16,0)</f>
        <v>0</v>
      </c>
    </row>
    <row r="417" spans="20:21" x14ac:dyDescent="0.25">
      <c r="T417" s="9">
        <f>IF(C417&lt;&gt;0,C417-Gear!$C$16,0)</f>
        <v>0</v>
      </c>
      <c r="U417" s="9">
        <f>IF(C417&lt;&gt;0,C417-Gear!$C$16,0)</f>
        <v>0</v>
      </c>
    </row>
    <row r="418" spans="20:21" x14ac:dyDescent="0.25">
      <c r="T418" s="9">
        <f>IF(C418&lt;&gt;0,C418-Gear!$C$16,0)</f>
        <v>0</v>
      </c>
      <c r="U418" s="9">
        <f>IF(C418&lt;&gt;0,C418-Gear!$C$16,0)</f>
        <v>0</v>
      </c>
    </row>
    <row r="419" spans="20:21" x14ac:dyDescent="0.25">
      <c r="T419" s="9">
        <f>IF(C419&lt;&gt;0,C419-Gear!$C$16,0)</f>
        <v>0</v>
      </c>
      <c r="U419" s="9">
        <f>IF(C419&lt;&gt;0,C419-Gear!$C$16,0)</f>
        <v>0</v>
      </c>
    </row>
    <row r="420" spans="20:21" x14ac:dyDescent="0.25">
      <c r="T420" s="9">
        <f>IF(C420&lt;&gt;0,C420-Gear!$C$16,0)</f>
        <v>0</v>
      </c>
      <c r="U420" s="9">
        <f>IF(C420&lt;&gt;0,C420-Gear!$C$16,0)</f>
        <v>0</v>
      </c>
    </row>
    <row r="421" spans="20:21" x14ac:dyDescent="0.25">
      <c r="T421" s="9">
        <f>IF(C421&lt;&gt;0,C421-Gear!$C$16,0)</f>
        <v>0</v>
      </c>
      <c r="U421" s="9">
        <f>IF(C421&lt;&gt;0,C421-Gear!$C$16,0)</f>
        <v>0</v>
      </c>
    </row>
    <row r="422" spans="20:21" x14ac:dyDescent="0.25">
      <c r="T422" s="9">
        <f>IF(C422&lt;&gt;0,C422-Gear!$C$16,0)</f>
        <v>0</v>
      </c>
      <c r="U422" s="9">
        <f>IF(C422&lt;&gt;0,C422-Gear!$C$16,0)</f>
        <v>0</v>
      </c>
    </row>
    <row r="423" spans="20:21" x14ac:dyDescent="0.25">
      <c r="T423" s="9">
        <f>IF(C423&lt;&gt;0,C423-Gear!$C$16,0)</f>
        <v>0</v>
      </c>
      <c r="U423" s="9">
        <f>IF(C423&lt;&gt;0,C423-Gear!$C$16,0)</f>
        <v>0</v>
      </c>
    </row>
    <row r="424" spans="20:21" x14ac:dyDescent="0.25">
      <c r="T424" s="9">
        <f>IF(C424&lt;&gt;0,C424-Gear!$C$16,0)</f>
        <v>0</v>
      </c>
      <c r="U424" s="9">
        <f>IF(C424&lt;&gt;0,C424-Gear!$C$16,0)</f>
        <v>0</v>
      </c>
    </row>
    <row r="425" spans="20:21" x14ac:dyDescent="0.25">
      <c r="T425" s="9">
        <f>IF(C425&lt;&gt;0,C425-Gear!$C$16,0)</f>
        <v>0</v>
      </c>
      <c r="U425" s="9">
        <f>IF(C425&lt;&gt;0,C425-Gear!$C$16,0)</f>
        <v>0</v>
      </c>
    </row>
    <row r="426" spans="20:21" x14ac:dyDescent="0.25">
      <c r="T426" s="9">
        <f>IF(C426&lt;&gt;0,C426-Gear!$C$16,0)</f>
        <v>0</v>
      </c>
      <c r="U426" s="9">
        <f>IF(C426&lt;&gt;0,C426-Gear!$C$16,0)</f>
        <v>0</v>
      </c>
    </row>
    <row r="427" spans="20:21" x14ac:dyDescent="0.25">
      <c r="T427" s="9">
        <f>IF(C427&lt;&gt;0,C427-Gear!$C$16,0)</f>
        <v>0</v>
      </c>
      <c r="U427" s="9">
        <f>IF(C427&lt;&gt;0,C427-Gear!$C$16,0)</f>
        <v>0</v>
      </c>
    </row>
    <row r="428" spans="20:21" x14ac:dyDescent="0.25">
      <c r="T428" s="9">
        <f>IF(C428&lt;&gt;0,C428-Gear!$C$16,0)</f>
        <v>0</v>
      </c>
      <c r="U428" s="9">
        <f>IF(C428&lt;&gt;0,C428-Gear!$C$16,0)</f>
        <v>0</v>
      </c>
    </row>
    <row r="429" spans="20:21" x14ac:dyDescent="0.25">
      <c r="T429" s="9">
        <f>IF(C429&lt;&gt;0,C429-Gear!$C$16,0)</f>
        <v>0</v>
      </c>
      <c r="U429" s="9">
        <f>IF(C429&lt;&gt;0,C429-Gear!$C$16,0)</f>
        <v>0</v>
      </c>
    </row>
    <row r="430" spans="20:21" x14ac:dyDescent="0.25">
      <c r="T430" s="9">
        <f>IF(C430&lt;&gt;0,C430-Gear!$C$16,0)</f>
        <v>0</v>
      </c>
      <c r="U430" s="9">
        <f>IF(C430&lt;&gt;0,C430-Gear!$C$16,0)</f>
        <v>0</v>
      </c>
    </row>
    <row r="431" spans="20:21" x14ac:dyDescent="0.25">
      <c r="T431" s="9">
        <f>IF(C431&lt;&gt;0,C431-Gear!$C$16,0)</f>
        <v>0</v>
      </c>
      <c r="U431" s="9">
        <f>IF(C431&lt;&gt;0,C431-Gear!$C$16,0)</f>
        <v>0</v>
      </c>
    </row>
    <row r="432" spans="20:21" x14ac:dyDescent="0.25">
      <c r="T432" s="9">
        <f>IF(C432&lt;&gt;0,C432-Gear!$C$16,0)</f>
        <v>0</v>
      </c>
      <c r="U432" s="9">
        <f>IF(C432&lt;&gt;0,C432-Gear!$C$16,0)</f>
        <v>0</v>
      </c>
    </row>
    <row r="433" spans="20:21" x14ac:dyDescent="0.25">
      <c r="T433" s="9">
        <f>IF(C433&lt;&gt;0,C433-Gear!$C$16,0)</f>
        <v>0</v>
      </c>
      <c r="U433" s="9">
        <f>IF(C433&lt;&gt;0,C433-Gear!$C$16,0)</f>
        <v>0</v>
      </c>
    </row>
    <row r="434" spans="20:21" x14ac:dyDescent="0.25">
      <c r="T434" s="9">
        <f>IF(C434&lt;&gt;0,C434-Gear!$C$16,0)</f>
        <v>0</v>
      </c>
      <c r="U434" s="9">
        <f>IF(C434&lt;&gt;0,C434-Gear!$C$16,0)</f>
        <v>0</v>
      </c>
    </row>
    <row r="435" spans="20:21" x14ac:dyDescent="0.25">
      <c r="T435" s="9">
        <f>IF(C435&lt;&gt;0,C435-Gear!$C$16,0)</f>
        <v>0</v>
      </c>
      <c r="U435" s="9">
        <f>IF(C435&lt;&gt;0,C435-Gear!$C$16,0)</f>
        <v>0</v>
      </c>
    </row>
    <row r="436" spans="20:21" x14ac:dyDescent="0.25">
      <c r="T436" s="9">
        <f>IF(C436&lt;&gt;0,C436-Gear!$C$16,0)</f>
        <v>0</v>
      </c>
      <c r="U436" s="9">
        <f>IF(C436&lt;&gt;0,C436-Gear!$C$16,0)</f>
        <v>0</v>
      </c>
    </row>
    <row r="437" spans="20:21" x14ac:dyDescent="0.25">
      <c r="T437" s="9">
        <f>IF(C437&lt;&gt;0,C437-Gear!$C$16,0)</f>
        <v>0</v>
      </c>
      <c r="U437" s="9">
        <f>IF(C437&lt;&gt;0,C437-Gear!$C$16,0)</f>
        <v>0</v>
      </c>
    </row>
    <row r="438" spans="20:21" x14ac:dyDescent="0.25">
      <c r="T438" s="9">
        <f>IF(C438&lt;&gt;0,C438-Gear!$C$16,0)</f>
        <v>0</v>
      </c>
      <c r="U438" s="9">
        <f>IF(C438&lt;&gt;0,C438-Gear!$C$16,0)</f>
        <v>0</v>
      </c>
    </row>
    <row r="439" spans="20:21" x14ac:dyDescent="0.25">
      <c r="T439" s="9">
        <f>IF(C439&lt;&gt;0,C439-Gear!$C$16,0)</f>
        <v>0</v>
      </c>
      <c r="U439" s="9">
        <f>IF(C439&lt;&gt;0,C439-Gear!$C$16,0)</f>
        <v>0</v>
      </c>
    </row>
    <row r="440" spans="20:21" x14ac:dyDescent="0.25">
      <c r="T440" s="9">
        <f>IF(C440&lt;&gt;0,C440-Gear!$C$16,0)</f>
        <v>0</v>
      </c>
      <c r="U440" s="9">
        <f>IF(C440&lt;&gt;0,C440-Gear!$C$16,0)</f>
        <v>0</v>
      </c>
    </row>
    <row r="441" spans="20:21" x14ac:dyDescent="0.25">
      <c r="T441" s="9">
        <f>IF(C441&lt;&gt;0,C441-Gear!$C$16,0)</f>
        <v>0</v>
      </c>
      <c r="U441" s="9">
        <f>IF(C441&lt;&gt;0,C441-Gear!$C$16,0)</f>
        <v>0</v>
      </c>
    </row>
    <row r="442" spans="20:21" x14ac:dyDescent="0.25">
      <c r="T442" s="9">
        <f>IF(C442&lt;&gt;0,C442-Gear!$C$16,0)</f>
        <v>0</v>
      </c>
      <c r="U442" s="9">
        <f>IF(C442&lt;&gt;0,C442-Gear!$C$16,0)</f>
        <v>0</v>
      </c>
    </row>
    <row r="443" spans="20:21" x14ac:dyDescent="0.25">
      <c r="T443" s="9">
        <f>IF(C443&lt;&gt;0,C443-Gear!$C$16,0)</f>
        <v>0</v>
      </c>
      <c r="U443" s="9">
        <f>IF(C443&lt;&gt;0,C443-Gear!$C$16,0)</f>
        <v>0</v>
      </c>
    </row>
    <row r="444" spans="20:21" x14ac:dyDescent="0.25">
      <c r="T444" s="9">
        <f>IF(C444&lt;&gt;0,C444-Gear!$C$16,0)</f>
        <v>0</v>
      </c>
      <c r="U444" s="9">
        <f>IF(C444&lt;&gt;0,C444-Gear!$C$16,0)</f>
        <v>0</v>
      </c>
    </row>
    <row r="445" spans="20:21" x14ac:dyDescent="0.25">
      <c r="T445" s="9">
        <f>IF(C445&lt;&gt;0,C445-Gear!$C$16,0)</f>
        <v>0</v>
      </c>
      <c r="U445" s="9">
        <f>IF(C445&lt;&gt;0,C445-Gear!$C$16,0)</f>
        <v>0</v>
      </c>
    </row>
    <row r="446" spans="20:21" x14ac:dyDescent="0.25">
      <c r="T446" s="9">
        <f>IF(C446&lt;&gt;0,C446-Gear!$C$16,0)</f>
        <v>0</v>
      </c>
      <c r="U446" s="9">
        <f>IF(C446&lt;&gt;0,C446-Gear!$C$16,0)</f>
        <v>0</v>
      </c>
    </row>
    <row r="447" spans="20:21" x14ac:dyDescent="0.25">
      <c r="T447" s="9">
        <f>IF(C447&lt;&gt;0,C447-Gear!$C$16,0)</f>
        <v>0</v>
      </c>
      <c r="U447" s="9">
        <f>IF(C447&lt;&gt;0,C447-Gear!$C$16,0)</f>
        <v>0</v>
      </c>
    </row>
    <row r="448" spans="20:21" x14ac:dyDescent="0.25">
      <c r="T448" s="9">
        <f>IF(C448&lt;&gt;0,C448-Gear!$C$16,0)</f>
        <v>0</v>
      </c>
      <c r="U448" s="9">
        <f>IF(C448&lt;&gt;0,C448-Gear!$C$16,0)</f>
        <v>0</v>
      </c>
    </row>
    <row r="449" spans="20:21" x14ac:dyDescent="0.25">
      <c r="T449" s="9">
        <f>IF(C449&lt;&gt;0,C449-Gear!$C$16,0)</f>
        <v>0</v>
      </c>
      <c r="U449" s="9">
        <f>IF(C449&lt;&gt;0,C449-Gear!$C$16,0)</f>
        <v>0</v>
      </c>
    </row>
    <row r="450" spans="20:21" x14ac:dyDescent="0.25">
      <c r="T450" s="9">
        <f>IF(C450&lt;&gt;0,C450-Gear!$C$16,0)</f>
        <v>0</v>
      </c>
      <c r="U450" s="9">
        <f>IF(C450&lt;&gt;0,C450-Gear!$C$16,0)</f>
        <v>0</v>
      </c>
    </row>
    <row r="451" spans="20:21" x14ac:dyDescent="0.25">
      <c r="T451" s="9">
        <f>IF(C451&lt;&gt;0,C451-Gear!$C$16,0)</f>
        <v>0</v>
      </c>
      <c r="U451" s="9">
        <f>IF(C451&lt;&gt;0,C451-Gear!$C$16,0)</f>
        <v>0</v>
      </c>
    </row>
    <row r="452" spans="20:21" x14ac:dyDescent="0.25">
      <c r="T452" s="9">
        <f>IF(C452&lt;&gt;0,C452-Gear!$C$16,0)</f>
        <v>0</v>
      </c>
      <c r="U452" s="9">
        <f>IF(C452&lt;&gt;0,C452-Gear!$C$16,0)</f>
        <v>0</v>
      </c>
    </row>
    <row r="453" spans="20:21" x14ac:dyDescent="0.25">
      <c r="T453" s="9">
        <f>IF(C453&lt;&gt;0,C453-Gear!$C$16,0)</f>
        <v>0</v>
      </c>
      <c r="U453" s="9">
        <f>IF(C453&lt;&gt;0,C453-Gear!$C$16,0)</f>
        <v>0</v>
      </c>
    </row>
    <row r="454" spans="20:21" x14ac:dyDescent="0.25">
      <c r="T454" s="9">
        <f>IF(C454&lt;&gt;0,C454-Gear!$C$16,0)</f>
        <v>0</v>
      </c>
      <c r="U454" s="9">
        <f>IF(C454&lt;&gt;0,C454-Gear!$C$16,0)</f>
        <v>0</v>
      </c>
    </row>
    <row r="455" spans="20:21" x14ac:dyDescent="0.25">
      <c r="T455" s="9">
        <f>IF(C455&lt;&gt;0,C455-Gear!$C$16,0)</f>
        <v>0</v>
      </c>
      <c r="U455" s="9">
        <f>IF(C455&lt;&gt;0,C455-Gear!$C$16,0)</f>
        <v>0</v>
      </c>
    </row>
    <row r="456" spans="20:21" x14ac:dyDescent="0.25">
      <c r="T456" s="9">
        <f>IF(C456&lt;&gt;0,C456-Gear!$C$16,0)</f>
        <v>0</v>
      </c>
      <c r="U456" s="9">
        <f>IF(C456&lt;&gt;0,C456-Gear!$C$16,0)</f>
        <v>0</v>
      </c>
    </row>
    <row r="457" spans="20:21" x14ac:dyDescent="0.25">
      <c r="T457" s="9">
        <f>IF(C457&lt;&gt;0,C457-Gear!$C$16,0)</f>
        <v>0</v>
      </c>
      <c r="U457" s="9">
        <f>IF(C457&lt;&gt;0,C457-Gear!$C$16,0)</f>
        <v>0</v>
      </c>
    </row>
    <row r="458" spans="20:21" x14ac:dyDescent="0.25">
      <c r="T458" s="9">
        <f>IF(C458&lt;&gt;0,C458-Gear!$C$16,0)</f>
        <v>0</v>
      </c>
      <c r="U458" s="9">
        <f>IF(C458&lt;&gt;0,C458-Gear!$C$16,0)</f>
        <v>0</v>
      </c>
    </row>
    <row r="459" spans="20:21" x14ac:dyDescent="0.25">
      <c r="T459" s="9">
        <f>IF(C459&lt;&gt;0,C459-Gear!$C$16,0)</f>
        <v>0</v>
      </c>
      <c r="U459" s="9">
        <f>IF(C459&lt;&gt;0,C459-Gear!$C$16,0)</f>
        <v>0</v>
      </c>
    </row>
    <row r="460" spans="20:21" x14ac:dyDescent="0.25">
      <c r="T460" s="9">
        <f>IF(C460&lt;&gt;0,C460-Gear!$C$16,0)</f>
        <v>0</v>
      </c>
      <c r="U460" s="9">
        <f>IF(C460&lt;&gt;0,C460-Gear!$C$16,0)</f>
        <v>0</v>
      </c>
    </row>
    <row r="461" spans="20:21" x14ac:dyDescent="0.25">
      <c r="T461" s="9">
        <f>IF(C461&lt;&gt;0,C461-Gear!$C$16,0)</f>
        <v>0</v>
      </c>
      <c r="U461" s="9">
        <f>IF(C461&lt;&gt;0,C461-Gear!$C$16,0)</f>
        <v>0</v>
      </c>
    </row>
    <row r="462" spans="20:21" x14ac:dyDescent="0.25">
      <c r="T462" s="9">
        <f>IF(C462&lt;&gt;0,C462-Gear!$C$16,0)</f>
        <v>0</v>
      </c>
      <c r="U462" s="9">
        <f>IF(C462&lt;&gt;0,C462-Gear!$C$16,0)</f>
        <v>0</v>
      </c>
    </row>
    <row r="463" spans="20:21" x14ac:dyDescent="0.25">
      <c r="T463" s="9">
        <f>IF(C463&lt;&gt;0,C463-Gear!$C$16,0)</f>
        <v>0</v>
      </c>
      <c r="U463" s="9">
        <f>IF(C463&lt;&gt;0,C463-Gear!$C$16,0)</f>
        <v>0</v>
      </c>
    </row>
    <row r="464" spans="20:21" x14ac:dyDescent="0.25">
      <c r="T464" s="9">
        <f>IF(C464&lt;&gt;0,C464-Gear!$C$16,0)</f>
        <v>0</v>
      </c>
      <c r="U464" s="9">
        <f>IF(C464&lt;&gt;0,C464-Gear!$C$16,0)</f>
        <v>0</v>
      </c>
    </row>
    <row r="465" spans="20:21" x14ac:dyDescent="0.25">
      <c r="T465" s="9">
        <f>IF(C465&lt;&gt;0,C465-Gear!$C$16,0)</f>
        <v>0</v>
      </c>
      <c r="U465" s="9">
        <f>IF(C465&lt;&gt;0,C465-Gear!$C$16,0)</f>
        <v>0</v>
      </c>
    </row>
    <row r="466" spans="20:21" x14ac:dyDescent="0.25">
      <c r="T466" s="9">
        <f>IF(C466&lt;&gt;0,C466-Gear!$C$16,0)</f>
        <v>0</v>
      </c>
      <c r="U466" s="9">
        <f>IF(C466&lt;&gt;0,C466-Gear!$C$16,0)</f>
        <v>0</v>
      </c>
    </row>
    <row r="467" spans="20:21" x14ac:dyDescent="0.25">
      <c r="T467" s="9">
        <f>IF(C467&lt;&gt;0,C467-Gear!$C$16,0)</f>
        <v>0</v>
      </c>
      <c r="U467" s="9">
        <f>IF(C467&lt;&gt;0,C467-Gear!$C$16,0)</f>
        <v>0</v>
      </c>
    </row>
    <row r="468" spans="20:21" x14ac:dyDescent="0.25">
      <c r="T468" s="9">
        <f>IF(C468&lt;&gt;0,C468-Gear!$C$16,0)</f>
        <v>0</v>
      </c>
      <c r="U468" s="9">
        <f>IF(C468&lt;&gt;0,C468-Gear!$C$16,0)</f>
        <v>0</v>
      </c>
    </row>
    <row r="469" spans="20:21" x14ac:dyDescent="0.25">
      <c r="T469" s="9">
        <f>IF(C469&lt;&gt;0,C469-Gear!$C$16,0)</f>
        <v>0</v>
      </c>
      <c r="U469" s="9">
        <f>IF(C469&lt;&gt;0,C469-Gear!$C$16,0)</f>
        <v>0</v>
      </c>
    </row>
    <row r="470" spans="20:21" x14ac:dyDescent="0.25">
      <c r="T470" s="9">
        <f>IF(C470&lt;&gt;0,C470-Gear!$C$16,0)</f>
        <v>0</v>
      </c>
      <c r="U470" s="9">
        <f>IF(C470&lt;&gt;0,C470-Gear!$C$16,0)</f>
        <v>0</v>
      </c>
    </row>
    <row r="471" spans="20:21" x14ac:dyDescent="0.25">
      <c r="T471" s="9">
        <f>IF(C471&lt;&gt;0,C471-Gear!$C$16,0)</f>
        <v>0</v>
      </c>
      <c r="U471" s="9">
        <f>IF(C471&lt;&gt;0,C471-Gear!$C$16,0)</f>
        <v>0</v>
      </c>
    </row>
    <row r="472" spans="20:21" x14ac:dyDescent="0.25">
      <c r="T472" s="9">
        <f>IF(C472&lt;&gt;0,C472-Gear!$C$16,0)</f>
        <v>0</v>
      </c>
      <c r="U472" s="9">
        <f>IF(C472&lt;&gt;0,C472-Gear!$C$16,0)</f>
        <v>0</v>
      </c>
    </row>
    <row r="473" spans="20:21" x14ac:dyDescent="0.25">
      <c r="T473" s="9">
        <f>IF(C473&lt;&gt;0,C473-Gear!$C$16,0)</f>
        <v>0</v>
      </c>
      <c r="U473" s="9">
        <f>IF(C473&lt;&gt;0,C473-Gear!$C$16,0)</f>
        <v>0</v>
      </c>
    </row>
    <row r="474" spans="20:21" x14ac:dyDescent="0.25">
      <c r="T474" s="9">
        <f>IF(C474&lt;&gt;0,C474-Gear!$C$16,0)</f>
        <v>0</v>
      </c>
      <c r="U474" s="9">
        <f>IF(C474&lt;&gt;0,C474-Gear!$C$16,0)</f>
        <v>0</v>
      </c>
    </row>
    <row r="475" spans="20:21" x14ac:dyDescent="0.25">
      <c r="T475" s="9">
        <f>IF(C475&lt;&gt;0,C475-Gear!$C$16,0)</f>
        <v>0</v>
      </c>
      <c r="U475" s="9">
        <f>IF(C475&lt;&gt;0,C475-Gear!$C$16,0)</f>
        <v>0</v>
      </c>
    </row>
    <row r="476" spans="20:21" x14ac:dyDescent="0.25">
      <c r="T476" s="9">
        <f>IF(C476&lt;&gt;0,C476-Gear!$C$16,0)</f>
        <v>0</v>
      </c>
      <c r="U476" s="9">
        <f>IF(C476&lt;&gt;0,C476-Gear!$C$16,0)</f>
        <v>0</v>
      </c>
    </row>
    <row r="477" spans="20:21" x14ac:dyDescent="0.25">
      <c r="T477" s="9">
        <f>IF(C477&lt;&gt;0,C477-Gear!$C$16,0)</f>
        <v>0</v>
      </c>
      <c r="U477" s="9">
        <f>IF(C477&lt;&gt;0,C477-Gear!$C$16,0)</f>
        <v>0</v>
      </c>
    </row>
    <row r="478" spans="20:21" x14ac:dyDescent="0.25">
      <c r="T478" s="9">
        <f>IF(C478&lt;&gt;0,C478-Gear!$C$16,0)</f>
        <v>0</v>
      </c>
      <c r="U478" s="9">
        <f>IF(C478&lt;&gt;0,C478-Gear!$C$16,0)</f>
        <v>0</v>
      </c>
    </row>
    <row r="479" spans="20:21" x14ac:dyDescent="0.25">
      <c r="T479" s="9">
        <f>IF(C479&lt;&gt;0,C479-Gear!$C$16,0)</f>
        <v>0</v>
      </c>
      <c r="U479" s="9">
        <f>IF(C479&lt;&gt;0,C479-Gear!$C$16,0)</f>
        <v>0</v>
      </c>
    </row>
    <row r="480" spans="20:21" x14ac:dyDescent="0.25">
      <c r="T480" s="9">
        <f>IF(C480&lt;&gt;0,C480-Gear!$C$16,0)</f>
        <v>0</v>
      </c>
      <c r="U480" s="9">
        <f>IF(C480&lt;&gt;0,C480-Gear!$C$16,0)</f>
        <v>0</v>
      </c>
    </row>
    <row r="481" spans="20:21" x14ac:dyDescent="0.25">
      <c r="T481" s="9">
        <f>IF(C481&lt;&gt;0,C481-Gear!$C$16,0)</f>
        <v>0</v>
      </c>
      <c r="U481" s="9">
        <f>IF(C481&lt;&gt;0,C481-Gear!$C$16,0)</f>
        <v>0</v>
      </c>
    </row>
    <row r="482" spans="20:21" x14ac:dyDescent="0.25">
      <c r="T482" s="9">
        <f>IF(C482&lt;&gt;0,C482-Gear!$C$16,0)</f>
        <v>0</v>
      </c>
      <c r="U482" s="9">
        <f>IF(C482&lt;&gt;0,C482-Gear!$C$16,0)</f>
        <v>0</v>
      </c>
    </row>
    <row r="483" spans="20:21" x14ac:dyDescent="0.25">
      <c r="T483" s="9">
        <f>IF(C483&lt;&gt;0,C483-Gear!$C$16,0)</f>
        <v>0</v>
      </c>
      <c r="U483" s="9">
        <f>IF(C483&lt;&gt;0,C483-Gear!$C$16,0)</f>
        <v>0</v>
      </c>
    </row>
    <row r="484" spans="20:21" x14ac:dyDescent="0.25">
      <c r="T484" s="9">
        <f>IF(C484&lt;&gt;0,C484-Gear!$C$16,0)</f>
        <v>0</v>
      </c>
      <c r="U484" s="9">
        <f>IF(C484&lt;&gt;0,C484-Gear!$C$16,0)</f>
        <v>0</v>
      </c>
    </row>
    <row r="485" spans="20:21" x14ac:dyDescent="0.25">
      <c r="T485" s="9">
        <f>IF(C485&lt;&gt;0,C485-Gear!$C$16,0)</f>
        <v>0</v>
      </c>
      <c r="U485" s="9">
        <f>IF(C485&lt;&gt;0,C485-Gear!$C$16,0)</f>
        <v>0</v>
      </c>
    </row>
    <row r="486" spans="20:21" x14ac:dyDescent="0.25">
      <c r="T486" s="9">
        <f>IF(C486&lt;&gt;0,C486-Gear!$C$16,0)</f>
        <v>0</v>
      </c>
      <c r="U486" s="9">
        <f>IF(C486&lt;&gt;0,C486-Gear!$C$16,0)</f>
        <v>0</v>
      </c>
    </row>
    <row r="487" spans="20:21" x14ac:dyDescent="0.25">
      <c r="T487" s="9">
        <f>IF(C487&lt;&gt;0,C487-Gear!$C$16,0)</f>
        <v>0</v>
      </c>
      <c r="U487" s="9">
        <f>IF(C487&lt;&gt;0,C487-Gear!$C$16,0)</f>
        <v>0</v>
      </c>
    </row>
    <row r="488" spans="20:21" x14ac:dyDescent="0.25">
      <c r="T488" s="9">
        <f>IF(C488&lt;&gt;0,C488-Gear!$C$16,0)</f>
        <v>0</v>
      </c>
      <c r="U488" s="9">
        <f>IF(C488&lt;&gt;0,C488-Gear!$C$16,0)</f>
        <v>0</v>
      </c>
    </row>
    <row r="489" spans="20:21" x14ac:dyDescent="0.25">
      <c r="T489" s="9">
        <f>IF(C489&lt;&gt;0,C489-Gear!$C$16,0)</f>
        <v>0</v>
      </c>
      <c r="U489" s="9">
        <f>IF(C489&lt;&gt;0,C489-Gear!$C$16,0)</f>
        <v>0</v>
      </c>
    </row>
    <row r="490" spans="20:21" x14ac:dyDescent="0.25">
      <c r="T490" s="9">
        <f>IF(C490&lt;&gt;0,C490-Gear!$C$16,0)</f>
        <v>0</v>
      </c>
      <c r="U490" s="9">
        <f>IF(C490&lt;&gt;0,C490-Gear!$C$16,0)</f>
        <v>0</v>
      </c>
    </row>
    <row r="491" spans="20:21" x14ac:dyDescent="0.25">
      <c r="T491" s="9">
        <f>IF(C491&lt;&gt;0,C491-Gear!$C$16,0)</f>
        <v>0</v>
      </c>
      <c r="U491" s="9">
        <f>IF(C491&lt;&gt;0,C491-Gear!$C$16,0)</f>
        <v>0</v>
      </c>
    </row>
    <row r="492" spans="20:21" x14ac:dyDescent="0.25">
      <c r="T492" s="9">
        <f>IF(C492&lt;&gt;0,C492-Gear!$C$16,0)</f>
        <v>0</v>
      </c>
      <c r="U492" s="9">
        <f>IF(C492&lt;&gt;0,C492-Gear!$C$16,0)</f>
        <v>0</v>
      </c>
    </row>
    <row r="493" spans="20:21" x14ac:dyDescent="0.25">
      <c r="T493" s="9">
        <f>IF(C493&lt;&gt;0,C493-Gear!$C$16,0)</f>
        <v>0</v>
      </c>
      <c r="U493" s="9">
        <f>IF(C493&lt;&gt;0,C493-Gear!$C$16,0)</f>
        <v>0</v>
      </c>
    </row>
    <row r="494" spans="20:21" x14ac:dyDescent="0.25">
      <c r="T494" s="9">
        <f>IF(C494&lt;&gt;0,C494-Gear!$C$16,0)</f>
        <v>0</v>
      </c>
      <c r="U494" s="9">
        <f>IF(C494&lt;&gt;0,C494-Gear!$C$16,0)</f>
        <v>0</v>
      </c>
    </row>
    <row r="495" spans="20:21" x14ac:dyDescent="0.25">
      <c r="T495" s="9">
        <f>IF(C495&lt;&gt;0,C495-Gear!$C$16,0)</f>
        <v>0</v>
      </c>
      <c r="U495" s="9">
        <f>IF(C495&lt;&gt;0,C495-Gear!$C$16,0)</f>
        <v>0</v>
      </c>
    </row>
    <row r="496" spans="20:21" x14ac:dyDescent="0.25">
      <c r="T496" s="9">
        <f>IF(C496&lt;&gt;0,C496-Gear!$C$16,0)</f>
        <v>0</v>
      </c>
      <c r="U496" s="9">
        <f>IF(C496&lt;&gt;0,C496-Gear!$C$16,0)</f>
        <v>0</v>
      </c>
    </row>
    <row r="497" spans="20:21" x14ac:dyDescent="0.25">
      <c r="T497" s="9">
        <f>IF(C497&lt;&gt;0,C497-Gear!$C$16,0)</f>
        <v>0</v>
      </c>
      <c r="U497" s="9">
        <f>IF(C497&lt;&gt;0,C497-Gear!$C$16,0)</f>
        <v>0</v>
      </c>
    </row>
    <row r="498" spans="20:21" x14ac:dyDescent="0.25">
      <c r="T498" s="9">
        <f>IF(C498&lt;&gt;0,C498-Gear!$C$16,0)</f>
        <v>0</v>
      </c>
      <c r="U498" s="9">
        <f>IF(C498&lt;&gt;0,C498-Gear!$C$16,0)</f>
        <v>0</v>
      </c>
    </row>
    <row r="499" spans="20:21" x14ac:dyDescent="0.25">
      <c r="T499" s="9">
        <f>IF(C499&lt;&gt;0,C499-Gear!$C$16,0)</f>
        <v>0</v>
      </c>
      <c r="U499" s="9">
        <f>IF(C499&lt;&gt;0,C499-Gear!$C$16,0)</f>
        <v>0</v>
      </c>
    </row>
    <row r="500" spans="20:21" x14ac:dyDescent="0.25">
      <c r="T500" s="9">
        <f>IF(C500&lt;&gt;0,C500-Gear!$C$16,0)</f>
        <v>0</v>
      </c>
      <c r="U500" s="9">
        <f>IF(C500&lt;&gt;0,C500-Gear!$C$16,0)</f>
        <v>0</v>
      </c>
    </row>
    <row r="501" spans="20:21" x14ac:dyDescent="0.25">
      <c r="T501" s="9">
        <f>IF(C501&lt;&gt;0,C501-Gear!$C$16,0)</f>
        <v>0</v>
      </c>
      <c r="U501" s="9">
        <f>IF(C501&lt;&gt;0,C501-Gear!$C$16,0)</f>
        <v>0</v>
      </c>
    </row>
    <row r="502" spans="20:21" x14ac:dyDescent="0.25">
      <c r="T502" s="9">
        <f>IF(C502&lt;&gt;0,C502-Gear!$C$16,0)</f>
        <v>0</v>
      </c>
      <c r="U502" s="9">
        <f>IF(C502&lt;&gt;0,C502-Gear!$C$16,0)</f>
        <v>0</v>
      </c>
    </row>
    <row r="503" spans="20:21" x14ac:dyDescent="0.25">
      <c r="T503" s="9">
        <f>IF(C503&lt;&gt;0,C503-Gear!$C$16,0)</f>
        <v>0</v>
      </c>
      <c r="U503" s="9">
        <f>IF(C503&lt;&gt;0,C503-Gear!$C$16,0)</f>
        <v>0</v>
      </c>
    </row>
    <row r="504" spans="20:21" x14ac:dyDescent="0.25">
      <c r="T504" s="9">
        <f>IF(C504&lt;&gt;0,C504-Gear!$C$16,0)</f>
        <v>0</v>
      </c>
      <c r="U504" s="9">
        <f>IF(C504&lt;&gt;0,C504-Gear!$C$16,0)</f>
        <v>0</v>
      </c>
    </row>
    <row r="505" spans="20:21" x14ac:dyDescent="0.25">
      <c r="T505" s="9">
        <f>IF(C505&lt;&gt;0,C505-Gear!$C$16,0)</f>
        <v>0</v>
      </c>
      <c r="U505" s="9">
        <f>IF(C505&lt;&gt;0,C505-Gear!$C$16,0)</f>
        <v>0</v>
      </c>
    </row>
    <row r="506" spans="20:21" x14ac:dyDescent="0.25">
      <c r="T506" s="9">
        <f>IF(C506&lt;&gt;0,C506-Gear!$C$16,0)</f>
        <v>0</v>
      </c>
      <c r="U506" s="9">
        <f>IF(C506&lt;&gt;0,C506-Gear!$C$16,0)</f>
        <v>0</v>
      </c>
    </row>
    <row r="507" spans="20:21" x14ac:dyDescent="0.25">
      <c r="T507" s="9">
        <f>IF(C507&lt;&gt;0,C507-Gear!$C$16,0)</f>
        <v>0</v>
      </c>
      <c r="U507" s="9">
        <f>IF(C507&lt;&gt;0,C507-Gear!$C$16,0)</f>
        <v>0</v>
      </c>
    </row>
    <row r="508" spans="20:21" x14ac:dyDescent="0.25">
      <c r="T508" s="9">
        <f>IF(C508&lt;&gt;0,C508-Gear!$C$16,0)</f>
        <v>0</v>
      </c>
      <c r="U508" s="9">
        <f>IF(C508&lt;&gt;0,C508-Gear!$C$16,0)</f>
        <v>0</v>
      </c>
    </row>
    <row r="509" spans="20:21" x14ac:dyDescent="0.25">
      <c r="T509" s="9">
        <f>IF(C509&lt;&gt;0,C509-Gear!$C$16,0)</f>
        <v>0</v>
      </c>
      <c r="U509" s="9">
        <f>IF(C509&lt;&gt;0,C509-Gear!$C$16,0)</f>
        <v>0</v>
      </c>
    </row>
    <row r="510" spans="20:21" x14ac:dyDescent="0.25">
      <c r="T510" s="9">
        <f>IF(C510&lt;&gt;0,C510-Gear!$C$16,0)</f>
        <v>0</v>
      </c>
      <c r="U510" s="9">
        <f>IF(C510&lt;&gt;0,C510-Gear!$C$16,0)</f>
        <v>0</v>
      </c>
    </row>
    <row r="511" spans="20:21" x14ac:dyDescent="0.25">
      <c r="T511" s="9">
        <f>IF(C511&lt;&gt;0,C511-Gear!$C$16,0)</f>
        <v>0</v>
      </c>
      <c r="U511" s="9">
        <f>IF(C511&lt;&gt;0,C511-Gear!$C$16,0)</f>
        <v>0</v>
      </c>
    </row>
    <row r="512" spans="20:21" x14ac:dyDescent="0.25">
      <c r="T512" s="9">
        <f>IF(C512&lt;&gt;0,C512-Gear!$C$16,0)</f>
        <v>0</v>
      </c>
      <c r="U512" s="9">
        <f>IF(C512&lt;&gt;0,C512-Gear!$C$16,0)</f>
        <v>0</v>
      </c>
    </row>
    <row r="513" spans="20:21" x14ac:dyDescent="0.25">
      <c r="T513" s="9">
        <f>IF(C513&lt;&gt;0,C513-Gear!$C$16,0)</f>
        <v>0</v>
      </c>
      <c r="U513" s="9">
        <f>IF(C513&lt;&gt;0,C513-Gear!$C$16,0)</f>
        <v>0</v>
      </c>
    </row>
    <row r="514" spans="20:21" x14ac:dyDescent="0.25">
      <c r="T514" s="9">
        <f>IF(C514&lt;&gt;0,C514-Gear!$C$16,0)</f>
        <v>0</v>
      </c>
      <c r="U514" s="9">
        <f>IF(C514&lt;&gt;0,C514-Gear!$C$16,0)</f>
        <v>0</v>
      </c>
    </row>
    <row r="515" spans="20:21" x14ac:dyDescent="0.25">
      <c r="T515" s="9">
        <f>IF(C515&lt;&gt;0,C515-Gear!$C$16,0)</f>
        <v>0</v>
      </c>
      <c r="U515" s="9">
        <f>IF(C515&lt;&gt;0,C515-Gear!$C$16,0)</f>
        <v>0</v>
      </c>
    </row>
    <row r="516" spans="20:21" x14ac:dyDescent="0.25">
      <c r="T516" s="9">
        <f>IF(C516&lt;&gt;0,C516-Gear!$C$16,0)</f>
        <v>0</v>
      </c>
      <c r="U516" s="9">
        <f>IF(C516&lt;&gt;0,C516-Gear!$C$16,0)</f>
        <v>0</v>
      </c>
    </row>
    <row r="517" spans="20:21" x14ac:dyDescent="0.25">
      <c r="T517" s="9">
        <f>IF(C517&lt;&gt;0,C517-Gear!$C$16,0)</f>
        <v>0</v>
      </c>
      <c r="U517" s="9">
        <f>IF(C517&lt;&gt;0,C517-Gear!$C$16,0)</f>
        <v>0</v>
      </c>
    </row>
    <row r="518" spans="20:21" x14ac:dyDescent="0.25">
      <c r="T518" s="9">
        <f>IF(C518&lt;&gt;0,C518-Gear!$C$16,0)</f>
        <v>0</v>
      </c>
      <c r="U518" s="9">
        <f>IF(C518&lt;&gt;0,C518-Gear!$C$16,0)</f>
        <v>0</v>
      </c>
    </row>
    <row r="519" spans="20:21" x14ac:dyDescent="0.25">
      <c r="T519" s="9">
        <f>IF(C519&lt;&gt;0,C519-Gear!$C$16,0)</f>
        <v>0</v>
      </c>
      <c r="U519" s="9">
        <f>IF(C519&lt;&gt;0,C519-Gear!$C$16,0)</f>
        <v>0</v>
      </c>
    </row>
    <row r="520" spans="20:21" x14ac:dyDescent="0.25">
      <c r="T520" s="9">
        <f>IF(C520&lt;&gt;0,C520-Gear!$C$16,0)</f>
        <v>0</v>
      </c>
      <c r="U520" s="9">
        <f>IF(C520&lt;&gt;0,C520-Gear!$C$16,0)</f>
        <v>0</v>
      </c>
    </row>
    <row r="521" spans="20:21" x14ac:dyDescent="0.25">
      <c r="T521" s="9">
        <f>IF(C521&lt;&gt;0,C521-Gear!$C$16,0)</f>
        <v>0</v>
      </c>
      <c r="U521" s="9">
        <f>IF(C521&lt;&gt;0,C521-Gear!$C$16,0)</f>
        <v>0</v>
      </c>
    </row>
    <row r="522" spans="20:21" x14ac:dyDescent="0.25">
      <c r="T522" s="9">
        <f>IF(C522&lt;&gt;0,C522-Gear!$C$16,0)</f>
        <v>0</v>
      </c>
      <c r="U522" s="9">
        <f>IF(C522&lt;&gt;0,C522-Gear!$C$16,0)</f>
        <v>0</v>
      </c>
    </row>
    <row r="523" spans="20:21" x14ac:dyDescent="0.25">
      <c r="T523" s="9">
        <f>IF(C523&lt;&gt;0,C523-Gear!$C$16,0)</f>
        <v>0</v>
      </c>
      <c r="U523" s="9">
        <f>IF(C523&lt;&gt;0,C523-Gear!$C$16,0)</f>
        <v>0</v>
      </c>
    </row>
    <row r="524" spans="20:21" x14ac:dyDescent="0.25">
      <c r="T524" s="9">
        <f>IF(C524&lt;&gt;0,C524-Gear!$C$16,0)</f>
        <v>0</v>
      </c>
      <c r="U524" s="9">
        <f>IF(C524&lt;&gt;0,C524-Gear!$C$16,0)</f>
        <v>0</v>
      </c>
    </row>
    <row r="525" spans="20:21" x14ac:dyDescent="0.25">
      <c r="T525" s="9">
        <f>IF(C525&lt;&gt;0,C525-Gear!$C$16,0)</f>
        <v>0</v>
      </c>
      <c r="U525" s="9">
        <f>IF(C525&lt;&gt;0,C525-Gear!$C$16,0)</f>
        <v>0</v>
      </c>
    </row>
    <row r="526" spans="20:21" x14ac:dyDescent="0.25">
      <c r="T526" s="9">
        <f>IF(C526&lt;&gt;0,C526-Gear!$C$16,0)</f>
        <v>0</v>
      </c>
      <c r="U526" s="9">
        <f>IF(C526&lt;&gt;0,C526-Gear!$C$16,0)</f>
        <v>0</v>
      </c>
    </row>
    <row r="527" spans="20:21" x14ac:dyDescent="0.25">
      <c r="T527" s="9">
        <f>IF(C527&lt;&gt;0,C527-Gear!$C$16,0)</f>
        <v>0</v>
      </c>
      <c r="U527" s="9">
        <f>IF(C527&lt;&gt;0,C527-Gear!$C$16,0)</f>
        <v>0</v>
      </c>
    </row>
    <row r="528" spans="20:21" x14ac:dyDescent="0.25">
      <c r="T528" s="9">
        <f>IF(C528&lt;&gt;0,C528-Gear!$C$16,0)</f>
        <v>0</v>
      </c>
      <c r="U528" s="9">
        <f>IF(C528&lt;&gt;0,C528-Gear!$C$16,0)</f>
        <v>0</v>
      </c>
    </row>
    <row r="529" spans="20:21" x14ac:dyDescent="0.25">
      <c r="T529" s="9">
        <f>IF(C529&lt;&gt;0,C529-Gear!$C$16,0)</f>
        <v>0</v>
      </c>
      <c r="U529" s="9">
        <f>IF(C529&lt;&gt;0,C529-Gear!$C$16,0)</f>
        <v>0</v>
      </c>
    </row>
    <row r="530" spans="20:21" x14ac:dyDescent="0.25">
      <c r="T530" s="9">
        <f>IF(C530&lt;&gt;0,C530-Gear!$C$16,0)</f>
        <v>0</v>
      </c>
      <c r="U530" s="9">
        <f>IF(C530&lt;&gt;0,C530-Gear!$C$16,0)</f>
        <v>0</v>
      </c>
    </row>
    <row r="531" spans="20:21" x14ac:dyDescent="0.25">
      <c r="T531" s="9">
        <f>IF(C531&lt;&gt;0,C531-Gear!$C$16,0)</f>
        <v>0</v>
      </c>
      <c r="U531" s="9">
        <f>IF(C531&lt;&gt;0,C531-Gear!$C$16,0)</f>
        <v>0</v>
      </c>
    </row>
    <row r="532" spans="20:21" x14ac:dyDescent="0.25">
      <c r="T532" s="9">
        <f>IF(C532&lt;&gt;0,C532-Gear!$C$16,0)</f>
        <v>0</v>
      </c>
      <c r="U532" s="9">
        <f>IF(C532&lt;&gt;0,C532-Gear!$C$16,0)</f>
        <v>0</v>
      </c>
    </row>
    <row r="533" spans="20:21" x14ac:dyDescent="0.25">
      <c r="T533" s="9">
        <f>IF(C533&lt;&gt;0,C533-Gear!$C$16,0)</f>
        <v>0</v>
      </c>
      <c r="U533" s="9">
        <f>IF(C533&lt;&gt;0,C533-Gear!$C$16,0)</f>
        <v>0</v>
      </c>
    </row>
    <row r="534" spans="20:21" x14ac:dyDescent="0.25">
      <c r="T534" s="9">
        <f>IF(C534&lt;&gt;0,C534-Gear!$C$16,0)</f>
        <v>0</v>
      </c>
      <c r="U534" s="9">
        <f>IF(C534&lt;&gt;0,C534-Gear!$C$16,0)</f>
        <v>0</v>
      </c>
    </row>
    <row r="535" spans="20:21" x14ac:dyDescent="0.25">
      <c r="T535" s="9">
        <f>IF(C535&lt;&gt;0,C535-Gear!$C$16,0)</f>
        <v>0</v>
      </c>
      <c r="U535" s="9">
        <f>IF(C535&lt;&gt;0,C535-Gear!$C$16,0)</f>
        <v>0</v>
      </c>
    </row>
    <row r="536" spans="20:21" x14ac:dyDescent="0.25">
      <c r="T536" s="9">
        <f>IF(C536&lt;&gt;0,C536-Gear!$C$16,0)</f>
        <v>0</v>
      </c>
      <c r="U536" s="9">
        <f>IF(C536&lt;&gt;0,C536-Gear!$C$16,0)</f>
        <v>0</v>
      </c>
    </row>
    <row r="537" spans="20:21" x14ac:dyDescent="0.25">
      <c r="T537" s="9">
        <f>IF(C537&lt;&gt;0,C537-Gear!$C$16,0)</f>
        <v>0</v>
      </c>
      <c r="U537" s="9">
        <f>IF(C537&lt;&gt;0,C537-Gear!$C$16,0)</f>
        <v>0</v>
      </c>
    </row>
    <row r="538" spans="20:21" x14ac:dyDescent="0.25">
      <c r="T538" s="9">
        <f>IF(C538&lt;&gt;0,C538-Gear!$C$16,0)</f>
        <v>0</v>
      </c>
      <c r="U538" s="9">
        <f>IF(C538&lt;&gt;0,C538-Gear!$C$16,0)</f>
        <v>0</v>
      </c>
    </row>
    <row r="539" spans="20:21" x14ac:dyDescent="0.25">
      <c r="T539" s="9">
        <f>IF(C539&lt;&gt;0,C539-Gear!$C$16,0)</f>
        <v>0</v>
      </c>
      <c r="U539" s="9">
        <f>IF(C539&lt;&gt;0,C539-Gear!$C$16,0)</f>
        <v>0</v>
      </c>
    </row>
    <row r="540" spans="20:21" x14ac:dyDescent="0.25">
      <c r="T540" s="9">
        <f>IF(C540&lt;&gt;0,C540-Gear!$C$16,0)</f>
        <v>0</v>
      </c>
      <c r="U540" s="9">
        <f>IF(C540&lt;&gt;0,C540-Gear!$C$16,0)</f>
        <v>0</v>
      </c>
    </row>
    <row r="541" spans="20:21" x14ac:dyDescent="0.25">
      <c r="T541" s="9">
        <f>IF(C541&lt;&gt;0,C541-Gear!$C$16,0)</f>
        <v>0</v>
      </c>
      <c r="U541" s="9">
        <f>IF(C541&lt;&gt;0,C541-Gear!$C$16,0)</f>
        <v>0</v>
      </c>
    </row>
    <row r="542" spans="20:21" x14ac:dyDescent="0.25">
      <c r="T542" s="9">
        <f>IF(C542&lt;&gt;0,C542-Gear!$C$16,0)</f>
        <v>0</v>
      </c>
      <c r="U542" s="9">
        <f>IF(C542&lt;&gt;0,C542-Gear!$C$16,0)</f>
        <v>0</v>
      </c>
    </row>
    <row r="543" spans="20:21" x14ac:dyDescent="0.25">
      <c r="T543" s="9">
        <f>IF(C543&lt;&gt;0,C543-Gear!$C$16,0)</f>
        <v>0</v>
      </c>
      <c r="U543" s="9">
        <f>IF(C543&lt;&gt;0,C543-Gear!$C$16,0)</f>
        <v>0</v>
      </c>
    </row>
    <row r="544" spans="20:21" x14ac:dyDescent="0.25">
      <c r="T544" s="9">
        <f>IF(C544&lt;&gt;0,C544-Gear!$C$16,0)</f>
        <v>0</v>
      </c>
      <c r="U544" s="9">
        <f>IF(C544&lt;&gt;0,C544-Gear!$C$16,0)</f>
        <v>0</v>
      </c>
    </row>
    <row r="545" spans="20:21" x14ac:dyDescent="0.25">
      <c r="T545" s="9">
        <f>IF(C545&lt;&gt;0,C545-Gear!$C$16,0)</f>
        <v>0</v>
      </c>
      <c r="U545" s="9">
        <f>IF(C545&lt;&gt;0,C545-Gear!$C$16,0)</f>
        <v>0</v>
      </c>
    </row>
    <row r="546" spans="20:21" x14ac:dyDescent="0.25">
      <c r="T546" s="9">
        <f>IF(C546&lt;&gt;0,C546-Gear!$C$16,0)</f>
        <v>0</v>
      </c>
      <c r="U546" s="9">
        <f>IF(C546&lt;&gt;0,C546-Gear!$C$16,0)</f>
        <v>0</v>
      </c>
    </row>
    <row r="547" spans="20:21" x14ac:dyDescent="0.25">
      <c r="T547" s="9">
        <f>IF(C547&lt;&gt;0,C547-Gear!$C$16,0)</f>
        <v>0</v>
      </c>
      <c r="U547" s="9">
        <f>IF(C547&lt;&gt;0,C547-Gear!$C$16,0)</f>
        <v>0</v>
      </c>
    </row>
    <row r="548" spans="20:21" x14ac:dyDescent="0.25">
      <c r="T548" s="9">
        <f>IF(C548&lt;&gt;0,C548-Gear!$C$16,0)</f>
        <v>0</v>
      </c>
      <c r="U548" s="9">
        <f>IF(C548&lt;&gt;0,C548-Gear!$C$16,0)</f>
        <v>0</v>
      </c>
    </row>
    <row r="549" spans="20:21" x14ac:dyDescent="0.25">
      <c r="T549" s="9">
        <f>IF(C549&lt;&gt;0,C549-Gear!$C$16,0)</f>
        <v>0</v>
      </c>
      <c r="U549" s="9">
        <f>IF(C549&lt;&gt;0,C549-Gear!$C$16,0)</f>
        <v>0</v>
      </c>
    </row>
    <row r="550" spans="20:21" x14ac:dyDescent="0.25">
      <c r="T550" s="9">
        <f>IF(C550&lt;&gt;0,C550-Gear!$C$16,0)</f>
        <v>0</v>
      </c>
      <c r="U550" s="9">
        <f>IF(C550&lt;&gt;0,C550-Gear!$C$16,0)</f>
        <v>0</v>
      </c>
    </row>
    <row r="551" spans="20:21" x14ac:dyDescent="0.25">
      <c r="T551" s="9">
        <f>IF(C551&lt;&gt;0,C551-Gear!$C$16,0)</f>
        <v>0</v>
      </c>
      <c r="U551" s="9">
        <f>IF(C551&lt;&gt;0,C551-Gear!$C$16,0)</f>
        <v>0</v>
      </c>
    </row>
    <row r="552" spans="20:21" x14ac:dyDescent="0.25">
      <c r="T552" s="9">
        <f>IF(C552&lt;&gt;0,C552-Gear!$C$16,0)</f>
        <v>0</v>
      </c>
      <c r="U552" s="9">
        <f>IF(C552&lt;&gt;0,C552-Gear!$C$16,0)</f>
        <v>0</v>
      </c>
    </row>
    <row r="553" spans="20:21" x14ac:dyDescent="0.25">
      <c r="T553" s="9">
        <f>IF(C553&lt;&gt;0,C553-Gear!$C$16,0)</f>
        <v>0</v>
      </c>
      <c r="U553" s="9">
        <f>IF(C553&lt;&gt;0,C553-Gear!$C$16,0)</f>
        <v>0</v>
      </c>
    </row>
    <row r="554" spans="20:21" x14ac:dyDescent="0.25">
      <c r="T554" s="9">
        <f>IF(C554&lt;&gt;0,C554-Gear!$C$16,0)</f>
        <v>0</v>
      </c>
      <c r="U554" s="9">
        <f>IF(C554&lt;&gt;0,C554-Gear!$C$16,0)</f>
        <v>0</v>
      </c>
    </row>
    <row r="555" spans="20:21" x14ac:dyDescent="0.25">
      <c r="T555" s="9">
        <f>IF(C555&lt;&gt;0,C555-Gear!$C$16,0)</f>
        <v>0</v>
      </c>
      <c r="U555" s="9">
        <f>IF(C555&lt;&gt;0,C555-Gear!$C$16,0)</f>
        <v>0</v>
      </c>
    </row>
    <row r="556" spans="20:21" x14ac:dyDescent="0.25">
      <c r="T556" s="9">
        <f>IF(C556&lt;&gt;0,C556-Gear!$C$16,0)</f>
        <v>0</v>
      </c>
      <c r="U556" s="9">
        <f>IF(C556&lt;&gt;0,C556-Gear!$C$16,0)</f>
        <v>0</v>
      </c>
    </row>
    <row r="557" spans="20:21" x14ac:dyDescent="0.25">
      <c r="T557" s="9">
        <f>IF(C557&lt;&gt;0,C557-Gear!$C$16,0)</f>
        <v>0</v>
      </c>
      <c r="U557" s="9">
        <f>IF(C557&lt;&gt;0,C557-Gear!$C$16,0)</f>
        <v>0</v>
      </c>
    </row>
    <row r="558" spans="20:21" x14ac:dyDescent="0.25">
      <c r="T558" s="9">
        <f>IF(C558&lt;&gt;0,C558-Gear!$C$16,0)</f>
        <v>0</v>
      </c>
      <c r="U558" s="9">
        <f>IF(C558&lt;&gt;0,C558-Gear!$C$16,0)</f>
        <v>0</v>
      </c>
    </row>
    <row r="559" spans="20:21" x14ac:dyDescent="0.25">
      <c r="T559" s="9">
        <f>IF(C559&lt;&gt;0,C559-Gear!$C$16,0)</f>
        <v>0</v>
      </c>
      <c r="U559" s="9">
        <f>IF(C559&lt;&gt;0,C559-Gear!$C$16,0)</f>
        <v>0</v>
      </c>
    </row>
    <row r="560" spans="20:21" x14ac:dyDescent="0.25">
      <c r="T560" s="9">
        <f>IF(C560&lt;&gt;0,C560-Gear!$C$16,0)</f>
        <v>0</v>
      </c>
      <c r="U560" s="9">
        <f>IF(C560&lt;&gt;0,C560-Gear!$C$16,0)</f>
        <v>0</v>
      </c>
    </row>
    <row r="561" spans="20:21" x14ac:dyDescent="0.25">
      <c r="T561" s="9">
        <f>IF(C561&lt;&gt;0,C561-Gear!$C$16,0)</f>
        <v>0</v>
      </c>
      <c r="U561" s="9">
        <f>IF(C561&lt;&gt;0,C561-Gear!$C$16,0)</f>
        <v>0</v>
      </c>
    </row>
    <row r="562" spans="20:21" x14ac:dyDescent="0.25">
      <c r="T562" s="9">
        <f>IF(C562&lt;&gt;0,C562-Gear!$C$16,0)</f>
        <v>0</v>
      </c>
      <c r="U562" s="9">
        <f>IF(C562&lt;&gt;0,C562-Gear!$C$16,0)</f>
        <v>0</v>
      </c>
    </row>
    <row r="563" spans="20:21" x14ac:dyDescent="0.25">
      <c r="T563" s="9">
        <f>IF(C563&lt;&gt;0,C563-Gear!$C$16,0)</f>
        <v>0</v>
      </c>
      <c r="U563" s="9">
        <f>IF(C563&lt;&gt;0,C563-Gear!$C$16,0)</f>
        <v>0</v>
      </c>
    </row>
    <row r="564" spans="20:21" x14ac:dyDescent="0.25">
      <c r="T564" s="9">
        <f>IF(C564&lt;&gt;0,C564-Gear!$C$16,0)</f>
        <v>0</v>
      </c>
      <c r="U564" s="9">
        <f>IF(C564&lt;&gt;0,C564-Gear!$C$16,0)</f>
        <v>0</v>
      </c>
    </row>
  </sheetData>
  <conditionalFormatting sqref="U2:U564">
    <cfRule type="cellIs" dxfId="2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B7E67-6CD6-4B7A-B84B-CA9790C9BCB9}">
  <sheetPr codeName="Tabelle19"/>
  <dimension ref="A1:U480"/>
  <sheetViews>
    <sheetView showGridLines="0" workbookViewId="0">
      <selection activeCell="T32" sqref="T32"/>
    </sheetView>
  </sheetViews>
  <sheetFormatPr baseColWidth="10" defaultRowHeight="15" x14ac:dyDescent="0.25"/>
  <cols>
    <col min="1" max="1" width="6" style="9" bestFit="1" customWidth="1"/>
    <col min="2" max="2" width="27.85546875" style="9" bestFit="1" customWidth="1"/>
    <col min="3" max="3" width="12" style="9" bestFit="1" customWidth="1"/>
    <col min="4" max="4" width="6.1406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6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9" bestFit="1" customWidth="1"/>
    <col min="21" max="21" width="12.7109375" bestFit="1" customWidth="1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31" t="str">
        <f>Head!T1</f>
        <v>Link</v>
      </c>
      <c r="U1" s="31" t="str">
        <f>Head!U1</f>
        <v>Delta</v>
      </c>
    </row>
    <row r="2" spans="1:21" x14ac:dyDescent="0.25">
      <c r="A2" s="24">
        <f>'Item Database'!A110</f>
        <v>23319</v>
      </c>
      <c r="B2" s="9" t="str">
        <f>'Item Database'!B110</f>
        <v>Lieutenant Commander's Silk Mantle</v>
      </c>
      <c r="C2" s="12">
        <f>'Item Database'!C110</f>
        <v>8.2888991143584612</v>
      </c>
      <c r="D2" s="9" t="str">
        <f>'Item Database'!D110</f>
        <v>Shoulder</v>
      </c>
      <c r="E2" s="9">
        <f>'Item Database'!E110</f>
        <v>135</v>
      </c>
      <c r="F2" s="9">
        <f>'Item Database'!F110</f>
        <v>0</v>
      </c>
      <c r="G2" s="9">
        <f>'Item Database'!G110</f>
        <v>14</v>
      </c>
      <c r="H2" s="9">
        <f>'Item Database'!H110</f>
        <v>0</v>
      </c>
      <c r="I2" s="9">
        <f>'Item Database'!I110</f>
        <v>11</v>
      </c>
      <c r="J2" s="9">
        <f>'Item Database'!J110</f>
        <v>4</v>
      </c>
      <c r="K2" s="9">
        <f>'Item Database'!K110</f>
        <v>15</v>
      </c>
      <c r="L2" s="35">
        <f>'Item Database'!L110</f>
        <v>0.01</v>
      </c>
      <c r="M2" s="35">
        <f>'Item Database'!M110</f>
        <v>0</v>
      </c>
      <c r="N2" s="9">
        <f>'Item Database'!N110</f>
        <v>0</v>
      </c>
      <c r="O2" s="9">
        <f>'Item Database'!O110</f>
        <v>0</v>
      </c>
      <c r="P2" s="9">
        <f>'Item Database'!P110</f>
        <v>0</v>
      </c>
      <c r="Q2" s="9">
        <f>'Item Database'!Q110</f>
        <v>0</v>
      </c>
      <c r="R2" s="9">
        <f>'Item Database'!R110</f>
        <v>0</v>
      </c>
      <c r="S2" s="9">
        <f>'Item Database'!S110</f>
        <v>0</v>
      </c>
      <c r="T2" s="53" t="str">
        <f>HYPERLINK('Item Database'!T110)</f>
        <v>https://classic.wowhead.com/item=23319</v>
      </c>
      <c r="U2" s="9">
        <f>IF(C2&lt;&gt;0,C2-Gear!$C$18,0)</f>
        <v>8.2888991143584612</v>
      </c>
    </row>
    <row r="3" spans="1:21" x14ac:dyDescent="0.25">
      <c r="A3" s="24">
        <f>'Item Database'!A116</f>
        <v>20032</v>
      </c>
      <c r="B3" s="9" t="str">
        <f>'Item Database'!B116</f>
        <v>Flowing Ritual Robes</v>
      </c>
      <c r="C3" s="12">
        <f>'Item Database'!C116</f>
        <v>8.8455944334929164</v>
      </c>
      <c r="D3" s="9" t="str">
        <f>'Item Database'!D116</f>
        <v>Chest</v>
      </c>
      <c r="E3" s="9">
        <f>'Item Database'!E116</f>
        <v>100</v>
      </c>
      <c r="F3" s="9">
        <f>'Item Database'!F116</f>
        <v>0</v>
      </c>
      <c r="G3" s="9">
        <f>'Item Database'!G116</f>
        <v>15</v>
      </c>
      <c r="H3" s="9">
        <f>'Item Database'!H116</f>
        <v>0</v>
      </c>
      <c r="I3" s="9">
        <f>'Item Database'!I116</f>
        <v>23</v>
      </c>
      <c r="J3" s="9">
        <f>'Item Database'!J116</f>
        <v>24</v>
      </c>
      <c r="K3" s="9">
        <f>'Item Database'!K116</f>
        <v>22</v>
      </c>
      <c r="L3" s="35">
        <f>'Item Database'!L116</f>
        <v>0</v>
      </c>
      <c r="M3" s="35">
        <f>'Item Database'!M116</f>
        <v>0</v>
      </c>
      <c r="N3" s="9">
        <f>'Item Database'!N116</f>
        <v>0</v>
      </c>
      <c r="O3" s="9">
        <f>'Item Database'!O116</f>
        <v>0</v>
      </c>
      <c r="P3" s="9">
        <f>'Item Database'!P116</f>
        <v>0</v>
      </c>
      <c r="Q3" s="9">
        <f>'Item Database'!Q116</f>
        <v>0</v>
      </c>
      <c r="R3" s="9">
        <f>'Item Database'!R116</f>
        <v>0</v>
      </c>
      <c r="S3" s="9">
        <f>'Item Database'!S116</f>
        <v>0</v>
      </c>
      <c r="T3" s="53" t="str">
        <f>HYPERLINK('Item Database'!T116)</f>
        <v>https://classic.wowhead.com/item=20032</v>
      </c>
      <c r="U3" s="9">
        <f>IF(C3&lt;&gt;0,C3-Gear!$C$18,0)</f>
        <v>8.8455944334929164</v>
      </c>
    </row>
    <row r="4" spans="1:21" x14ac:dyDescent="0.25">
      <c r="A4" s="24">
        <f>'Item Database'!A143</f>
        <v>21415</v>
      </c>
      <c r="B4" s="9" t="str">
        <f>'Item Database'!B143</f>
        <v>Drape of Vaulted Secrets</v>
      </c>
      <c r="C4" s="12">
        <f>'Item Database'!C143</f>
        <v>6.83292029757839</v>
      </c>
      <c r="D4" s="9" t="str">
        <f>'Item Database'!D143</f>
        <v>Back</v>
      </c>
      <c r="E4" s="9">
        <f>'Item Database'!E143</f>
        <v>52</v>
      </c>
      <c r="F4" s="9">
        <f>'Item Database'!F143</f>
        <v>0</v>
      </c>
      <c r="G4" s="9">
        <f>'Item Database'!G143</f>
        <v>14</v>
      </c>
      <c r="H4" s="9">
        <f>'Item Database'!H143</f>
        <v>0</v>
      </c>
      <c r="I4" s="9">
        <f>'Item Database'!I143</f>
        <v>9</v>
      </c>
      <c r="J4" s="9">
        <f>'Item Database'!J143</f>
        <v>6</v>
      </c>
      <c r="K4" s="9">
        <f>'Item Database'!K143</f>
        <v>18</v>
      </c>
      <c r="L4" s="35">
        <f>'Item Database'!L143</f>
        <v>0</v>
      </c>
      <c r="M4" s="35">
        <f>'Item Database'!M143</f>
        <v>0</v>
      </c>
      <c r="N4" s="9">
        <f>'Item Database'!N143</f>
        <v>0</v>
      </c>
      <c r="O4" s="9">
        <f>'Item Database'!O143</f>
        <v>0</v>
      </c>
      <c r="P4" s="9">
        <f>'Item Database'!P143</f>
        <v>0</v>
      </c>
      <c r="Q4" s="9">
        <f>'Item Database'!Q143</f>
        <v>0</v>
      </c>
      <c r="R4" s="9">
        <f>'Item Database'!R143</f>
        <v>0</v>
      </c>
      <c r="S4" s="9">
        <f>'Item Database'!S143</f>
        <v>0</v>
      </c>
      <c r="T4" s="53" t="str">
        <f>HYPERLINK('Item Database'!T143)</f>
        <v>https://classic.wowhead.com/item=21415</v>
      </c>
      <c r="U4" s="9">
        <f>IF(C4&lt;&gt;0,C4-Gear!$C$18,0)</f>
        <v>6.83292029757839</v>
      </c>
    </row>
    <row r="5" spans="1:21" x14ac:dyDescent="0.25">
      <c r="A5" s="9">
        <f>'Item Database'!A149</f>
        <v>10844</v>
      </c>
      <c r="B5" s="9" t="str">
        <f>'Item Database'!B149</f>
        <v>Spire of Hakkar</v>
      </c>
      <c r="C5" s="12">
        <f>'Item Database'!C149</f>
        <v>6.4622347452388942</v>
      </c>
      <c r="D5" s="9" t="str">
        <f>'Item Database'!D149</f>
        <v>Two-Hand</v>
      </c>
      <c r="E5" s="9">
        <f>'Item Database'!E149</f>
        <v>0</v>
      </c>
      <c r="F5" s="9">
        <f>'Item Database'!F149</f>
        <v>0</v>
      </c>
      <c r="G5" s="9">
        <f>'Item Database'!G149</f>
        <v>16</v>
      </c>
      <c r="H5" s="9">
        <f>'Item Database'!H149</f>
        <v>0</v>
      </c>
      <c r="I5" s="9">
        <f>'Item Database'!I149</f>
        <v>0</v>
      </c>
      <c r="J5" s="9">
        <f>'Item Database'!J149</f>
        <v>16</v>
      </c>
      <c r="K5" s="9">
        <f>'Item Database'!K149</f>
        <v>18</v>
      </c>
      <c r="L5" s="35">
        <f>'Item Database'!L149</f>
        <v>0</v>
      </c>
      <c r="M5" s="35">
        <f>'Item Database'!M149</f>
        <v>0</v>
      </c>
      <c r="N5" s="9">
        <f>'Item Database'!N149</f>
        <v>0</v>
      </c>
      <c r="O5" s="9">
        <f>'Item Database'!O149</f>
        <v>0</v>
      </c>
      <c r="P5" s="9">
        <f>'Item Database'!P149</f>
        <v>0</v>
      </c>
      <c r="Q5" s="9">
        <f>'Item Database'!Q149</f>
        <v>0</v>
      </c>
      <c r="R5" s="9">
        <f>'Item Database'!R149</f>
        <v>0</v>
      </c>
      <c r="S5" s="9">
        <f>'Item Database'!S149</f>
        <v>0</v>
      </c>
      <c r="T5" s="53" t="str">
        <f>HYPERLINK('Item Database'!T149)</f>
        <v>https://classic.wowhead.com/item=10844</v>
      </c>
      <c r="U5" s="9">
        <f>IF(C5&lt;&gt;0,C5-Gear!$C$18,0)</f>
        <v>6.4622347452388942</v>
      </c>
    </row>
    <row r="6" spans="1:21" x14ac:dyDescent="0.25">
      <c r="A6" s="24">
        <f>'Item Database'!A160</f>
        <v>11624</v>
      </c>
      <c r="B6" s="9" t="str">
        <f>'Item Database'!B160</f>
        <v>Kentic Amice</v>
      </c>
      <c r="C6" s="12">
        <f>'Item Database'!C160</f>
        <v>5.5616172663428554</v>
      </c>
      <c r="D6" s="9" t="str">
        <f>'Item Database'!D160</f>
        <v>Shoulder</v>
      </c>
      <c r="E6" s="9">
        <f>'Item Database'!E160</f>
        <v>56</v>
      </c>
      <c r="F6" s="9">
        <f>'Item Database'!F160</f>
        <v>0</v>
      </c>
      <c r="G6" s="9">
        <f>'Item Database'!G160</f>
        <v>5</v>
      </c>
      <c r="H6" s="9">
        <f>'Item Database'!H160</f>
        <v>0</v>
      </c>
      <c r="I6" s="9">
        <f>'Item Database'!I160</f>
        <v>13</v>
      </c>
      <c r="J6" s="9">
        <f>'Item Database'!J160</f>
        <v>6</v>
      </c>
      <c r="K6" s="9">
        <f>'Item Database'!K160</f>
        <v>14</v>
      </c>
      <c r="L6" s="35">
        <f>'Item Database'!L160</f>
        <v>0</v>
      </c>
      <c r="M6" s="35">
        <f>'Item Database'!M160</f>
        <v>0</v>
      </c>
      <c r="N6" s="9">
        <f>'Item Database'!N160</f>
        <v>0</v>
      </c>
      <c r="O6" s="9">
        <f>'Item Database'!O160</f>
        <v>0</v>
      </c>
      <c r="P6" s="9">
        <f>'Item Database'!P160</f>
        <v>0</v>
      </c>
      <c r="Q6" s="9">
        <f>'Item Database'!Q160</f>
        <v>0</v>
      </c>
      <c r="R6" s="9">
        <f>'Item Database'!R160</f>
        <v>0</v>
      </c>
      <c r="S6" s="9">
        <f>'Item Database'!S160</f>
        <v>0</v>
      </c>
      <c r="T6" s="53" t="str">
        <f>HYPERLINK('Item Database'!T160)</f>
        <v>https://classic.wowhead.com/item=11624</v>
      </c>
      <c r="U6" s="9">
        <f>IF(C6&lt;&gt;0,C6-Gear!$C$18,0)</f>
        <v>5.5616172663428554</v>
      </c>
    </row>
    <row r="7" spans="1:21" x14ac:dyDescent="0.25">
      <c r="A7" s="9">
        <f>'Item Database'!A183</f>
        <v>11832</v>
      </c>
      <c r="B7" s="9" t="str">
        <f>'Item Database'!B183</f>
        <v>Burst of Knowledge</v>
      </c>
      <c r="C7" s="12">
        <f>'Item Database'!C183</f>
        <v>4.3081564968259292</v>
      </c>
      <c r="D7" s="9" t="str">
        <f>'Item Database'!D183</f>
        <v>Trinket</v>
      </c>
      <c r="E7" s="9">
        <f>'Item Database'!E183</f>
        <v>0</v>
      </c>
      <c r="F7" s="9">
        <f>'Item Database'!F183</f>
        <v>0</v>
      </c>
      <c r="G7" s="9">
        <f>'Item Database'!G183</f>
        <v>0</v>
      </c>
      <c r="H7" s="9">
        <f>'Item Database'!H183</f>
        <v>0</v>
      </c>
      <c r="I7" s="9">
        <f>'Item Database'!I183</f>
        <v>0</v>
      </c>
      <c r="J7" s="9">
        <f>'Item Database'!J183</f>
        <v>0</v>
      </c>
      <c r="K7" s="9">
        <f>'Item Database'!K183</f>
        <v>12</v>
      </c>
      <c r="L7" s="35">
        <f>'Item Database'!L183</f>
        <v>0</v>
      </c>
      <c r="M7" s="35">
        <f>'Item Database'!M183</f>
        <v>0</v>
      </c>
      <c r="N7" s="9">
        <f>'Item Database'!N183</f>
        <v>0</v>
      </c>
      <c r="O7" s="9">
        <f>'Item Database'!O183</f>
        <v>0</v>
      </c>
      <c r="P7" s="9">
        <f>'Item Database'!P183</f>
        <v>0</v>
      </c>
      <c r="Q7" s="9">
        <f>'Item Database'!Q183</f>
        <v>0</v>
      </c>
      <c r="R7" s="9">
        <f>'Item Database'!R183</f>
        <v>0</v>
      </c>
      <c r="S7" s="9">
        <f>'Item Database'!S183</f>
        <v>0</v>
      </c>
      <c r="T7" s="53" t="str">
        <f>HYPERLINK('Item Database'!T183)</f>
        <v>https://classic.wowhead.com/item=11832</v>
      </c>
      <c r="U7" s="9">
        <f>IF(C7&lt;&gt;0,C7-Gear!$C$18,0)</f>
        <v>4.3081564968259292</v>
      </c>
    </row>
    <row r="8" spans="1:21" x14ac:dyDescent="0.25">
      <c r="A8" s="9">
        <f>'Item Database'!A194</f>
        <v>17719</v>
      </c>
      <c r="B8" s="9" t="str">
        <f>'Item Database'!B194</f>
        <v>Inventor's Focal Sword</v>
      </c>
      <c r="C8" s="12">
        <f>'Item Database'!C194</f>
        <v>2.4506433737999997</v>
      </c>
      <c r="D8" s="9" t="str">
        <f>'Item Database'!D194</f>
        <v>Weapon</v>
      </c>
      <c r="E8" s="9">
        <f>'Item Database'!E194</f>
        <v>0</v>
      </c>
      <c r="F8" s="9">
        <f>'Item Database'!F194</f>
        <v>0</v>
      </c>
      <c r="G8" s="9">
        <f>'Item Database'!G194</f>
        <v>0</v>
      </c>
      <c r="H8" s="9">
        <f>'Item Database'!H194</f>
        <v>0</v>
      </c>
      <c r="I8" s="9">
        <f>'Item Database'!I194</f>
        <v>0</v>
      </c>
      <c r="J8" s="9">
        <f>'Item Database'!J194</f>
        <v>0</v>
      </c>
      <c r="K8" s="9">
        <f>'Item Database'!K194</f>
        <v>0</v>
      </c>
      <c r="L8" s="35">
        <f>'Item Database'!L194</f>
        <v>0.01</v>
      </c>
      <c r="M8" s="35">
        <f>'Item Database'!M194</f>
        <v>0</v>
      </c>
      <c r="N8" s="9">
        <f>'Item Database'!N194</f>
        <v>0</v>
      </c>
      <c r="O8" s="9">
        <f>'Item Database'!O194</f>
        <v>0</v>
      </c>
      <c r="P8" s="9">
        <f>'Item Database'!P194</f>
        <v>0</v>
      </c>
      <c r="Q8" s="9">
        <f>'Item Database'!Q194</f>
        <v>0</v>
      </c>
      <c r="R8" s="9">
        <f>'Item Database'!R194</f>
        <v>0</v>
      </c>
      <c r="S8" s="9">
        <f>'Item Database'!S194</f>
        <v>0</v>
      </c>
      <c r="T8" s="53" t="str">
        <f>HYPERLINK('Item Database'!T194)</f>
        <v>https://classic.wowhead.com/item=17719</v>
      </c>
      <c r="U8" s="9">
        <f>IF(C8&lt;&gt;0,C8-Gear!$C$18,0)</f>
        <v>2.4506433737999997</v>
      </c>
    </row>
    <row r="9" spans="1:21" x14ac:dyDescent="0.25">
      <c r="A9" s="9">
        <f>'Item Database'!A251</f>
        <v>19927</v>
      </c>
      <c r="B9" s="9" t="str">
        <f>'Item Database'!B251</f>
        <v>Mar'li's Touch</v>
      </c>
      <c r="C9" s="12">
        <f>'Item Database'!C251</f>
        <v>0.45306011952605041</v>
      </c>
      <c r="D9" s="9" t="str">
        <f>'Item Database'!D251</f>
        <v>Wand</v>
      </c>
      <c r="E9" s="9">
        <f>'Item Database'!E251</f>
        <v>0</v>
      </c>
      <c r="F9" s="9">
        <f>'Item Database'!F251</f>
        <v>0</v>
      </c>
      <c r="G9" s="9">
        <f>'Item Database'!G251</f>
        <v>5</v>
      </c>
      <c r="H9" s="9">
        <f>'Item Database'!H251</f>
        <v>0</v>
      </c>
      <c r="I9" s="9">
        <f>'Item Database'!I251</f>
        <v>11</v>
      </c>
      <c r="J9" s="9">
        <f>'Item Database'!J251</f>
        <v>6</v>
      </c>
      <c r="K9" s="9">
        <f>'Item Database'!K251</f>
        <v>0</v>
      </c>
      <c r="L9" s="35">
        <f>'Item Database'!L251</f>
        <v>0</v>
      </c>
      <c r="M9" s="35">
        <f>'Item Database'!M251</f>
        <v>0</v>
      </c>
      <c r="N9" s="9">
        <f>'Item Database'!N251</f>
        <v>0</v>
      </c>
      <c r="O9" s="9">
        <f>'Item Database'!O251</f>
        <v>0</v>
      </c>
      <c r="P9" s="9">
        <f>'Item Database'!P251</f>
        <v>0</v>
      </c>
      <c r="Q9" s="9">
        <f>'Item Database'!Q251</f>
        <v>0</v>
      </c>
      <c r="R9" s="9">
        <f>'Item Database'!R251</f>
        <v>0</v>
      </c>
      <c r="S9" s="9">
        <f>'Item Database'!S251</f>
        <v>0</v>
      </c>
      <c r="T9" s="53" t="str">
        <f>HYPERLINK('Item Database'!T251)</f>
        <v>https://classic.wowhead.com/item=19927</v>
      </c>
      <c r="U9" s="9">
        <f>IF(C9&lt;&gt;0,C9-Gear!$C$18,0)</f>
        <v>0.45306011952605041</v>
      </c>
    </row>
    <row r="10" spans="1:21" x14ac:dyDescent="0.25">
      <c r="A10" s="24">
        <f>'Item Database'!A253</f>
        <v>17077</v>
      </c>
      <c r="B10" s="9" t="str">
        <f>'Item Database'!B253</f>
        <v>Crimson Shocker</v>
      </c>
      <c r="C10" s="12">
        <f>'Item Database'!C253</f>
        <v>0.41187283593277307</v>
      </c>
      <c r="D10" s="9" t="str">
        <f>'Item Database'!D253</f>
        <v>Wand</v>
      </c>
      <c r="E10" s="9">
        <f>'Item Database'!E253</f>
        <v>0</v>
      </c>
      <c r="F10" s="9">
        <f>'Item Database'!F253</f>
        <v>0</v>
      </c>
      <c r="G10" s="9">
        <f>'Item Database'!G253</f>
        <v>0</v>
      </c>
      <c r="H10" s="9">
        <f>'Item Database'!H253</f>
        <v>0</v>
      </c>
      <c r="I10" s="9">
        <f>'Item Database'!I253</f>
        <v>10</v>
      </c>
      <c r="J10" s="9">
        <f>'Item Database'!J253</f>
        <v>0</v>
      </c>
      <c r="K10" s="9">
        <f>'Item Database'!K253</f>
        <v>0</v>
      </c>
      <c r="L10" s="35">
        <f>'Item Database'!L253</f>
        <v>0</v>
      </c>
      <c r="M10" s="35">
        <f>'Item Database'!M253</f>
        <v>0</v>
      </c>
      <c r="N10" s="9">
        <f>'Item Database'!N253</f>
        <v>0</v>
      </c>
      <c r="O10" s="9">
        <f>'Item Database'!O253</f>
        <v>10</v>
      </c>
      <c r="P10" s="9">
        <f>'Item Database'!P253</f>
        <v>0</v>
      </c>
      <c r="Q10" s="9">
        <f>'Item Database'!Q253</f>
        <v>0</v>
      </c>
      <c r="R10" s="9">
        <f>'Item Database'!R253</f>
        <v>0</v>
      </c>
      <c r="S10" s="9">
        <f>'Item Database'!S253</f>
        <v>0</v>
      </c>
      <c r="T10" s="53" t="str">
        <f>HYPERLINK('Item Database'!T253)</f>
        <v>https://classic.wowhead.com/item=17077</v>
      </c>
      <c r="U10" s="9">
        <f>IF(C10&lt;&gt;0,C10-Gear!$C$18,0)</f>
        <v>0.41187283593277307</v>
      </c>
    </row>
    <row r="11" spans="1:21" x14ac:dyDescent="0.25">
      <c r="A11" s="24">
        <f>'Item Database'!A258</f>
        <v>23009</v>
      </c>
      <c r="B11" s="9" t="str">
        <f>'Item Database'!B258</f>
        <v>Wand of the Whispering Dead</v>
      </c>
      <c r="C11" s="12">
        <f>'Item Database'!C258</f>
        <v>0.41187283593277307</v>
      </c>
      <c r="D11" s="9" t="str">
        <f>'Item Database'!D258</f>
        <v>Wand</v>
      </c>
      <c r="E11" s="9">
        <f>'Item Database'!E258</f>
        <v>0</v>
      </c>
      <c r="F11" s="9">
        <f>'Item Database'!F258</f>
        <v>0</v>
      </c>
      <c r="G11" s="9">
        <f>'Item Database'!G258</f>
        <v>0</v>
      </c>
      <c r="H11" s="9">
        <f>'Item Database'!H258</f>
        <v>0</v>
      </c>
      <c r="I11" s="9">
        <f>'Item Database'!I258</f>
        <v>10</v>
      </c>
      <c r="J11" s="9">
        <f>'Item Database'!J258</f>
        <v>9</v>
      </c>
      <c r="K11" s="9">
        <f>'Item Database'!K258</f>
        <v>0</v>
      </c>
      <c r="L11" s="35">
        <f>'Item Database'!L258</f>
        <v>0</v>
      </c>
      <c r="M11" s="35">
        <f>'Item Database'!M258</f>
        <v>0</v>
      </c>
      <c r="N11" s="9">
        <f>'Item Database'!N258</f>
        <v>0</v>
      </c>
      <c r="O11" s="9">
        <f>'Item Database'!O258</f>
        <v>0</v>
      </c>
      <c r="P11" s="9">
        <f>'Item Database'!P258</f>
        <v>0</v>
      </c>
      <c r="Q11" s="9">
        <f>'Item Database'!Q258</f>
        <v>0</v>
      </c>
      <c r="R11" s="9">
        <f>'Item Database'!R258</f>
        <v>0</v>
      </c>
      <c r="S11" s="9">
        <f>'Item Database'!S258</f>
        <v>0</v>
      </c>
      <c r="T11" s="53" t="str">
        <f>HYPERLINK('Item Database'!T258)</f>
        <v>https://classic.wowhead.com/item=23009</v>
      </c>
      <c r="U11" s="9">
        <f>IF(C11&lt;&gt;0,C11-Gear!$C$18,0)</f>
        <v>0.41187283593277307</v>
      </c>
    </row>
    <row r="12" spans="1:21" x14ac:dyDescent="0.25">
      <c r="A12" s="24">
        <f>'Item Database'!A267</f>
        <v>19435</v>
      </c>
      <c r="B12" s="9" t="str">
        <f>'Item Database'!B267</f>
        <v>Essence Gatherer</v>
      </c>
      <c r="C12" s="12">
        <f>'Item Database'!C267</f>
        <v>0.28831098515294118</v>
      </c>
      <c r="D12" s="9" t="str">
        <f>'Item Database'!D267</f>
        <v>Wand</v>
      </c>
      <c r="E12" s="9">
        <f>'Item Database'!E267</f>
        <v>0</v>
      </c>
      <c r="F12" s="9">
        <f>'Item Database'!F267</f>
        <v>0</v>
      </c>
      <c r="G12" s="9">
        <f>'Item Database'!G267</f>
        <v>5</v>
      </c>
      <c r="H12" s="9">
        <f>'Item Database'!H267</f>
        <v>0</v>
      </c>
      <c r="I12" s="9">
        <f>'Item Database'!I267</f>
        <v>7</v>
      </c>
      <c r="J12" s="9">
        <f>'Item Database'!J267</f>
        <v>0</v>
      </c>
      <c r="K12" s="9">
        <f>'Item Database'!K267</f>
        <v>0</v>
      </c>
      <c r="L12" s="35">
        <f>'Item Database'!L267</f>
        <v>0</v>
      </c>
      <c r="M12" s="35">
        <f>'Item Database'!M267</f>
        <v>0</v>
      </c>
      <c r="N12" s="9">
        <f>'Item Database'!N267</f>
        <v>5</v>
      </c>
      <c r="O12" s="9">
        <f>'Item Database'!O267</f>
        <v>0</v>
      </c>
      <c r="P12" s="9">
        <f>'Item Database'!P267</f>
        <v>0</v>
      </c>
      <c r="Q12" s="9">
        <f>'Item Database'!Q267</f>
        <v>0</v>
      </c>
      <c r="R12" s="9">
        <f>'Item Database'!R267</f>
        <v>0</v>
      </c>
      <c r="S12" s="9">
        <f>'Item Database'!S267</f>
        <v>0</v>
      </c>
      <c r="T12" s="53" t="str">
        <f>HYPERLINK('Item Database'!T267)</f>
        <v>https://classic.wowhead.com/item=19435</v>
      </c>
      <c r="U12" s="9">
        <f>IF(C12&lt;&gt;0,C12-Gear!$C$18,0)</f>
        <v>0.28831098515294118</v>
      </c>
    </row>
    <row r="13" spans="1:21" x14ac:dyDescent="0.25">
      <c r="A13" s="24">
        <f>'Item Database'!A274</f>
        <v>13534</v>
      </c>
      <c r="B13" s="9" t="str">
        <f>'Item Database'!B274</f>
        <v>Banshee Finger</v>
      </c>
      <c r="C13" s="12">
        <f>'Item Database'!C274</f>
        <v>0</v>
      </c>
      <c r="D13" s="9" t="str">
        <f>'Item Database'!D274</f>
        <v>Wand</v>
      </c>
      <c r="E13" s="9">
        <f>'Item Database'!E274</f>
        <v>0</v>
      </c>
      <c r="F13" s="9">
        <f>'Item Database'!F274</f>
        <v>0</v>
      </c>
      <c r="G13" s="9">
        <f>'Item Database'!G274</f>
        <v>0</v>
      </c>
      <c r="H13" s="9">
        <f>'Item Database'!H274</f>
        <v>0</v>
      </c>
      <c r="I13" s="9">
        <f>'Item Database'!I274</f>
        <v>0</v>
      </c>
      <c r="J13" s="9">
        <f>'Item Database'!J274</f>
        <v>0</v>
      </c>
      <c r="K13" s="9">
        <f>'Item Database'!K274</f>
        <v>0</v>
      </c>
      <c r="L13" s="35">
        <f>'Item Database'!L274</f>
        <v>0</v>
      </c>
      <c r="M13" s="35">
        <f>'Item Database'!M274</f>
        <v>0</v>
      </c>
      <c r="N13" s="9">
        <f>'Item Database'!N274</f>
        <v>0</v>
      </c>
      <c r="O13" s="9">
        <f>'Item Database'!O274</f>
        <v>0</v>
      </c>
      <c r="P13" s="9">
        <f>'Item Database'!P274</f>
        <v>10</v>
      </c>
      <c r="Q13" s="9">
        <f>'Item Database'!Q274</f>
        <v>0</v>
      </c>
      <c r="R13" s="9">
        <f>'Item Database'!R274</f>
        <v>0</v>
      </c>
      <c r="S13" s="9">
        <f>'Item Database'!S274</f>
        <v>0</v>
      </c>
      <c r="T13" s="53" t="str">
        <f>HYPERLINK('Item Database'!T274)</f>
        <v>https://classic.wowhead.com/item=13534</v>
      </c>
      <c r="U13" s="9">
        <f>IF(C13&lt;&gt;0,C13-Gear!$C$18,0)</f>
        <v>0</v>
      </c>
    </row>
    <row r="14" spans="1:21" x14ac:dyDescent="0.25">
      <c r="A14" s="24">
        <f>'Item Database'!A278</f>
        <v>18483</v>
      </c>
      <c r="B14" s="9" t="str">
        <f>'Item Database'!B278</f>
        <v>Mana Channeling Wand</v>
      </c>
      <c r="C14" s="12">
        <f>'Item Database'!C278</f>
        <v>0</v>
      </c>
      <c r="D14" s="9" t="str">
        <f>'Item Database'!D278</f>
        <v>Wand</v>
      </c>
      <c r="E14" s="9">
        <f>'Item Database'!E278</f>
        <v>0</v>
      </c>
      <c r="F14" s="9">
        <f>'Item Database'!F278</f>
        <v>0</v>
      </c>
      <c r="G14" s="9">
        <f>'Item Database'!G278</f>
        <v>0</v>
      </c>
      <c r="H14" s="9">
        <f>'Item Database'!H278</f>
        <v>0</v>
      </c>
      <c r="I14" s="9">
        <f>'Item Database'!I278</f>
        <v>0</v>
      </c>
      <c r="J14" s="9">
        <f>'Item Database'!J278</f>
        <v>0</v>
      </c>
      <c r="K14" s="9">
        <f>'Item Database'!K278</f>
        <v>0</v>
      </c>
      <c r="L14" s="35">
        <f>'Item Database'!L278</f>
        <v>0</v>
      </c>
      <c r="M14" s="35">
        <f>'Item Database'!M278</f>
        <v>0</v>
      </c>
      <c r="N14" s="9">
        <f>'Item Database'!N278</f>
        <v>4</v>
      </c>
      <c r="O14" s="9">
        <f>'Item Database'!O278</f>
        <v>0</v>
      </c>
      <c r="P14" s="9">
        <f>'Item Database'!P278</f>
        <v>0</v>
      </c>
      <c r="Q14" s="9">
        <f>'Item Database'!Q278</f>
        <v>0</v>
      </c>
      <c r="R14" s="9">
        <f>'Item Database'!R278</f>
        <v>0</v>
      </c>
      <c r="S14" s="9">
        <f>'Item Database'!S278</f>
        <v>0</v>
      </c>
      <c r="T14" s="53" t="str">
        <f>HYPERLINK('Item Database'!T278)</f>
        <v>https://classic.wowhead.com/item=18483</v>
      </c>
      <c r="U14" s="9">
        <f>IF(C14&lt;&gt;0,C14-Gear!$C$18,0)</f>
        <v>0</v>
      </c>
    </row>
    <row r="15" spans="1:21" x14ac:dyDescent="0.25">
      <c r="U15" s="9">
        <f>IF(C15&lt;&gt;0,C15-Gear!$C$18,0)</f>
        <v>0</v>
      </c>
    </row>
    <row r="16" spans="1:21" x14ac:dyDescent="0.25">
      <c r="U16" s="9">
        <f>IF(C16&lt;&gt;0,C16-Gear!$C$18,0)</f>
        <v>0</v>
      </c>
    </row>
    <row r="17" spans="20:21" x14ac:dyDescent="0.25">
      <c r="U17" s="9">
        <f>IF(C17&lt;&gt;0,C17-Gear!$C$18,0)</f>
        <v>0</v>
      </c>
    </row>
    <row r="18" spans="20:21" x14ac:dyDescent="0.25">
      <c r="U18" s="9">
        <f>IF(C18&lt;&gt;0,C18-Gear!$C$18,0)</f>
        <v>0</v>
      </c>
    </row>
    <row r="19" spans="20:21" x14ac:dyDescent="0.25">
      <c r="U19" s="9">
        <f>IF(C19&lt;&gt;0,C19-Gear!$C$18,0)</f>
        <v>0</v>
      </c>
    </row>
    <row r="20" spans="20:21" x14ac:dyDescent="0.25">
      <c r="U20" s="9">
        <f>IF(C20&lt;&gt;0,C20-Gear!$C$18,0)</f>
        <v>0</v>
      </c>
    </row>
    <row r="21" spans="20:21" x14ac:dyDescent="0.25">
      <c r="T21" s="9">
        <f>IF(C21&lt;&gt;0,C21-Gear!$C$18,0)</f>
        <v>0</v>
      </c>
      <c r="U21" s="9">
        <f>IF(C21&lt;&gt;0,C21-Gear!$C$18,0)</f>
        <v>0</v>
      </c>
    </row>
    <row r="22" spans="20:21" x14ac:dyDescent="0.25">
      <c r="T22" s="9">
        <f>IF(C22&lt;&gt;0,C22-Gear!$C$18,0)</f>
        <v>0</v>
      </c>
      <c r="U22" s="9">
        <f>IF(C22&lt;&gt;0,C22-Gear!$C$18,0)</f>
        <v>0</v>
      </c>
    </row>
    <row r="23" spans="20:21" x14ac:dyDescent="0.25">
      <c r="T23" s="9">
        <f>IF(C23&lt;&gt;0,C23-Gear!$C$18,0)</f>
        <v>0</v>
      </c>
      <c r="U23" s="9">
        <f>IF(C23&lt;&gt;0,C23-Gear!$C$18,0)</f>
        <v>0</v>
      </c>
    </row>
    <row r="24" spans="20:21" x14ac:dyDescent="0.25">
      <c r="T24" s="9">
        <f>IF(C24&lt;&gt;0,C24-Gear!$C$18,0)</f>
        <v>0</v>
      </c>
      <c r="U24" s="9">
        <f>IF(C24&lt;&gt;0,C24-Gear!$C$18,0)</f>
        <v>0</v>
      </c>
    </row>
    <row r="25" spans="20:21" x14ac:dyDescent="0.25">
      <c r="T25" s="9">
        <f>IF(C25&lt;&gt;0,C25-Gear!$C$18,0)</f>
        <v>0</v>
      </c>
      <c r="U25" s="9">
        <f>IF(C25&lt;&gt;0,C25-Gear!$C$18,0)</f>
        <v>0</v>
      </c>
    </row>
    <row r="26" spans="20:21" x14ac:dyDescent="0.25">
      <c r="T26" s="9">
        <f>IF(C26&lt;&gt;0,C26-Gear!$C$18,0)</f>
        <v>0</v>
      </c>
      <c r="U26" s="9">
        <f>IF(C26&lt;&gt;0,C26-Gear!$C$18,0)</f>
        <v>0</v>
      </c>
    </row>
    <row r="27" spans="20:21" x14ac:dyDescent="0.25">
      <c r="T27" s="9">
        <f>IF(C27&lt;&gt;0,C27-Gear!$C$18,0)</f>
        <v>0</v>
      </c>
      <c r="U27" s="9">
        <f>IF(C27&lt;&gt;0,C27-Gear!$C$18,0)</f>
        <v>0</v>
      </c>
    </row>
    <row r="28" spans="20:21" x14ac:dyDescent="0.25">
      <c r="T28" s="9">
        <f>IF(C28&lt;&gt;0,C28-Gear!$C$18,0)</f>
        <v>0</v>
      </c>
      <c r="U28" s="9">
        <f>IF(C28&lt;&gt;0,C28-Gear!$C$18,0)</f>
        <v>0</v>
      </c>
    </row>
    <row r="29" spans="20:21" x14ac:dyDescent="0.25">
      <c r="T29" s="9">
        <f>IF(C29&lt;&gt;0,C29-Gear!$C$18,0)</f>
        <v>0</v>
      </c>
      <c r="U29" s="9">
        <f>IF(C29&lt;&gt;0,C29-Gear!$C$18,0)</f>
        <v>0</v>
      </c>
    </row>
    <row r="30" spans="20:21" x14ac:dyDescent="0.25">
      <c r="T30" s="9">
        <f>IF(C30&lt;&gt;0,C30-Gear!$C$18,0)</f>
        <v>0</v>
      </c>
      <c r="U30" s="9">
        <f>IF(C30&lt;&gt;0,C30-Gear!$C$18,0)</f>
        <v>0</v>
      </c>
    </row>
    <row r="31" spans="20:21" x14ac:dyDescent="0.25">
      <c r="T31" s="9">
        <f>IF(C31&lt;&gt;0,C31-Gear!$C$18,0)</f>
        <v>0</v>
      </c>
      <c r="U31" s="9">
        <f>IF(C31&lt;&gt;0,C31-Gear!$C$18,0)</f>
        <v>0</v>
      </c>
    </row>
    <row r="32" spans="20:21" x14ac:dyDescent="0.25">
      <c r="T32" s="9">
        <f>IF(C32&lt;&gt;0,C32-Gear!$C$18,0)</f>
        <v>0</v>
      </c>
      <c r="U32" s="9">
        <f>IF(C32&lt;&gt;0,C32-Gear!$C$18,0)</f>
        <v>0</v>
      </c>
    </row>
    <row r="33" spans="20:21" x14ac:dyDescent="0.25">
      <c r="T33" s="9">
        <f>IF(C33&lt;&gt;0,C33-Gear!$C$18,0)</f>
        <v>0</v>
      </c>
      <c r="U33" s="9">
        <f>IF(C33&lt;&gt;0,C33-Gear!$C$18,0)</f>
        <v>0</v>
      </c>
    </row>
    <row r="34" spans="20:21" x14ac:dyDescent="0.25">
      <c r="T34" s="9">
        <f>IF(C34&lt;&gt;0,C34-Gear!$C$18,0)</f>
        <v>0</v>
      </c>
      <c r="U34" s="9">
        <f>IF(C34&lt;&gt;0,C34-Gear!$C$18,0)</f>
        <v>0</v>
      </c>
    </row>
    <row r="35" spans="20:21" x14ac:dyDescent="0.25">
      <c r="T35" s="9">
        <f>IF(C35&lt;&gt;0,C35-Gear!$C$18,0)</f>
        <v>0</v>
      </c>
      <c r="U35" s="9">
        <f>IF(C35&lt;&gt;0,C35-Gear!$C$18,0)</f>
        <v>0</v>
      </c>
    </row>
    <row r="36" spans="20:21" x14ac:dyDescent="0.25">
      <c r="T36" s="9">
        <f>IF(C36&lt;&gt;0,C36-Gear!$C$18,0)</f>
        <v>0</v>
      </c>
      <c r="U36" s="9">
        <f>IF(C36&lt;&gt;0,C36-Gear!$C$18,0)</f>
        <v>0</v>
      </c>
    </row>
    <row r="37" spans="20:21" x14ac:dyDescent="0.25">
      <c r="T37" s="9">
        <f>IF(C37&lt;&gt;0,C37-Gear!$C$18,0)</f>
        <v>0</v>
      </c>
      <c r="U37" s="9">
        <f>IF(C37&lt;&gt;0,C37-Gear!$C$18,0)</f>
        <v>0</v>
      </c>
    </row>
    <row r="38" spans="20:21" x14ac:dyDescent="0.25">
      <c r="T38" s="9">
        <f>IF(C38&lt;&gt;0,C38-Gear!$C$18,0)</f>
        <v>0</v>
      </c>
      <c r="U38" s="9">
        <f>IF(C38&lt;&gt;0,C38-Gear!$C$18,0)</f>
        <v>0</v>
      </c>
    </row>
    <row r="39" spans="20:21" x14ac:dyDescent="0.25">
      <c r="T39" s="9">
        <f>IF(C39&lt;&gt;0,C39-Gear!$C$18,0)</f>
        <v>0</v>
      </c>
      <c r="U39" s="9">
        <f>IF(C39&lt;&gt;0,C39-Gear!$C$18,0)</f>
        <v>0</v>
      </c>
    </row>
    <row r="40" spans="20:21" x14ac:dyDescent="0.25">
      <c r="T40" s="9">
        <f>IF(C40&lt;&gt;0,C40-Gear!$C$18,0)</f>
        <v>0</v>
      </c>
      <c r="U40" s="9">
        <f>IF(C40&lt;&gt;0,C40-Gear!$C$18,0)</f>
        <v>0</v>
      </c>
    </row>
    <row r="41" spans="20:21" x14ac:dyDescent="0.25">
      <c r="T41" s="9">
        <f>IF(C41&lt;&gt;0,C41-Gear!$C$18,0)</f>
        <v>0</v>
      </c>
      <c r="U41" s="9">
        <f>IF(C41&lt;&gt;0,C41-Gear!$C$18,0)</f>
        <v>0</v>
      </c>
    </row>
    <row r="42" spans="20:21" x14ac:dyDescent="0.25">
      <c r="T42" s="9">
        <f>IF(C42&lt;&gt;0,C42-Gear!$C$18,0)</f>
        <v>0</v>
      </c>
      <c r="U42" s="9">
        <f>IF(C42&lt;&gt;0,C42-Gear!$C$18,0)</f>
        <v>0</v>
      </c>
    </row>
    <row r="43" spans="20:21" x14ac:dyDescent="0.25">
      <c r="T43" s="9">
        <f>IF(C43&lt;&gt;0,C43-Gear!$C$18,0)</f>
        <v>0</v>
      </c>
      <c r="U43" s="9">
        <f>IF(C43&lt;&gt;0,C43-Gear!$C$18,0)</f>
        <v>0</v>
      </c>
    </row>
    <row r="44" spans="20:21" x14ac:dyDescent="0.25">
      <c r="T44" s="9">
        <f>IF(C44&lt;&gt;0,C44-Gear!$C$18,0)</f>
        <v>0</v>
      </c>
      <c r="U44" s="9">
        <f>IF(C44&lt;&gt;0,C44-Gear!$C$18,0)</f>
        <v>0</v>
      </c>
    </row>
    <row r="45" spans="20:21" x14ac:dyDescent="0.25">
      <c r="T45" s="9">
        <f>IF(C45&lt;&gt;0,C45-Gear!$C$18,0)</f>
        <v>0</v>
      </c>
      <c r="U45" s="9">
        <f>IF(C45&lt;&gt;0,C45-Gear!$C$18,0)</f>
        <v>0</v>
      </c>
    </row>
    <row r="46" spans="20:21" x14ac:dyDescent="0.25">
      <c r="T46" s="9">
        <f>IF(C46&lt;&gt;0,C46-Gear!$C$18,0)</f>
        <v>0</v>
      </c>
      <c r="U46" s="9">
        <f>IF(C46&lt;&gt;0,C46-Gear!$C$18,0)</f>
        <v>0</v>
      </c>
    </row>
    <row r="47" spans="20:21" x14ac:dyDescent="0.25">
      <c r="T47" s="9">
        <f>IF(C47&lt;&gt;0,C47-Gear!$C$18,0)</f>
        <v>0</v>
      </c>
      <c r="U47" s="9">
        <f>IF(C47&lt;&gt;0,C47-Gear!$C$18,0)</f>
        <v>0</v>
      </c>
    </row>
    <row r="48" spans="20:21" x14ac:dyDescent="0.25">
      <c r="T48" s="9">
        <f>IF(C48&lt;&gt;0,C48-Gear!$C$18,0)</f>
        <v>0</v>
      </c>
      <c r="U48" s="9">
        <f>IF(C48&lt;&gt;0,C48-Gear!$C$18,0)</f>
        <v>0</v>
      </c>
    </row>
    <row r="49" spans="20:21" x14ac:dyDescent="0.25">
      <c r="T49" s="9">
        <f>IF(C49&lt;&gt;0,C49-Gear!$C$18,0)</f>
        <v>0</v>
      </c>
      <c r="U49" s="9">
        <f>IF(C49&lt;&gt;0,C49-Gear!$C$18,0)</f>
        <v>0</v>
      </c>
    </row>
    <row r="50" spans="20:21" x14ac:dyDescent="0.25">
      <c r="T50" s="9">
        <f>IF(C50&lt;&gt;0,C50-Gear!$C$18,0)</f>
        <v>0</v>
      </c>
      <c r="U50" s="9">
        <f>IF(C50&lt;&gt;0,C50-Gear!$C$18,0)</f>
        <v>0</v>
      </c>
    </row>
    <row r="51" spans="20:21" x14ac:dyDescent="0.25">
      <c r="T51" s="9">
        <f>IF(C51&lt;&gt;0,C51-Gear!$C$18,0)</f>
        <v>0</v>
      </c>
      <c r="U51" s="9">
        <f>IF(C51&lt;&gt;0,C51-Gear!$C$18,0)</f>
        <v>0</v>
      </c>
    </row>
    <row r="52" spans="20:21" x14ac:dyDescent="0.25">
      <c r="T52" s="9">
        <f>IF(C52&lt;&gt;0,C52-Gear!$C$18,0)</f>
        <v>0</v>
      </c>
      <c r="U52" s="9">
        <f>IF(C52&lt;&gt;0,C52-Gear!$C$18,0)</f>
        <v>0</v>
      </c>
    </row>
    <row r="53" spans="20:21" x14ac:dyDescent="0.25">
      <c r="T53" s="9">
        <f>IF(C53&lt;&gt;0,C53-Gear!$C$18,0)</f>
        <v>0</v>
      </c>
      <c r="U53" s="9">
        <f>IF(C53&lt;&gt;0,C53-Gear!$C$18,0)</f>
        <v>0</v>
      </c>
    </row>
    <row r="54" spans="20:21" x14ac:dyDescent="0.25">
      <c r="T54" s="9">
        <f>IF(C54&lt;&gt;0,C54-Gear!$C$18,0)</f>
        <v>0</v>
      </c>
      <c r="U54" s="9">
        <f>IF(C54&lt;&gt;0,C54-Gear!$C$18,0)</f>
        <v>0</v>
      </c>
    </row>
    <row r="55" spans="20:21" x14ac:dyDescent="0.25">
      <c r="T55" s="9">
        <f>IF(C55&lt;&gt;0,C55-Gear!$C$18,0)</f>
        <v>0</v>
      </c>
      <c r="U55" s="9">
        <f>IF(C55&lt;&gt;0,C55-Gear!$C$18,0)</f>
        <v>0</v>
      </c>
    </row>
    <row r="56" spans="20:21" x14ac:dyDescent="0.25">
      <c r="T56" s="9">
        <f>IF(C56&lt;&gt;0,C56-Gear!$C$18,0)</f>
        <v>0</v>
      </c>
      <c r="U56" s="9">
        <f>IF(C56&lt;&gt;0,C56-Gear!$C$18,0)</f>
        <v>0</v>
      </c>
    </row>
    <row r="57" spans="20:21" x14ac:dyDescent="0.25">
      <c r="T57" s="9">
        <f>IF(C57&lt;&gt;0,C57-Gear!$C$18,0)</f>
        <v>0</v>
      </c>
      <c r="U57" s="9">
        <f>IF(C57&lt;&gt;0,C57-Gear!$C$18,0)</f>
        <v>0</v>
      </c>
    </row>
    <row r="58" spans="20:21" x14ac:dyDescent="0.25">
      <c r="T58" s="9">
        <f>IF(C58&lt;&gt;0,C58-Gear!$C$18,0)</f>
        <v>0</v>
      </c>
      <c r="U58" s="9">
        <f>IF(C58&lt;&gt;0,C58-Gear!$C$18,0)</f>
        <v>0</v>
      </c>
    </row>
    <row r="59" spans="20:21" x14ac:dyDescent="0.25">
      <c r="T59" s="9">
        <f>IF(C59&lt;&gt;0,C59-Gear!$C$18,0)</f>
        <v>0</v>
      </c>
      <c r="U59" s="9">
        <f>IF(C59&lt;&gt;0,C59-Gear!$C$18,0)</f>
        <v>0</v>
      </c>
    </row>
    <row r="60" spans="20:21" x14ac:dyDescent="0.25">
      <c r="T60" s="9">
        <f>IF(C60&lt;&gt;0,C60-Gear!$C$18,0)</f>
        <v>0</v>
      </c>
      <c r="U60" s="9">
        <f>IF(C60&lt;&gt;0,C60-Gear!$C$18,0)</f>
        <v>0</v>
      </c>
    </row>
    <row r="61" spans="20:21" x14ac:dyDescent="0.25">
      <c r="T61" s="9">
        <f>IF(C61&lt;&gt;0,C61-Gear!$C$18,0)</f>
        <v>0</v>
      </c>
      <c r="U61" s="9">
        <f>IF(C61&lt;&gt;0,C61-Gear!$C$18,0)</f>
        <v>0</v>
      </c>
    </row>
    <row r="62" spans="20:21" x14ac:dyDescent="0.25">
      <c r="T62" s="9">
        <f>IF(C62&lt;&gt;0,C62-Gear!$C$18,0)</f>
        <v>0</v>
      </c>
      <c r="U62" s="9">
        <f>IF(C62&lt;&gt;0,C62-Gear!$C$18,0)</f>
        <v>0</v>
      </c>
    </row>
    <row r="63" spans="20:21" x14ac:dyDescent="0.25">
      <c r="T63" s="9">
        <f>IF(C63&lt;&gt;0,C63-Gear!$C$18,0)</f>
        <v>0</v>
      </c>
      <c r="U63" s="9">
        <f>IF(C63&lt;&gt;0,C63-Gear!$C$18,0)</f>
        <v>0</v>
      </c>
    </row>
    <row r="64" spans="20:21" x14ac:dyDescent="0.25">
      <c r="T64" s="9">
        <f>IF(C64&lt;&gt;0,C64-Gear!$C$18,0)</f>
        <v>0</v>
      </c>
      <c r="U64" s="9">
        <f>IF(C64&lt;&gt;0,C64-Gear!$C$18,0)</f>
        <v>0</v>
      </c>
    </row>
    <row r="65" spans="20:21" x14ac:dyDescent="0.25">
      <c r="T65" s="9">
        <f>IF(C65&lt;&gt;0,C65-Gear!$C$18,0)</f>
        <v>0</v>
      </c>
      <c r="U65" s="9">
        <f>IF(C65&lt;&gt;0,C65-Gear!$C$18,0)</f>
        <v>0</v>
      </c>
    </row>
    <row r="66" spans="20:21" x14ac:dyDescent="0.25">
      <c r="T66" s="9">
        <f>IF(C66&lt;&gt;0,C66-Gear!$C$18,0)</f>
        <v>0</v>
      </c>
      <c r="U66" s="9">
        <f>IF(C66&lt;&gt;0,C66-Gear!$C$18,0)</f>
        <v>0</v>
      </c>
    </row>
    <row r="67" spans="20:21" x14ac:dyDescent="0.25">
      <c r="T67" s="9">
        <f>IF(C67&lt;&gt;0,C67-Gear!$C$18,0)</f>
        <v>0</v>
      </c>
      <c r="U67" s="9">
        <f>IF(C67&lt;&gt;0,C67-Gear!$C$18,0)</f>
        <v>0</v>
      </c>
    </row>
    <row r="68" spans="20:21" x14ac:dyDescent="0.25">
      <c r="T68" s="9">
        <f>IF(C68&lt;&gt;0,C68-Gear!$C$18,0)</f>
        <v>0</v>
      </c>
      <c r="U68" s="9">
        <f>IF(C68&lt;&gt;0,C68-Gear!$C$18,0)</f>
        <v>0</v>
      </c>
    </row>
    <row r="69" spans="20:21" x14ac:dyDescent="0.25">
      <c r="T69" s="9">
        <f>IF(C69&lt;&gt;0,C69-Gear!$C$18,0)</f>
        <v>0</v>
      </c>
      <c r="U69" s="9">
        <f>IF(C69&lt;&gt;0,C69-Gear!$C$18,0)</f>
        <v>0</v>
      </c>
    </row>
    <row r="70" spans="20:21" x14ac:dyDescent="0.25">
      <c r="T70" s="9">
        <f>IF(C70&lt;&gt;0,C70-Gear!$C$18,0)</f>
        <v>0</v>
      </c>
      <c r="U70" s="9">
        <f>IF(C70&lt;&gt;0,C70-Gear!$C$18,0)</f>
        <v>0</v>
      </c>
    </row>
    <row r="71" spans="20:21" x14ac:dyDescent="0.25">
      <c r="T71" s="9">
        <f>IF(C71&lt;&gt;0,C71-Gear!$C$18,0)</f>
        <v>0</v>
      </c>
      <c r="U71" s="9">
        <f>IF(C71&lt;&gt;0,C71-Gear!$C$18,0)</f>
        <v>0</v>
      </c>
    </row>
    <row r="72" spans="20:21" x14ac:dyDescent="0.25">
      <c r="T72" s="9">
        <f>IF(C72&lt;&gt;0,C72-Gear!$C$18,0)</f>
        <v>0</v>
      </c>
      <c r="U72" s="9">
        <f>IF(C72&lt;&gt;0,C72-Gear!$C$18,0)</f>
        <v>0</v>
      </c>
    </row>
    <row r="73" spans="20:21" x14ac:dyDescent="0.25">
      <c r="T73" s="9">
        <f>IF(C73&lt;&gt;0,C73-Gear!$C$18,0)</f>
        <v>0</v>
      </c>
      <c r="U73" s="9">
        <f>IF(C73&lt;&gt;0,C73-Gear!$C$18,0)</f>
        <v>0</v>
      </c>
    </row>
    <row r="74" spans="20:21" x14ac:dyDescent="0.25">
      <c r="T74" s="9">
        <f>IF(C74&lt;&gt;0,C74-Gear!$C$18,0)</f>
        <v>0</v>
      </c>
      <c r="U74" s="9">
        <f>IF(C74&lt;&gt;0,C74-Gear!$C$18,0)</f>
        <v>0</v>
      </c>
    </row>
    <row r="75" spans="20:21" x14ac:dyDescent="0.25">
      <c r="T75" s="9">
        <f>IF(C75&lt;&gt;0,C75-Gear!$C$18,0)</f>
        <v>0</v>
      </c>
      <c r="U75" s="9">
        <f>IF(C75&lt;&gt;0,C75-Gear!$C$18,0)</f>
        <v>0</v>
      </c>
    </row>
    <row r="76" spans="20:21" x14ac:dyDescent="0.25">
      <c r="T76" s="9">
        <f>IF(C76&lt;&gt;0,C76-Gear!$C$18,0)</f>
        <v>0</v>
      </c>
      <c r="U76" s="9">
        <f>IF(C76&lt;&gt;0,C76-Gear!$C$18,0)</f>
        <v>0</v>
      </c>
    </row>
    <row r="77" spans="20:21" x14ac:dyDescent="0.25">
      <c r="T77" s="9">
        <f>IF(C77&lt;&gt;0,C77-Gear!$C$18,0)</f>
        <v>0</v>
      </c>
      <c r="U77" s="9">
        <f>IF(C77&lt;&gt;0,C77-Gear!$C$18,0)</f>
        <v>0</v>
      </c>
    </row>
    <row r="78" spans="20:21" x14ac:dyDescent="0.25">
      <c r="T78" s="9">
        <f>IF(C78&lt;&gt;0,C78-Gear!$C$18,0)</f>
        <v>0</v>
      </c>
      <c r="U78" s="9">
        <f>IF(C78&lt;&gt;0,C78-Gear!$C$18,0)</f>
        <v>0</v>
      </c>
    </row>
    <row r="79" spans="20:21" x14ac:dyDescent="0.25">
      <c r="T79" s="9">
        <f>IF(C79&lt;&gt;0,C79-Gear!$C$18,0)</f>
        <v>0</v>
      </c>
      <c r="U79" s="9">
        <f>IF(C79&lt;&gt;0,C79-Gear!$C$18,0)</f>
        <v>0</v>
      </c>
    </row>
    <row r="80" spans="20:21" x14ac:dyDescent="0.25">
      <c r="T80" s="9">
        <f>IF(C80&lt;&gt;0,C80-Gear!$C$18,0)</f>
        <v>0</v>
      </c>
      <c r="U80" s="9">
        <f>IF(C80&lt;&gt;0,C80-Gear!$C$18,0)</f>
        <v>0</v>
      </c>
    </row>
    <row r="81" spans="20:21" x14ac:dyDescent="0.25">
      <c r="T81" s="9">
        <f>IF(C81&lt;&gt;0,C81-Gear!$C$18,0)</f>
        <v>0</v>
      </c>
      <c r="U81" s="9">
        <f>IF(C81&lt;&gt;0,C81-Gear!$C$18,0)</f>
        <v>0</v>
      </c>
    </row>
    <row r="82" spans="20:21" x14ac:dyDescent="0.25">
      <c r="T82" s="9">
        <f>IF(C82&lt;&gt;0,C82-Gear!$C$18,0)</f>
        <v>0</v>
      </c>
      <c r="U82" s="9">
        <f>IF(C82&lt;&gt;0,C82-Gear!$C$18,0)</f>
        <v>0</v>
      </c>
    </row>
    <row r="83" spans="20:21" x14ac:dyDescent="0.25">
      <c r="T83" s="9">
        <f>IF(C83&lt;&gt;0,C83-Gear!$C$18,0)</f>
        <v>0</v>
      </c>
      <c r="U83" s="9">
        <f>IF(C83&lt;&gt;0,C83-Gear!$C$18,0)</f>
        <v>0</v>
      </c>
    </row>
    <row r="84" spans="20:21" x14ac:dyDescent="0.25">
      <c r="T84" s="9">
        <f>IF(C84&lt;&gt;0,C84-Gear!$C$18,0)</f>
        <v>0</v>
      </c>
      <c r="U84" s="9">
        <f>IF(C84&lt;&gt;0,C84-Gear!$C$18,0)</f>
        <v>0</v>
      </c>
    </row>
    <row r="85" spans="20:21" x14ac:dyDescent="0.25">
      <c r="T85" s="9">
        <f>IF(C85&lt;&gt;0,C85-Gear!$C$18,0)</f>
        <v>0</v>
      </c>
      <c r="U85" s="9">
        <f>IF(C85&lt;&gt;0,C85-Gear!$C$18,0)</f>
        <v>0</v>
      </c>
    </row>
    <row r="86" spans="20:21" x14ac:dyDescent="0.25">
      <c r="T86" s="9">
        <f>IF(C86&lt;&gt;0,C86-Gear!$C$18,0)</f>
        <v>0</v>
      </c>
      <c r="U86" s="9">
        <f>IF(C86&lt;&gt;0,C86-Gear!$C$18,0)</f>
        <v>0</v>
      </c>
    </row>
    <row r="87" spans="20:21" x14ac:dyDescent="0.25">
      <c r="T87" s="9">
        <f>IF(C87&lt;&gt;0,C87-Gear!$C$18,0)</f>
        <v>0</v>
      </c>
      <c r="U87" s="9">
        <f>IF(C87&lt;&gt;0,C87-Gear!$C$18,0)</f>
        <v>0</v>
      </c>
    </row>
    <row r="88" spans="20:21" x14ac:dyDescent="0.25">
      <c r="T88" s="9">
        <f>IF(C88&lt;&gt;0,C88-Gear!$C$18,0)</f>
        <v>0</v>
      </c>
      <c r="U88" s="9">
        <f>IF(C88&lt;&gt;0,C88-Gear!$C$18,0)</f>
        <v>0</v>
      </c>
    </row>
    <row r="89" spans="20:21" x14ac:dyDescent="0.25">
      <c r="T89" s="9">
        <f>IF(C89&lt;&gt;0,C89-Gear!$C$18,0)</f>
        <v>0</v>
      </c>
      <c r="U89" s="9">
        <f>IF(C89&lt;&gt;0,C89-Gear!$C$18,0)</f>
        <v>0</v>
      </c>
    </row>
    <row r="90" spans="20:21" x14ac:dyDescent="0.25">
      <c r="T90" s="9">
        <f>IF(C90&lt;&gt;0,C90-Gear!$C$18,0)</f>
        <v>0</v>
      </c>
      <c r="U90" s="9">
        <f>IF(C90&lt;&gt;0,C90-Gear!$C$18,0)</f>
        <v>0</v>
      </c>
    </row>
    <row r="91" spans="20:21" x14ac:dyDescent="0.25">
      <c r="T91" s="9">
        <f>IF(C91&lt;&gt;0,C91-Gear!$C$18,0)</f>
        <v>0</v>
      </c>
      <c r="U91" s="9">
        <f>IF(C91&lt;&gt;0,C91-Gear!$C$18,0)</f>
        <v>0</v>
      </c>
    </row>
    <row r="92" spans="20:21" x14ac:dyDescent="0.25">
      <c r="T92" s="9">
        <f>IF(C92&lt;&gt;0,C92-Gear!$C$18,0)</f>
        <v>0</v>
      </c>
      <c r="U92" s="9">
        <f>IF(C92&lt;&gt;0,C92-Gear!$C$18,0)</f>
        <v>0</v>
      </c>
    </row>
    <row r="93" spans="20:21" x14ac:dyDescent="0.25">
      <c r="T93" s="9">
        <f>IF(C93&lt;&gt;0,C93-Gear!$C$18,0)</f>
        <v>0</v>
      </c>
      <c r="U93" s="9">
        <f>IF(C93&lt;&gt;0,C93-Gear!$C$18,0)</f>
        <v>0</v>
      </c>
    </row>
    <row r="94" spans="20:21" x14ac:dyDescent="0.25">
      <c r="T94" s="9">
        <f>IF(C94&lt;&gt;0,C94-Gear!$C$18,0)</f>
        <v>0</v>
      </c>
      <c r="U94" s="9">
        <f>IF(C94&lt;&gt;0,C94-Gear!$C$18,0)</f>
        <v>0</v>
      </c>
    </row>
    <row r="95" spans="20:21" x14ac:dyDescent="0.25">
      <c r="T95" s="9">
        <f>IF(C95&lt;&gt;0,C95-Gear!$C$18,0)</f>
        <v>0</v>
      </c>
      <c r="U95" s="9">
        <f>IF(C95&lt;&gt;0,C95-Gear!$C$18,0)</f>
        <v>0</v>
      </c>
    </row>
    <row r="96" spans="20:21" x14ac:dyDescent="0.25">
      <c r="T96" s="9">
        <f>IF(C96&lt;&gt;0,C96-Gear!$C$18,0)</f>
        <v>0</v>
      </c>
      <c r="U96" s="9">
        <f>IF(C96&lt;&gt;0,C96-Gear!$C$18,0)</f>
        <v>0</v>
      </c>
    </row>
    <row r="97" spans="20:21" x14ac:dyDescent="0.25">
      <c r="T97" s="9">
        <f>IF(C97&lt;&gt;0,C97-Gear!$C$18,0)</f>
        <v>0</v>
      </c>
      <c r="U97" s="9">
        <f>IF(C97&lt;&gt;0,C97-Gear!$C$18,0)</f>
        <v>0</v>
      </c>
    </row>
    <row r="98" spans="20:21" x14ac:dyDescent="0.25">
      <c r="T98" s="9">
        <f>IF(C98&lt;&gt;0,C98-Gear!$C$18,0)</f>
        <v>0</v>
      </c>
      <c r="U98" s="9">
        <f>IF(C98&lt;&gt;0,C98-Gear!$C$18,0)</f>
        <v>0</v>
      </c>
    </row>
    <row r="99" spans="20:21" x14ac:dyDescent="0.25">
      <c r="T99" s="9">
        <f>IF(C99&lt;&gt;0,C99-Gear!$C$18,0)</f>
        <v>0</v>
      </c>
      <c r="U99" s="9">
        <f>IF(C99&lt;&gt;0,C99-Gear!$C$18,0)</f>
        <v>0</v>
      </c>
    </row>
    <row r="100" spans="20:21" x14ac:dyDescent="0.25">
      <c r="T100" s="9">
        <f>IF(C100&lt;&gt;0,C100-Gear!$C$18,0)</f>
        <v>0</v>
      </c>
      <c r="U100" s="9">
        <f>IF(C100&lt;&gt;0,C100-Gear!$C$18,0)</f>
        <v>0</v>
      </c>
    </row>
    <row r="101" spans="20:21" x14ac:dyDescent="0.25">
      <c r="T101" s="9">
        <f>IF(C101&lt;&gt;0,C101-Gear!$C$18,0)</f>
        <v>0</v>
      </c>
      <c r="U101" s="9">
        <f>IF(C101&lt;&gt;0,C101-Gear!$C$18,0)</f>
        <v>0</v>
      </c>
    </row>
    <row r="102" spans="20:21" x14ac:dyDescent="0.25">
      <c r="T102" s="9">
        <f>IF(C102&lt;&gt;0,C102-Gear!$C$18,0)</f>
        <v>0</v>
      </c>
      <c r="U102" s="9">
        <f>IF(C102&lt;&gt;0,C102-Gear!$C$18,0)</f>
        <v>0</v>
      </c>
    </row>
    <row r="103" spans="20:21" x14ac:dyDescent="0.25">
      <c r="T103" s="9">
        <f>IF(C103&lt;&gt;0,C103-Gear!$C$18,0)</f>
        <v>0</v>
      </c>
      <c r="U103" s="9">
        <f>IF(C103&lt;&gt;0,C103-Gear!$C$18,0)</f>
        <v>0</v>
      </c>
    </row>
    <row r="104" spans="20:21" x14ac:dyDescent="0.25">
      <c r="T104" s="9">
        <f>IF(C104&lt;&gt;0,C104-Gear!$C$18,0)</f>
        <v>0</v>
      </c>
      <c r="U104" s="9">
        <f>IF(C104&lt;&gt;0,C104-Gear!$C$18,0)</f>
        <v>0</v>
      </c>
    </row>
    <row r="105" spans="20:21" x14ac:dyDescent="0.25">
      <c r="T105" s="9">
        <f>IF(C105&lt;&gt;0,C105-Gear!$C$18,0)</f>
        <v>0</v>
      </c>
      <c r="U105" s="9">
        <f>IF(C105&lt;&gt;0,C105-Gear!$C$18,0)</f>
        <v>0</v>
      </c>
    </row>
    <row r="106" spans="20:21" x14ac:dyDescent="0.25">
      <c r="T106" s="9">
        <f>IF(C106&lt;&gt;0,C106-Gear!$C$18,0)</f>
        <v>0</v>
      </c>
      <c r="U106" s="9">
        <f>IF(C106&lt;&gt;0,C106-Gear!$C$18,0)</f>
        <v>0</v>
      </c>
    </row>
    <row r="107" spans="20:21" x14ac:dyDescent="0.25">
      <c r="T107" s="9">
        <f>IF(C107&lt;&gt;0,C107-Gear!$C$18,0)</f>
        <v>0</v>
      </c>
      <c r="U107" s="9">
        <f>IF(C107&lt;&gt;0,C107-Gear!$C$18,0)</f>
        <v>0</v>
      </c>
    </row>
    <row r="108" spans="20:21" x14ac:dyDescent="0.25">
      <c r="T108" s="9">
        <f>IF(C108&lt;&gt;0,C108-Gear!$C$18,0)</f>
        <v>0</v>
      </c>
      <c r="U108" s="9">
        <f>IF(C108&lt;&gt;0,C108-Gear!$C$18,0)</f>
        <v>0</v>
      </c>
    </row>
    <row r="109" spans="20:21" x14ac:dyDescent="0.25">
      <c r="T109" s="9">
        <f>IF(C109&lt;&gt;0,C109-Gear!$C$18,0)</f>
        <v>0</v>
      </c>
      <c r="U109" s="9">
        <f>IF(C109&lt;&gt;0,C109-Gear!$C$18,0)</f>
        <v>0</v>
      </c>
    </row>
    <row r="110" spans="20:21" x14ac:dyDescent="0.25">
      <c r="T110" s="9">
        <f>IF(C110&lt;&gt;0,C110-Gear!$C$18,0)</f>
        <v>0</v>
      </c>
      <c r="U110" s="9">
        <f>IF(C110&lt;&gt;0,C110-Gear!$C$18,0)</f>
        <v>0</v>
      </c>
    </row>
    <row r="111" spans="20:21" x14ac:dyDescent="0.25">
      <c r="T111" s="9">
        <f>IF(C111&lt;&gt;0,C111-Gear!$C$18,0)</f>
        <v>0</v>
      </c>
      <c r="U111" s="9">
        <f>IF(C111&lt;&gt;0,C111-Gear!$C$18,0)</f>
        <v>0</v>
      </c>
    </row>
    <row r="112" spans="20:21" x14ac:dyDescent="0.25">
      <c r="T112" s="9">
        <f>IF(C112&lt;&gt;0,C112-Gear!$C$18,0)</f>
        <v>0</v>
      </c>
      <c r="U112" s="9">
        <f>IF(C112&lt;&gt;0,C112-Gear!$C$18,0)</f>
        <v>0</v>
      </c>
    </row>
    <row r="113" spans="20:21" x14ac:dyDescent="0.25">
      <c r="T113" s="9">
        <f>IF(C113&lt;&gt;0,C113-Gear!$C$18,0)</f>
        <v>0</v>
      </c>
      <c r="U113" s="9">
        <f>IF(C113&lt;&gt;0,C113-Gear!$C$18,0)</f>
        <v>0</v>
      </c>
    </row>
    <row r="114" spans="20:21" x14ac:dyDescent="0.25">
      <c r="T114" s="9">
        <f>IF(C114&lt;&gt;0,C114-Gear!$C$18,0)</f>
        <v>0</v>
      </c>
      <c r="U114" s="9">
        <f>IF(C114&lt;&gt;0,C114-Gear!$C$18,0)</f>
        <v>0</v>
      </c>
    </row>
    <row r="115" spans="20:21" x14ac:dyDescent="0.25">
      <c r="T115" s="9">
        <f>IF(C115&lt;&gt;0,C115-Gear!$C$18,0)</f>
        <v>0</v>
      </c>
      <c r="U115" s="9">
        <f>IF(C115&lt;&gt;0,C115-Gear!$C$18,0)</f>
        <v>0</v>
      </c>
    </row>
    <row r="116" spans="20:21" x14ac:dyDescent="0.25">
      <c r="T116" s="9">
        <f>IF(C116&lt;&gt;0,C116-Gear!$C$18,0)</f>
        <v>0</v>
      </c>
      <c r="U116" s="9">
        <f>IF(C116&lt;&gt;0,C116-Gear!$C$18,0)</f>
        <v>0</v>
      </c>
    </row>
    <row r="117" spans="20:21" x14ac:dyDescent="0.25">
      <c r="T117" s="9">
        <f>IF(C117&lt;&gt;0,C117-Gear!$C$18,0)</f>
        <v>0</v>
      </c>
      <c r="U117" s="9">
        <f>IF(C117&lt;&gt;0,C117-Gear!$C$18,0)</f>
        <v>0</v>
      </c>
    </row>
    <row r="118" spans="20:21" x14ac:dyDescent="0.25">
      <c r="T118" s="9">
        <f>IF(C118&lt;&gt;0,C118-Gear!$C$18,0)</f>
        <v>0</v>
      </c>
      <c r="U118" s="9">
        <f>IF(C118&lt;&gt;0,C118-Gear!$C$18,0)</f>
        <v>0</v>
      </c>
    </row>
    <row r="119" spans="20:21" x14ac:dyDescent="0.25">
      <c r="T119" s="9">
        <f>IF(C119&lt;&gt;0,C119-Gear!$C$18,0)</f>
        <v>0</v>
      </c>
      <c r="U119" s="9">
        <f>IF(C119&lt;&gt;0,C119-Gear!$C$18,0)</f>
        <v>0</v>
      </c>
    </row>
    <row r="120" spans="20:21" x14ac:dyDescent="0.25">
      <c r="T120" s="9">
        <f>IF(C120&lt;&gt;0,C120-Gear!$C$18,0)</f>
        <v>0</v>
      </c>
      <c r="U120" s="9">
        <f>IF(C120&lt;&gt;0,C120-Gear!$C$18,0)</f>
        <v>0</v>
      </c>
    </row>
    <row r="121" spans="20:21" x14ac:dyDescent="0.25">
      <c r="T121" s="9">
        <f>IF(C121&lt;&gt;0,C121-Gear!$C$18,0)</f>
        <v>0</v>
      </c>
      <c r="U121" s="9">
        <f>IF(C121&lt;&gt;0,C121-Gear!$C$18,0)</f>
        <v>0</v>
      </c>
    </row>
    <row r="122" spans="20:21" x14ac:dyDescent="0.25">
      <c r="T122" s="9">
        <f>IF(C122&lt;&gt;0,C122-Gear!$C$18,0)</f>
        <v>0</v>
      </c>
      <c r="U122" s="9">
        <f>IF(C122&lt;&gt;0,C122-Gear!$C$18,0)</f>
        <v>0</v>
      </c>
    </row>
    <row r="123" spans="20:21" x14ac:dyDescent="0.25">
      <c r="T123" s="9">
        <f>IF(C123&lt;&gt;0,C123-Gear!$C$18,0)</f>
        <v>0</v>
      </c>
      <c r="U123" s="9">
        <f>IF(C123&lt;&gt;0,C123-Gear!$C$18,0)</f>
        <v>0</v>
      </c>
    </row>
    <row r="124" spans="20:21" x14ac:dyDescent="0.25">
      <c r="T124" s="9">
        <f>IF(C124&lt;&gt;0,C124-Gear!$C$18,0)</f>
        <v>0</v>
      </c>
      <c r="U124" s="9">
        <f>IF(C124&lt;&gt;0,C124-Gear!$C$18,0)</f>
        <v>0</v>
      </c>
    </row>
    <row r="125" spans="20:21" x14ac:dyDescent="0.25">
      <c r="T125" s="9">
        <f>IF(C125&lt;&gt;0,C125-Gear!$C$18,0)</f>
        <v>0</v>
      </c>
      <c r="U125" s="9">
        <f>IF(C125&lt;&gt;0,C125-Gear!$C$18,0)</f>
        <v>0</v>
      </c>
    </row>
    <row r="126" spans="20:21" x14ac:dyDescent="0.25">
      <c r="T126" s="9">
        <f>IF(C126&lt;&gt;0,C126-Gear!$C$18,0)</f>
        <v>0</v>
      </c>
      <c r="U126" s="9">
        <f>IF(C126&lt;&gt;0,C126-Gear!$C$18,0)</f>
        <v>0</v>
      </c>
    </row>
    <row r="127" spans="20:21" x14ac:dyDescent="0.25">
      <c r="T127" s="9">
        <f>IF(C127&lt;&gt;0,C127-Gear!$C$18,0)</f>
        <v>0</v>
      </c>
      <c r="U127" s="9">
        <f>IF(C127&lt;&gt;0,C127-Gear!$C$18,0)</f>
        <v>0</v>
      </c>
    </row>
    <row r="128" spans="20:21" x14ac:dyDescent="0.25">
      <c r="T128" s="9">
        <f>IF(C128&lt;&gt;0,C128-Gear!$C$18,0)</f>
        <v>0</v>
      </c>
      <c r="U128" s="9">
        <f>IF(C128&lt;&gt;0,C128-Gear!$C$18,0)</f>
        <v>0</v>
      </c>
    </row>
    <row r="129" spans="20:21" x14ac:dyDescent="0.25">
      <c r="T129" s="9">
        <f>IF(C129&lt;&gt;0,C129-Gear!$C$18,0)</f>
        <v>0</v>
      </c>
      <c r="U129" s="9">
        <f>IF(C129&lt;&gt;0,C129-Gear!$C$18,0)</f>
        <v>0</v>
      </c>
    </row>
    <row r="130" spans="20:21" x14ac:dyDescent="0.25">
      <c r="T130" s="9">
        <f>IF(C130&lt;&gt;0,C130-Gear!$C$18,0)</f>
        <v>0</v>
      </c>
      <c r="U130" s="9">
        <f>IF(C130&lt;&gt;0,C130-Gear!$C$18,0)</f>
        <v>0</v>
      </c>
    </row>
    <row r="131" spans="20:21" x14ac:dyDescent="0.25">
      <c r="T131" s="9">
        <f>IF(C131&lt;&gt;0,C131-Gear!$C$18,0)</f>
        <v>0</v>
      </c>
      <c r="U131" s="9">
        <f>IF(C131&lt;&gt;0,C131-Gear!$C$18,0)</f>
        <v>0</v>
      </c>
    </row>
    <row r="132" spans="20:21" x14ac:dyDescent="0.25">
      <c r="T132" s="9">
        <f>IF(C132&lt;&gt;0,C132-Gear!$C$18,0)</f>
        <v>0</v>
      </c>
      <c r="U132" s="9">
        <f>IF(C132&lt;&gt;0,C132-Gear!$C$18,0)</f>
        <v>0</v>
      </c>
    </row>
    <row r="133" spans="20:21" x14ac:dyDescent="0.25">
      <c r="T133" s="9">
        <f>IF(C133&lt;&gt;0,C133-Gear!$C$18,0)</f>
        <v>0</v>
      </c>
      <c r="U133" s="9">
        <f>IF(C133&lt;&gt;0,C133-Gear!$C$18,0)</f>
        <v>0</v>
      </c>
    </row>
    <row r="134" spans="20:21" x14ac:dyDescent="0.25">
      <c r="T134" s="9">
        <f>IF(C134&lt;&gt;0,C134-Gear!$C$18,0)</f>
        <v>0</v>
      </c>
      <c r="U134" s="9">
        <f>IF(C134&lt;&gt;0,C134-Gear!$C$18,0)</f>
        <v>0</v>
      </c>
    </row>
    <row r="135" spans="20:21" x14ac:dyDescent="0.25">
      <c r="T135" s="9">
        <f>IF(C135&lt;&gt;0,C135-Gear!$C$18,0)</f>
        <v>0</v>
      </c>
      <c r="U135" s="9">
        <f>IF(C135&lt;&gt;0,C135-Gear!$C$18,0)</f>
        <v>0</v>
      </c>
    </row>
    <row r="136" spans="20:21" x14ac:dyDescent="0.25">
      <c r="T136" s="9">
        <f>IF(C136&lt;&gt;0,C136-Gear!$C$18,0)</f>
        <v>0</v>
      </c>
      <c r="U136" s="9">
        <f>IF(C136&lt;&gt;0,C136-Gear!$C$18,0)</f>
        <v>0</v>
      </c>
    </row>
    <row r="137" spans="20:21" x14ac:dyDescent="0.25">
      <c r="T137" s="9">
        <f>IF(C137&lt;&gt;0,C137-Gear!$C$18,0)</f>
        <v>0</v>
      </c>
      <c r="U137" s="9">
        <f>IF(C137&lt;&gt;0,C137-Gear!$C$18,0)</f>
        <v>0</v>
      </c>
    </row>
    <row r="138" spans="20:21" x14ac:dyDescent="0.25">
      <c r="T138" s="9">
        <f>IF(C138&lt;&gt;0,C138-Gear!$C$18,0)</f>
        <v>0</v>
      </c>
      <c r="U138" s="9">
        <f>IF(C138&lt;&gt;0,C138-Gear!$C$18,0)</f>
        <v>0</v>
      </c>
    </row>
    <row r="139" spans="20:21" x14ac:dyDescent="0.25">
      <c r="T139" s="9">
        <f>IF(C139&lt;&gt;0,C139-Gear!$C$18,0)</f>
        <v>0</v>
      </c>
      <c r="U139" s="9">
        <f>IF(C139&lt;&gt;0,C139-Gear!$C$18,0)</f>
        <v>0</v>
      </c>
    </row>
    <row r="140" spans="20:21" x14ac:dyDescent="0.25">
      <c r="T140" s="9">
        <f>IF(C140&lt;&gt;0,C140-Gear!$C$18,0)</f>
        <v>0</v>
      </c>
      <c r="U140" s="9">
        <f>IF(C140&lt;&gt;0,C140-Gear!$C$18,0)</f>
        <v>0</v>
      </c>
    </row>
    <row r="141" spans="20:21" x14ac:dyDescent="0.25">
      <c r="T141" s="9">
        <f>IF(C141&lt;&gt;0,C141-Gear!$C$18,0)</f>
        <v>0</v>
      </c>
      <c r="U141" s="9">
        <f>IF(C141&lt;&gt;0,C141-Gear!$C$18,0)</f>
        <v>0</v>
      </c>
    </row>
    <row r="142" spans="20:21" x14ac:dyDescent="0.25">
      <c r="T142" s="9">
        <f>IF(C142&lt;&gt;0,C142-Gear!$C$18,0)</f>
        <v>0</v>
      </c>
      <c r="U142" s="9">
        <f>IF(C142&lt;&gt;0,C142-Gear!$C$18,0)</f>
        <v>0</v>
      </c>
    </row>
    <row r="143" spans="20:21" x14ac:dyDescent="0.25">
      <c r="T143" s="9">
        <f>IF(C143&lt;&gt;0,C143-Gear!$C$18,0)</f>
        <v>0</v>
      </c>
      <c r="U143" s="9">
        <f>IF(C143&lt;&gt;0,C143-Gear!$C$18,0)</f>
        <v>0</v>
      </c>
    </row>
    <row r="144" spans="20:21" x14ac:dyDescent="0.25">
      <c r="T144" s="9">
        <f>IF(C144&lt;&gt;0,C144-Gear!$C$18,0)</f>
        <v>0</v>
      </c>
      <c r="U144" s="9">
        <f>IF(C144&lt;&gt;0,C144-Gear!$C$18,0)</f>
        <v>0</v>
      </c>
    </row>
    <row r="145" spans="20:21" x14ac:dyDescent="0.25">
      <c r="T145" s="9">
        <f>IF(C145&lt;&gt;0,C145-Gear!$C$18,0)</f>
        <v>0</v>
      </c>
      <c r="U145" s="9">
        <f>IF(C145&lt;&gt;0,C145-Gear!$C$18,0)</f>
        <v>0</v>
      </c>
    </row>
    <row r="146" spans="20:21" x14ac:dyDescent="0.25">
      <c r="T146" s="9">
        <f>IF(C146&lt;&gt;0,C146-Gear!$C$18,0)</f>
        <v>0</v>
      </c>
      <c r="U146" s="9">
        <f>IF(C146&lt;&gt;0,C146-Gear!$C$18,0)</f>
        <v>0</v>
      </c>
    </row>
    <row r="147" spans="20:21" x14ac:dyDescent="0.25">
      <c r="T147" s="9">
        <f>IF(C147&lt;&gt;0,C147-Gear!$C$18,0)</f>
        <v>0</v>
      </c>
      <c r="U147" s="9">
        <f>IF(C147&lt;&gt;0,C147-Gear!$C$18,0)</f>
        <v>0</v>
      </c>
    </row>
    <row r="148" spans="20:21" x14ac:dyDescent="0.25">
      <c r="T148" s="9">
        <f>IF(C148&lt;&gt;0,C148-Gear!$C$18,0)</f>
        <v>0</v>
      </c>
      <c r="U148" s="9">
        <f>IF(C148&lt;&gt;0,C148-Gear!$C$18,0)</f>
        <v>0</v>
      </c>
    </row>
    <row r="149" spans="20:21" x14ac:dyDescent="0.25">
      <c r="T149" s="9">
        <f>IF(C149&lt;&gt;0,C149-Gear!$C$18,0)</f>
        <v>0</v>
      </c>
      <c r="U149" s="9">
        <f>IF(C149&lt;&gt;0,C149-Gear!$C$18,0)</f>
        <v>0</v>
      </c>
    </row>
    <row r="150" spans="20:21" x14ac:dyDescent="0.25">
      <c r="T150" s="9">
        <f>IF(C150&lt;&gt;0,C150-Gear!$C$18,0)</f>
        <v>0</v>
      </c>
      <c r="U150" s="9">
        <f>IF(C150&lt;&gt;0,C150-Gear!$C$18,0)</f>
        <v>0</v>
      </c>
    </row>
    <row r="151" spans="20:21" x14ac:dyDescent="0.25">
      <c r="T151" s="9">
        <f>IF(C151&lt;&gt;0,C151-Gear!$C$18,0)</f>
        <v>0</v>
      </c>
      <c r="U151" s="9">
        <f>IF(C151&lt;&gt;0,C151-Gear!$C$18,0)</f>
        <v>0</v>
      </c>
    </row>
    <row r="152" spans="20:21" x14ac:dyDescent="0.25">
      <c r="T152" s="9">
        <f>IF(C152&lt;&gt;0,C152-Gear!$C$18,0)</f>
        <v>0</v>
      </c>
      <c r="U152" s="9">
        <f>IF(C152&lt;&gt;0,C152-Gear!$C$18,0)</f>
        <v>0</v>
      </c>
    </row>
    <row r="153" spans="20:21" x14ac:dyDescent="0.25">
      <c r="T153" s="9">
        <f>IF(C153&lt;&gt;0,C153-Gear!$C$18,0)</f>
        <v>0</v>
      </c>
      <c r="U153" s="9">
        <f>IF(C153&lt;&gt;0,C153-Gear!$C$18,0)</f>
        <v>0</v>
      </c>
    </row>
    <row r="154" spans="20:21" x14ac:dyDescent="0.25">
      <c r="T154" s="9">
        <f>IF(C154&lt;&gt;0,C154-Gear!$C$18,0)</f>
        <v>0</v>
      </c>
      <c r="U154" s="9">
        <f>IF(C154&lt;&gt;0,C154-Gear!$C$18,0)</f>
        <v>0</v>
      </c>
    </row>
    <row r="155" spans="20:21" x14ac:dyDescent="0.25">
      <c r="T155" s="9">
        <f>IF(C155&lt;&gt;0,C155-Gear!$C$18,0)</f>
        <v>0</v>
      </c>
      <c r="U155" s="9">
        <f>IF(C155&lt;&gt;0,C155-Gear!$C$18,0)</f>
        <v>0</v>
      </c>
    </row>
    <row r="156" spans="20:21" x14ac:dyDescent="0.25">
      <c r="T156" s="9">
        <f>IF(C156&lt;&gt;0,C156-Gear!$C$18,0)</f>
        <v>0</v>
      </c>
      <c r="U156" s="9">
        <f>IF(C156&lt;&gt;0,C156-Gear!$C$18,0)</f>
        <v>0</v>
      </c>
    </row>
    <row r="157" spans="20:21" x14ac:dyDescent="0.25">
      <c r="T157" s="9">
        <f>IF(C157&lt;&gt;0,C157-Gear!$C$18,0)</f>
        <v>0</v>
      </c>
      <c r="U157" s="9">
        <f>IF(C157&lt;&gt;0,C157-Gear!$C$18,0)</f>
        <v>0</v>
      </c>
    </row>
    <row r="158" spans="20:21" x14ac:dyDescent="0.25">
      <c r="T158" s="9">
        <f>IF(C158&lt;&gt;0,C158-Gear!$C$18,0)</f>
        <v>0</v>
      </c>
      <c r="U158" s="9">
        <f>IF(C158&lt;&gt;0,C158-Gear!$C$18,0)</f>
        <v>0</v>
      </c>
    </row>
    <row r="159" spans="20:21" x14ac:dyDescent="0.25">
      <c r="T159" s="9">
        <f>IF(C159&lt;&gt;0,C159-Gear!$C$18,0)</f>
        <v>0</v>
      </c>
      <c r="U159" s="9">
        <f>IF(C159&lt;&gt;0,C159-Gear!$C$18,0)</f>
        <v>0</v>
      </c>
    </row>
    <row r="160" spans="20:21" x14ac:dyDescent="0.25">
      <c r="T160" s="9">
        <f>IF(C160&lt;&gt;0,C160-Gear!$C$18,0)</f>
        <v>0</v>
      </c>
      <c r="U160" s="9">
        <f>IF(C160&lt;&gt;0,C160-Gear!$C$18,0)</f>
        <v>0</v>
      </c>
    </row>
    <row r="161" spans="20:21" x14ac:dyDescent="0.25">
      <c r="T161" s="9">
        <f>IF(C161&lt;&gt;0,C161-Gear!$C$18,0)</f>
        <v>0</v>
      </c>
      <c r="U161" s="9">
        <f>IF(C161&lt;&gt;0,C161-Gear!$C$18,0)</f>
        <v>0</v>
      </c>
    </row>
    <row r="162" spans="20:21" x14ac:dyDescent="0.25">
      <c r="T162" s="9">
        <f>IF(C162&lt;&gt;0,C162-Gear!$C$18,0)</f>
        <v>0</v>
      </c>
      <c r="U162" s="9">
        <f>IF(C162&lt;&gt;0,C162-Gear!$C$18,0)</f>
        <v>0</v>
      </c>
    </row>
    <row r="163" spans="20:21" x14ac:dyDescent="0.25">
      <c r="T163" s="9">
        <f>IF(C163&lt;&gt;0,C163-Gear!$C$18,0)</f>
        <v>0</v>
      </c>
      <c r="U163" s="9">
        <f>IF(C163&lt;&gt;0,C163-Gear!$C$18,0)</f>
        <v>0</v>
      </c>
    </row>
    <row r="164" spans="20:21" x14ac:dyDescent="0.25">
      <c r="T164" s="9">
        <f>IF(C164&lt;&gt;0,C164-Gear!$C$18,0)</f>
        <v>0</v>
      </c>
      <c r="U164" s="9">
        <f>IF(C164&lt;&gt;0,C164-Gear!$C$18,0)</f>
        <v>0</v>
      </c>
    </row>
    <row r="165" spans="20:21" x14ac:dyDescent="0.25">
      <c r="T165" s="9">
        <f>IF(C165&lt;&gt;0,C165-Gear!$C$18,0)</f>
        <v>0</v>
      </c>
      <c r="U165" s="9">
        <f>IF(C165&lt;&gt;0,C165-Gear!$C$18,0)</f>
        <v>0</v>
      </c>
    </row>
    <row r="166" spans="20:21" x14ac:dyDescent="0.25">
      <c r="T166" s="9">
        <f>IF(C166&lt;&gt;0,C166-Gear!$C$18,0)</f>
        <v>0</v>
      </c>
      <c r="U166" s="9">
        <f>IF(C166&lt;&gt;0,C166-Gear!$C$18,0)</f>
        <v>0</v>
      </c>
    </row>
    <row r="167" spans="20:21" x14ac:dyDescent="0.25">
      <c r="T167" s="9">
        <f>IF(C167&lt;&gt;0,C167-Gear!$C$18,0)</f>
        <v>0</v>
      </c>
      <c r="U167" s="9">
        <f>IF(C167&lt;&gt;0,C167-Gear!$C$18,0)</f>
        <v>0</v>
      </c>
    </row>
    <row r="168" spans="20:21" x14ac:dyDescent="0.25">
      <c r="T168" s="9">
        <f>IF(C168&lt;&gt;0,C168-Gear!$C$18,0)</f>
        <v>0</v>
      </c>
      <c r="U168" s="9">
        <f>IF(C168&lt;&gt;0,C168-Gear!$C$18,0)</f>
        <v>0</v>
      </c>
    </row>
    <row r="169" spans="20:21" x14ac:dyDescent="0.25">
      <c r="T169" s="9">
        <f>IF(C169&lt;&gt;0,C169-Gear!$C$18,0)</f>
        <v>0</v>
      </c>
      <c r="U169" s="9">
        <f>IF(C169&lt;&gt;0,C169-Gear!$C$18,0)</f>
        <v>0</v>
      </c>
    </row>
    <row r="170" spans="20:21" x14ac:dyDescent="0.25">
      <c r="T170" s="9">
        <f>IF(C170&lt;&gt;0,C170-Gear!$C$18,0)</f>
        <v>0</v>
      </c>
      <c r="U170" s="9">
        <f>IF(C170&lt;&gt;0,C170-Gear!$C$18,0)</f>
        <v>0</v>
      </c>
    </row>
    <row r="171" spans="20:21" x14ac:dyDescent="0.25">
      <c r="T171" s="9">
        <f>IF(C171&lt;&gt;0,C171-Gear!$C$18,0)</f>
        <v>0</v>
      </c>
      <c r="U171" s="9">
        <f>IF(C171&lt;&gt;0,C171-Gear!$C$18,0)</f>
        <v>0</v>
      </c>
    </row>
    <row r="172" spans="20:21" x14ac:dyDescent="0.25">
      <c r="T172" s="9">
        <f>IF(C172&lt;&gt;0,C172-Gear!$C$18,0)</f>
        <v>0</v>
      </c>
      <c r="U172" s="9">
        <f>IF(C172&lt;&gt;0,C172-Gear!$C$18,0)</f>
        <v>0</v>
      </c>
    </row>
    <row r="173" spans="20:21" x14ac:dyDescent="0.25">
      <c r="T173" s="9">
        <f>IF(C173&lt;&gt;0,C173-Gear!$C$18,0)</f>
        <v>0</v>
      </c>
      <c r="U173" s="9">
        <f>IF(C173&lt;&gt;0,C173-Gear!$C$18,0)</f>
        <v>0</v>
      </c>
    </row>
    <row r="174" spans="20:21" x14ac:dyDescent="0.25">
      <c r="T174" s="9">
        <f>IF(C174&lt;&gt;0,C174-Gear!$C$18,0)</f>
        <v>0</v>
      </c>
      <c r="U174" s="9">
        <f>IF(C174&lt;&gt;0,C174-Gear!$C$18,0)</f>
        <v>0</v>
      </c>
    </row>
    <row r="175" spans="20:21" x14ac:dyDescent="0.25">
      <c r="T175" s="9">
        <f>IF(C175&lt;&gt;0,C175-Gear!$C$18,0)</f>
        <v>0</v>
      </c>
      <c r="U175" s="9">
        <f>IF(C175&lt;&gt;0,C175-Gear!$C$18,0)</f>
        <v>0</v>
      </c>
    </row>
    <row r="176" spans="20:21" x14ac:dyDescent="0.25">
      <c r="T176" s="9">
        <f>IF(C176&lt;&gt;0,C176-Gear!$C$18,0)</f>
        <v>0</v>
      </c>
      <c r="U176" s="9">
        <f>IF(C176&lt;&gt;0,C176-Gear!$C$18,0)</f>
        <v>0</v>
      </c>
    </row>
    <row r="177" spans="20:21" x14ac:dyDescent="0.25">
      <c r="T177" s="9">
        <f>IF(C177&lt;&gt;0,C177-Gear!$C$18,0)</f>
        <v>0</v>
      </c>
      <c r="U177" s="9">
        <f>IF(C177&lt;&gt;0,C177-Gear!$C$18,0)</f>
        <v>0</v>
      </c>
    </row>
    <row r="178" spans="20:21" x14ac:dyDescent="0.25">
      <c r="T178" s="9">
        <f>IF(C178&lt;&gt;0,C178-Gear!$C$18,0)</f>
        <v>0</v>
      </c>
      <c r="U178" s="9">
        <f>IF(C178&lt;&gt;0,C178-Gear!$C$18,0)</f>
        <v>0</v>
      </c>
    </row>
    <row r="179" spans="20:21" x14ac:dyDescent="0.25">
      <c r="T179" s="9">
        <f>IF(C179&lt;&gt;0,C179-Gear!$C$18,0)</f>
        <v>0</v>
      </c>
      <c r="U179" s="9">
        <f>IF(C179&lt;&gt;0,C179-Gear!$C$18,0)</f>
        <v>0</v>
      </c>
    </row>
    <row r="180" spans="20:21" x14ac:dyDescent="0.25">
      <c r="T180" s="9">
        <f>IF(C180&lt;&gt;0,C180-Gear!$C$18,0)</f>
        <v>0</v>
      </c>
      <c r="U180" s="9">
        <f>IF(C180&lt;&gt;0,C180-Gear!$C$18,0)</f>
        <v>0</v>
      </c>
    </row>
    <row r="181" spans="20:21" x14ac:dyDescent="0.25">
      <c r="T181" s="9">
        <f>IF(C181&lt;&gt;0,C181-Gear!$C$18,0)</f>
        <v>0</v>
      </c>
      <c r="U181" s="9">
        <f>IF(C181&lt;&gt;0,C181-Gear!$C$18,0)</f>
        <v>0</v>
      </c>
    </row>
    <row r="182" spans="20:21" x14ac:dyDescent="0.25">
      <c r="T182" s="9">
        <f>IF(C182&lt;&gt;0,C182-Gear!$C$18,0)</f>
        <v>0</v>
      </c>
      <c r="U182" s="9">
        <f>IF(C182&lt;&gt;0,C182-Gear!$C$18,0)</f>
        <v>0</v>
      </c>
    </row>
    <row r="183" spans="20:21" x14ac:dyDescent="0.25">
      <c r="T183" s="9">
        <f>IF(C183&lt;&gt;0,C183-Gear!$C$18,0)</f>
        <v>0</v>
      </c>
      <c r="U183" s="9">
        <f>IF(C183&lt;&gt;0,C183-Gear!$C$18,0)</f>
        <v>0</v>
      </c>
    </row>
    <row r="184" spans="20:21" x14ac:dyDescent="0.25">
      <c r="T184" s="9">
        <f>IF(C184&lt;&gt;0,C184-Gear!$C$18,0)</f>
        <v>0</v>
      </c>
      <c r="U184" s="9">
        <f>IF(C184&lt;&gt;0,C184-Gear!$C$18,0)</f>
        <v>0</v>
      </c>
    </row>
    <row r="185" spans="20:21" x14ac:dyDescent="0.25">
      <c r="T185" s="9">
        <f>IF(C185&lt;&gt;0,C185-Gear!$C$18,0)</f>
        <v>0</v>
      </c>
      <c r="U185" s="9">
        <f>IF(C185&lt;&gt;0,C185-Gear!$C$18,0)</f>
        <v>0</v>
      </c>
    </row>
    <row r="186" spans="20:21" x14ac:dyDescent="0.25">
      <c r="T186" s="9">
        <f>IF(C186&lt;&gt;0,C186-Gear!$C$18,0)</f>
        <v>0</v>
      </c>
      <c r="U186" s="9">
        <f>IF(C186&lt;&gt;0,C186-Gear!$C$18,0)</f>
        <v>0</v>
      </c>
    </row>
    <row r="187" spans="20:21" x14ac:dyDescent="0.25">
      <c r="T187" s="9">
        <f>IF(C187&lt;&gt;0,C187-Gear!$C$18,0)</f>
        <v>0</v>
      </c>
      <c r="U187" s="9">
        <f>IF(C187&lt;&gt;0,C187-Gear!$C$18,0)</f>
        <v>0</v>
      </c>
    </row>
    <row r="188" spans="20:21" x14ac:dyDescent="0.25">
      <c r="T188" s="9">
        <f>IF(C188&lt;&gt;0,C188-Gear!$C$18,0)</f>
        <v>0</v>
      </c>
      <c r="U188" s="9">
        <f>IF(C188&lt;&gt;0,C188-Gear!$C$18,0)</f>
        <v>0</v>
      </c>
    </row>
    <row r="189" spans="20:21" x14ac:dyDescent="0.25">
      <c r="T189" s="9">
        <f>IF(C189&lt;&gt;0,C189-Gear!$C$18,0)</f>
        <v>0</v>
      </c>
      <c r="U189" s="9">
        <f>IF(C189&lt;&gt;0,C189-Gear!$C$18,0)</f>
        <v>0</v>
      </c>
    </row>
    <row r="190" spans="20:21" x14ac:dyDescent="0.25">
      <c r="T190" s="9">
        <f>IF(C190&lt;&gt;0,C190-Gear!$C$18,0)</f>
        <v>0</v>
      </c>
      <c r="U190" s="9">
        <f>IF(C190&lt;&gt;0,C190-Gear!$C$18,0)</f>
        <v>0</v>
      </c>
    </row>
    <row r="191" spans="20:21" x14ac:dyDescent="0.25">
      <c r="T191" s="9">
        <f>IF(C191&lt;&gt;0,C191-Gear!$C$18,0)</f>
        <v>0</v>
      </c>
      <c r="U191" s="9">
        <f>IF(C191&lt;&gt;0,C191-Gear!$C$18,0)</f>
        <v>0</v>
      </c>
    </row>
    <row r="192" spans="20:21" x14ac:dyDescent="0.25">
      <c r="T192" s="9">
        <f>IF(C192&lt;&gt;0,C192-Gear!$C$18,0)</f>
        <v>0</v>
      </c>
      <c r="U192" s="9">
        <f>IF(C192&lt;&gt;0,C192-Gear!$C$18,0)</f>
        <v>0</v>
      </c>
    </row>
    <row r="193" spans="20:21" x14ac:dyDescent="0.25">
      <c r="T193" s="9">
        <f>IF(C193&lt;&gt;0,C193-Gear!$C$18,0)</f>
        <v>0</v>
      </c>
      <c r="U193" s="9">
        <f>IF(C193&lt;&gt;0,C193-Gear!$C$18,0)</f>
        <v>0</v>
      </c>
    </row>
    <row r="194" spans="20:21" x14ac:dyDescent="0.25">
      <c r="T194" s="9">
        <f>IF(C194&lt;&gt;0,C194-Gear!$C$18,0)</f>
        <v>0</v>
      </c>
      <c r="U194" s="9">
        <f>IF(C194&lt;&gt;0,C194-Gear!$C$18,0)</f>
        <v>0</v>
      </c>
    </row>
    <row r="195" spans="20:21" x14ac:dyDescent="0.25">
      <c r="T195" s="9">
        <f>IF(C195&lt;&gt;0,C195-Gear!$C$18,0)</f>
        <v>0</v>
      </c>
      <c r="U195" s="9">
        <f>IF(C195&lt;&gt;0,C195-Gear!$C$18,0)</f>
        <v>0</v>
      </c>
    </row>
    <row r="196" spans="20:21" x14ac:dyDescent="0.25">
      <c r="T196" s="9">
        <f>IF(C196&lt;&gt;0,C196-Gear!$C$18,0)</f>
        <v>0</v>
      </c>
      <c r="U196" s="9">
        <f>IF(C196&lt;&gt;0,C196-Gear!$C$18,0)</f>
        <v>0</v>
      </c>
    </row>
    <row r="197" spans="20:21" x14ac:dyDescent="0.25">
      <c r="T197" s="9">
        <f>IF(C197&lt;&gt;0,C197-Gear!$C$18,0)</f>
        <v>0</v>
      </c>
      <c r="U197" s="9">
        <f>IF(C197&lt;&gt;0,C197-Gear!$C$18,0)</f>
        <v>0</v>
      </c>
    </row>
    <row r="198" spans="20:21" x14ac:dyDescent="0.25">
      <c r="T198" s="9">
        <f>IF(C198&lt;&gt;0,C198-Gear!$C$18,0)</f>
        <v>0</v>
      </c>
      <c r="U198" s="9">
        <f>IF(C198&lt;&gt;0,C198-Gear!$C$18,0)</f>
        <v>0</v>
      </c>
    </row>
    <row r="199" spans="20:21" x14ac:dyDescent="0.25">
      <c r="T199" s="9">
        <f>IF(C199&lt;&gt;0,C199-Gear!$C$18,0)</f>
        <v>0</v>
      </c>
      <c r="U199" s="9">
        <f>IF(C199&lt;&gt;0,C199-Gear!$C$18,0)</f>
        <v>0</v>
      </c>
    </row>
    <row r="200" spans="20:21" x14ac:dyDescent="0.25">
      <c r="T200" s="9">
        <f>IF(C200&lt;&gt;0,C200-Gear!$C$18,0)</f>
        <v>0</v>
      </c>
      <c r="U200" s="9">
        <f>IF(C200&lt;&gt;0,C200-Gear!$C$18,0)</f>
        <v>0</v>
      </c>
    </row>
    <row r="201" spans="20:21" x14ac:dyDescent="0.25">
      <c r="T201" s="9">
        <f>IF(C201&lt;&gt;0,C201-Gear!$C$18,0)</f>
        <v>0</v>
      </c>
      <c r="U201" s="9">
        <f>IF(C201&lt;&gt;0,C201-Gear!$C$18,0)</f>
        <v>0</v>
      </c>
    </row>
    <row r="202" spans="20:21" x14ac:dyDescent="0.25">
      <c r="T202" s="9">
        <f>IF(C202&lt;&gt;0,C202-Gear!$C$18,0)</f>
        <v>0</v>
      </c>
      <c r="U202" s="9">
        <f>IF(C202&lt;&gt;0,C202-Gear!$C$18,0)</f>
        <v>0</v>
      </c>
    </row>
    <row r="203" spans="20:21" x14ac:dyDescent="0.25">
      <c r="T203" s="9">
        <f>IF(C203&lt;&gt;0,C203-Gear!$C$18,0)</f>
        <v>0</v>
      </c>
      <c r="U203" s="9">
        <f>IF(C203&lt;&gt;0,C203-Gear!$C$18,0)</f>
        <v>0</v>
      </c>
    </row>
    <row r="204" spans="20:21" x14ac:dyDescent="0.25">
      <c r="T204" s="9">
        <f>IF(C204&lt;&gt;0,C204-Gear!$C$18,0)</f>
        <v>0</v>
      </c>
      <c r="U204" s="9">
        <f>IF(C204&lt;&gt;0,C204-Gear!$C$18,0)</f>
        <v>0</v>
      </c>
    </row>
    <row r="205" spans="20:21" x14ac:dyDescent="0.25">
      <c r="T205" s="9">
        <f>IF(C205&lt;&gt;0,C205-Gear!$C$18,0)</f>
        <v>0</v>
      </c>
      <c r="U205" s="9">
        <f>IF(C205&lt;&gt;0,C205-Gear!$C$18,0)</f>
        <v>0</v>
      </c>
    </row>
    <row r="206" spans="20:21" x14ac:dyDescent="0.25">
      <c r="T206" s="9">
        <f>IF(C206&lt;&gt;0,C206-Gear!$C$18,0)</f>
        <v>0</v>
      </c>
      <c r="U206" s="9">
        <f>IF(C206&lt;&gt;0,C206-Gear!$C$18,0)</f>
        <v>0</v>
      </c>
    </row>
    <row r="207" spans="20:21" x14ac:dyDescent="0.25">
      <c r="T207" s="9">
        <f>IF(C207&lt;&gt;0,C207-Gear!$C$18,0)</f>
        <v>0</v>
      </c>
      <c r="U207" s="9">
        <f>IF(C207&lt;&gt;0,C207-Gear!$C$18,0)</f>
        <v>0</v>
      </c>
    </row>
    <row r="208" spans="20:21" x14ac:dyDescent="0.25">
      <c r="T208" s="9">
        <f>IF(C208&lt;&gt;0,C208-Gear!$C$18,0)</f>
        <v>0</v>
      </c>
      <c r="U208" s="9">
        <f>IF(C208&lt;&gt;0,C208-Gear!$C$18,0)</f>
        <v>0</v>
      </c>
    </row>
    <row r="209" spans="20:21" x14ac:dyDescent="0.25">
      <c r="T209" s="9">
        <f>IF(C209&lt;&gt;0,C209-Gear!$C$18,0)</f>
        <v>0</v>
      </c>
      <c r="U209" s="9">
        <f>IF(C209&lt;&gt;0,C209-Gear!$C$18,0)</f>
        <v>0</v>
      </c>
    </row>
    <row r="210" spans="20:21" x14ac:dyDescent="0.25">
      <c r="T210" s="9">
        <f>IF(C210&lt;&gt;0,C210-Gear!$C$18,0)</f>
        <v>0</v>
      </c>
      <c r="U210" s="9">
        <f>IF(C210&lt;&gt;0,C210-Gear!$C$18,0)</f>
        <v>0</v>
      </c>
    </row>
    <row r="211" spans="20:21" x14ac:dyDescent="0.25">
      <c r="T211" s="9">
        <f>IF(C211&lt;&gt;0,C211-Gear!$C$18,0)</f>
        <v>0</v>
      </c>
      <c r="U211" s="9">
        <f>IF(C211&lt;&gt;0,C211-Gear!$C$18,0)</f>
        <v>0</v>
      </c>
    </row>
    <row r="212" spans="20:21" x14ac:dyDescent="0.25">
      <c r="T212" s="9">
        <f>IF(C212&lt;&gt;0,C212-Gear!$C$18,0)</f>
        <v>0</v>
      </c>
      <c r="U212" s="9">
        <f>IF(C212&lt;&gt;0,C212-Gear!$C$18,0)</f>
        <v>0</v>
      </c>
    </row>
    <row r="213" spans="20:21" x14ac:dyDescent="0.25">
      <c r="T213" s="9">
        <f>IF(C213&lt;&gt;0,C213-Gear!$C$18,0)</f>
        <v>0</v>
      </c>
      <c r="U213" s="9">
        <f>IF(C213&lt;&gt;0,C213-Gear!$C$18,0)</f>
        <v>0</v>
      </c>
    </row>
    <row r="214" spans="20:21" x14ac:dyDescent="0.25">
      <c r="T214" s="9">
        <f>IF(C214&lt;&gt;0,C214-Gear!$C$18,0)</f>
        <v>0</v>
      </c>
      <c r="U214" s="9">
        <f>IF(C214&lt;&gt;0,C214-Gear!$C$18,0)</f>
        <v>0</v>
      </c>
    </row>
    <row r="215" spans="20:21" x14ac:dyDescent="0.25">
      <c r="T215" s="9">
        <f>IF(C215&lt;&gt;0,C215-Gear!$C$18,0)</f>
        <v>0</v>
      </c>
      <c r="U215" s="9">
        <f>IF(C215&lt;&gt;0,C215-Gear!$C$18,0)</f>
        <v>0</v>
      </c>
    </row>
    <row r="216" spans="20:21" x14ac:dyDescent="0.25">
      <c r="T216" s="9">
        <f>IF(C216&lt;&gt;0,C216-Gear!$C$18,0)</f>
        <v>0</v>
      </c>
      <c r="U216" s="9">
        <f>IF(C216&lt;&gt;0,C216-Gear!$C$18,0)</f>
        <v>0</v>
      </c>
    </row>
    <row r="217" spans="20:21" x14ac:dyDescent="0.25">
      <c r="T217" s="9">
        <f>IF(C217&lt;&gt;0,C217-Gear!$C$18,0)</f>
        <v>0</v>
      </c>
      <c r="U217" s="9">
        <f>IF(C217&lt;&gt;0,C217-Gear!$C$18,0)</f>
        <v>0</v>
      </c>
    </row>
    <row r="218" spans="20:21" x14ac:dyDescent="0.25">
      <c r="T218" s="9">
        <f>IF(C218&lt;&gt;0,C218-Gear!$C$18,0)</f>
        <v>0</v>
      </c>
      <c r="U218" s="9">
        <f>IF(C218&lt;&gt;0,C218-Gear!$C$18,0)</f>
        <v>0</v>
      </c>
    </row>
    <row r="219" spans="20:21" x14ac:dyDescent="0.25">
      <c r="T219" s="9">
        <f>IF(C219&lt;&gt;0,C219-Gear!$C$18,0)</f>
        <v>0</v>
      </c>
      <c r="U219" s="9">
        <f>IF(C219&lt;&gt;0,C219-Gear!$C$18,0)</f>
        <v>0</v>
      </c>
    </row>
    <row r="220" spans="20:21" x14ac:dyDescent="0.25">
      <c r="T220" s="9">
        <f>IF(C220&lt;&gt;0,C220-Gear!$C$18,0)</f>
        <v>0</v>
      </c>
      <c r="U220" s="9">
        <f>IF(C220&lt;&gt;0,C220-Gear!$C$18,0)</f>
        <v>0</v>
      </c>
    </row>
    <row r="221" spans="20:21" x14ac:dyDescent="0.25">
      <c r="T221" s="9">
        <f>IF(C221&lt;&gt;0,C221-Gear!$C$18,0)</f>
        <v>0</v>
      </c>
      <c r="U221" s="9">
        <f>IF(C221&lt;&gt;0,C221-Gear!$C$18,0)</f>
        <v>0</v>
      </c>
    </row>
    <row r="222" spans="20:21" x14ac:dyDescent="0.25">
      <c r="T222" s="9">
        <f>IF(C222&lt;&gt;0,C222-Gear!$C$18,0)</f>
        <v>0</v>
      </c>
      <c r="U222" s="9">
        <f>IF(C222&lt;&gt;0,C222-Gear!$C$18,0)</f>
        <v>0</v>
      </c>
    </row>
    <row r="223" spans="20:21" x14ac:dyDescent="0.25">
      <c r="T223" s="9">
        <f>IF(C223&lt;&gt;0,C223-Gear!$C$18,0)</f>
        <v>0</v>
      </c>
      <c r="U223" s="9">
        <f>IF(C223&lt;&gt;0,C223-Gear!$C$18,0)</f>
        <v>0</v>
      </c>
    </row>
    <row r="224" spans="20:21" x14ac:dyDescent="0.25">
      <c r="T224" s="9">
        <f>IF(C224&lt;&gt;0,C224-Gear!$C$18,0)</f>
        <v>0</v>
      </c>
      <c r="U224" s="9">
        <f>IF(C224&lt;&gt;0,C224-Gear!$C$18,0)</f>
        <v>0</v>
      </c>
    </row>
    <row r="225" spans="20:21" x14ac:dyDescent="0.25">
      <c r="T225" s="9">
        <f>IF(C225&lt;&gt;0,C225-Gear!$C$18,0)</f>
        <v>0</v>
      </c>
      <c r="U225" s="9">
        <f>IF(C225&lt;&gt;0,C225-Gear!$C$18,0)</f>
        <v>0</v>
      </c>
    </row>
    <row r="226" spans="20:21" x14ac:dyDescent="0.25">
      <c r="T226" s="9">
        <f>IF(C226&lt;&gt;0,C226-Gear!$C$18,0)</f>
        <v>0</v>
      </c>
      <c r="U226" s="9">
        <f>IF(C226&lt;&gt;0,C226-Gear!$C$18,0)</f>
        <v>0</v>
      </c>
    </row>
    <row r="227" spans="20:21" x14ac:dyDescent="0.25">
      <c r="T227" s="9">
        <f>IF(C227&lt;&gt;0,C227-Gear!$C$18,0)</f>
        <v>0</v>
      </c>
      <c r="U227" s="9">
        <f>IF(C227&lt;&gt;0,C227-Gear!$C$18,0)</f>
        <v>0</v>
      </c>
    </row>
    <row r="228" spans="20:21" x14ac:dyDescent="0.25">
      <c r="T228" s="9">
        <f>IF(C228&lt;&gt;0,C228-Gear!$C$18,0)</f>
        <v>0</v>
      </c>
      <c r="U228" s="9">
        <f>IF(C228&lt;&gt;0,C228-Gear!$C$18,0)</f>
        <v>0</v>
      </c>
    </row>
    <row r="229" spans="20:21" x14ac:dyDescent="0.25">
      <c r="T229" s="9">
        <f>IF(C229&lt;&gt;0,C229-Gear!$C$18,0)</f>
        <v>0</v>
      </c>
      <c r="U229" s="9">
        <f>IF(C229&lt;&gt;0,C229-Gear!$C$18,0)</f>
        <v>0</v>
      </c>
    </row>
    <row r="230" spans="20:21" x14ac:dyDescent="0.25">
      <c r="T230" s="9">
        <f>IF(C230&lt;&gt;0,C230-Gear!$C$18,0)</f>
        <v>0</v>
      </c>
      <c r="U230" s="9">
        <f>IF(C230&lt;&gt;0,C230-Gear!$C$18,0)</f>
        <v>0</v>
      </c>
    </row>
    <row r="231" spans="20:21" x14ac:dyDescent="0.25">
      <c r="T231" s="9">
        <f>IF(C231&lt;&gt;0,C231-Gear!$C$18,0)</f>
        <v>0</v>
      </c>
      <c r="U231" s="9">
        <f>IF(C231&lt;&gt;0,C231-Gear!$C$18,0)</f>
        <v>0</v>
      </c>
    </row>
    <row r="232" spans="20:21" x14ac:dyDescent="0.25">
      <c r="T232" s="9">
        <f>IF(C232&lt;&gt;0,C232-Gear!$C$18,0)</f>
        <v>0</v>
      </c>
      <c r="U232" s="9">
        <f>IF(C232&lt;&gt;0,C232-Gear!$C$18,0)</f>
        <v>0</v>
      </c>
    </row>
    <row r="233" spans="20:21" x14ac:dyDescent="0.25">
      <c r="T233" s="9">
        <f>IF(C233&lt;&gt;0,C233-Gear!$C$18,0)</f>
        <v>0</v>
      </c>
      <c r="U233" s="9">
        <f>IF(C233&lt;&gt;0,C233-Gear!$C$18,0)</f>
        <v>0</v>
      </c>
    </row>
    <row r="234" spans="20:21" x14ac:dyDescent="0.25">
      <c r="T234" s="9">
        <f>IF(C234&lt;&gt;0,C234-Gear!$C$18,0)</f>
        <v>0</v>
      </c>
      <c r="U234" s="9">
        <f>IF(C234&lt;&gt;0,C234-Gear!$C$18,0)</f>
        <v>0</v>
      </c>
    </row>
    <row r="235" spans="20:21" x14ac:dyDescent="0.25">
      <c r="T235" s="9">
        <f>IF(C235&lt;&gt;0,C235-Gear!$C$18,0)</f>
        <v>0</v>
      </c>
      <c r="U235" s="9">
        <f>IF(C235&lt;&gt;0,C235-Gear!$C$18,0)</f>
        <v>0</v>
      </c>
    </row>
    <row r="236" spans="20:21" x14ac:dyDescent="0.25">
      <c r="T236" s="9">
        <f>IF(C236&lt;&gt;0,C236-Gear!$C$18,0)</f>
        <v>0</v>
      </c>
      <c r="U236" s="9">
        <f>IF(C236&lt;&gt;0,C236-Gear!$C$18,0)</f>
        <v>0</v>
      </c>
    </row>
    <row r="237" spans="20:21" x14ac:dyDescent="0.25">
      <c r="T237" s="9">
        <f>IF(C237&lt;&gt;0,C237-Gear!$C$18,0)</f>
        <v>0</v>
      </c>
      <c r="U237" s="9">
        <f>IF(C237&lt;&gt;0,C237-Gear!$C$18,0)</f>
        <v>0</v>
      </c>
    </row>
    <row r="238" spans="20:21" x14ac:dyDescent="0.25">
      <c r="T238" s="9">
        <f>IF(C238&lt;&gt;0,C238-Gear!$C$18,0)</f>
        <v>0</v>
      </c>
      <c r="U238" s="9">
        <f>IF(C238&lt;&gt;0,C238-Gear!$C$18,0)</f>
        <v>0</v>
      </c>
    </row>
    <row r="239" spans="20:21" x14ac:dyDescent="0.25">
      <c r="T239" s="9">
        <f>IF(C239&lt;&gt;0,C239-Gear!$C$18,0)</f>
        <v>0</v>
      </c>
      <c r="U239" s="9">
        <f>IF(C239&lt;&gt;0,C239-Gear!$C$18,0)</f>
        <v>0</v>
      </c>
    </row>
    <row r="240" spans="20:21" x14ac:dyDescent="0.25">
      <c r="T240" s="9">
        <f>IF(C240&lt;&gt;0,C240-Gear!$C$18,0)</f>
        <v>0</v>
      </c>
      <c r="U240" s="9">
        <f>IF(C240&lt;&gt;0,C240-Gear!$C$18,0)</f>
        <v>0</v>
      </c>
    </row>
    <row r="241" spans="20:21" x14ac:dyDescent="0.25">
      <c r="T241" s="9">
        <f>IF(C241&lt;&gt;0,C241-Gear!$C$18,0)</f>
        <v>0</v>
      </c>
      <c r="U241" s="9">
        <f>IF(C241&lt;&gt;0,C241-Gear!$C$18,0)</f>
        <v>0</v>
      </c>
    </row>
    <row r="242" spans="20:21" x14ac:dyDescent="0.25">
      <c r="T242" s="9">
        <f>IF(C242&lt;&gt;0,C242-Gear!$C$18,0)</f>
        <v>0</v>
      </c>
      <c r="U242" s="9">
        <f>IF(C242&lt;&gt;0,C242-Gear!$C$18,0)</f>
        <v>0</v>
      </c>
    </row>
    <row r="243" spans="20:21" x14ac:dyDescent="0.25">
      <c r="T243" s="9">
        <f>IF(C243&lt;&gt;0,C243-Gear!$C$18,0)</f>
        <v>0</v>
      </c>
      <c r="U243" s="9">
        <f>IF(C243&lt;&gt;0,C243-Gear!$C$18,0)</f>
        <v>0</v>
      </c>
    </row>
    <row r="244" spans="20:21" x14ac:dyDescent="0.25">
      <c r="T244" s="9">
        <f>IF(C244&lt;&gt;0,C244-Gear!$C$18,0)</f>
        <v>0</v>
      </c>
      <c r="U244" s="9">
        <f>IF(C244&lt;&gt;0,C244-Gear!$C$18,0)</f>
        <v>0</v>
      </c>
    </row>
    <row r="245" spans="20:21" x14ac:dyDescent="0.25">
      <c r="T245" s="9">
        <f>IF(C245&lt;&gt;0,C245-Gear!$C$18,0)</f>
        <v>0</v>
      </c>
      <c r="U245" s="9">
        <f>IF(C245&lt;&gt;0,C245-Gear!$C$18,0)</f>
        <v>0</v>
      </c>
    </row>
    <row r="246" spans="20:21" x14ac:dyDescent="0.25">
      <c r="T246" s="9">
        <f>IF(C246&lt;&gt;0,C246-Gear!$C$18,0)</f>
        <v>0</v>
      </c>
      <c r="U246" s="9">
        <f>IF(C246&lt;&gt;0,C246-Gear!$C$18,0)</f>
        <v>0</v>
      </c>
    </row>
    <row r="247" spans="20:21" x14ac:dyDescent="0.25">
      <c r="T247" s="9">
        <f>IF(C247&lt;&gt;0,C247-Gear!$C$18,0)</f>
        <v>0</v>
      </c>
      <c r="U247" s="9">
        <f>IF(C247&lt;&gt;0,C247-Gear!$C$18,0)</f>
        <v>0</v>
      </c>
    </row>
    <row r="248" spans="20:21" x14ac:dyDescent="0.25">
      <c r="T248" s="9">
        <f>IF(C248&lt;&gt;0,C248-Gear!$C$18,0)</f>
        <v>0</v>
      </c>
      <c r="U248" s="9">
        <f>IF(C248&lt;&gt;0,C248-Gear!$C$18,0)</f>
        <v>0</v>
      </c>
    </row>
    <row r="249" spans="20:21" x14ac:dyDescent="0.25">
      <c r="T249" s="9">
        <f>IF(C249&lt;&gt;0,C249-Gear!$C$18,0)</f>
        <v>0</v>
      </c>
      <c r="U249" s="9">
        <f>IF(C249&lt;&gt;0,C249-Gear!$C$18,0)</f>
        <v>0</v>
      </c>
    </row>
    <row r="250" spans="20:21" x14ac:dyDescent="0.25">
      <c r="T250" s="9">
        <f>IF(C250&lt;&gt;0,C250-Gear!$C$18,0)</f>
        <v>0</v>
      </c>
      <c r="U250" s="9">
        <f>IF(C250&lt;&gt;0,C250-Gear!$C$18,0)</f>
        <v>0</v>
      </c>
    </row>
    <row r="251" spans="20:21" x14ac:dyDescent="0.25">
      <c r="T251" s="9">
        <f>IF(C251&lt;&gt;0,C251-Gear!$C$18,0)</f>
        <v>0</v>
      </c>
      <c r="U251" s="9">
        <f>IF(C251&lt;&gt;0,C251-Gear!$C$18,0)</f>
        <v>0</v>
      </c>
    </row>
    <row r="252" spans="20:21" x14ac:dyDescent="0.25">
      <c r="T252" s="9">
        <f>IF(C252&lt;&gt;0,C252-Gear!$C$18,0)</f>
        <v>0</v>
      </c>
      <c r="U252" s="9">
        <f>IF(C252&lt;&gt;0,C252-Gear!$C$18,0)</f>
        <v>0</v>
      </c>
    </row>
    <row r="253" spans="20:21" x14ac:dyDescent="0.25">
      <c r="T253" s="9">
        <f>IF(C253&lt;&gt;0,C253-Gear!$C$18,0)</f>
        <v>0</v>
      </c>
      <c r="U253" s="9">
        <f>IF(C253&lt;&gt;0,C253-Gear!$C$18,0)</f>
        <v>0</v>
      </c>
    </row>
    <row r="254" spans="20:21" x14ac:dyDescent="0.25">
      <c r="T254" s="9">
        <f>IF(C254&lt;&gt;0,C254-Gear!$C$18,0)</f>
        <v>0</v>
      </c>
      <c r="U254" s="9">
        <f>IF(C254&lt;&gt;0,C254-Gear!$C$18,0)</f>
        <v>0</v>
      </c>
    </row>
    <row r="255" spans="20:21" x14ac:dyDescent="0.25">
      <c r="T255" s="9">
        <f>IF(C255&lt;&gt;0,C255-Gear!$C$18,0)</f>
        <v>0</v>
      </c>
      <c r="U255" s="9">
        <f>IF(C255&lt;&gt;0,C255-Gear!$C$18,0)</f>
        <v>0</v>
      </c>
    </row>
    <row r="256" spans="20:21" x14ac:dyDescent="0.25">
      <c r="T256" s="9">
        <f>IF(C256&lt;&gt;0,C256-Gear!$C$18,0)</f>
        <v>0</v>
      </c>
      <c r="U256" s="9">
        <f>IF(C256&lt;&gt;0,C256-Gear!$C$18,0)</f>
        <v>0</v>
      </c>
    </row>
    <row r="257" spans="20:21" x14ac:dyDescent="0.25">
      <c r="T257" s="9">
        <f>IF(C257&lt;&gt;0,C257-Gear!$C$18,0)</f>
        <v>0</v>
      </c>
      <c r="U257" s="9">
        <f>IF(C257&lt;&gt;0,C257-Gear!$C$18,0)</f>
        <v>0</v>
      </c>
    </row>
    <row r="258" spans="20:21" x14ac:dyDescent="0.25">
      <c r="T258" s="9">
        <f>IF(C258&lt;&gt;0,C258-Gear!$C$18,0)</f>
        <v>0</v>
      </c>
      <c r="U258" s="9">
        <f>IF(C258&lt;&gt;0,C258-Gear!$C$18,0)</f>
        <v>0</v>
      </c>
    </row>
    <row r="259" spans="20:21" x14ac:dyDescent="0.25">
      <c r="T259" s="9">
        <f>IF(C259&lt;&gt;0,C259-Gear!$C$18,0)</f>
        <v>0</v>
      </c>
      <c r="U259" s="9">
        <f>IF(C259&lt;&gt;0,C259-Gear!$C$18,0)</f>
        <v>0</v>
      </c>
    </row>
    <row r="260" spans="20:21" x14ac:dyDescent="0.25">
      <c r="T260" s="9">
        <f>IF(C260&lt;&gt;0,C260-Gear!$C$18,0)</f>
        <v>0</v>
      </c>
      <c r="U260" s="9">
        <f>IF(C260&lt;&gt;0,C260-Gear!$C$18,0)</f>
        <v>0</v>
      </c>
    </row>
    <row r="261" spans="20:21" x14ac:dyDescent="0.25">
      <c r="T261" s="9">
        <f>IF(C261&lt;&gt;0,C261-Gear!$C$18,0)</f>
        <v>0</v>
      </c>
      <c r="U261" s="9">
        <f>IF(C261&lt;&gt;0,C261-Gear!$C$18,0)</f>
        <v>0</v>
      </c>
    </row>
    <row r="262" spans="20:21" x14ac:dyDescent="0.25">
      <c r="T262" s="9">
        <f>IF(C262&lt;&gt;0,C262-Gear!$C$18,0)</f>
        <v>0</v>
      </c>
      <c r="U262" s="9">
        <f>IF(C262&lt;&gt;0,C262-Gear!$C$18,0)</f>
        <v>0</v>
      </c>
    </row>
    <row r="263" spans="20:21" x14ac:dyDescent="0.25">
      <c r="T263" s="9">
        <f>IF(C263&lt;&gt;0,C263-Gear!$C$18,0)</f>
        <v>0</v>
      </c>
      <c r="U263" s="9">
        <f>IF(C263&lt;&gt;0,C263-Gear!$C$18,0)</f>
        <v>0</v>
      </c>
    </row>
    <row r="264" spans="20:21" x14ac:dyDescent="0.25">
      <c r="T264" s="9">
        <f>IF(C264&lt;&gt;0,C264-Gear!$C$18,0)</f>
        <v>0</v>
      </c>
      <c r="U264" s="9">
        <f>IF(C264&lt;&gt;0,C264-Gear!$C$18,0)</f>
        <v>0</v>
      </c>
    </row>
    <row r="265" spans="20:21" x14ac:dyDescent="0.25">
      <c r="T265" s="9">
        <f>IF(C265&lt;&gt;0,C265-Gear!$C$18,0)</f>
        <v>0</v>
      </c>
      <c r="U265" s="9">
        <f>IF(C265&lt;&gt;0,C265-Gear!$C$18,0)</f>
        <v>0</v>
      </c>
    </row>
    <row r="266" spans="20:21" x14ac:dyDescent="0.25">
      <c r="T266" s="9">
        <f>IF(C266&lt;&gt;0,C266-Gear!$C$18,0)</f>
        <v>0</v>
      </c>
      <c r="U266" s="9">
        <f>IF(C266&lt;&gt;0,C266-Gear!$C$18,0)</f>
        <v>0</v>
      </c>
    </row>
    <row r="267" spans="20:21" x14ac:dyDescent="0.25">
      <c r="T267" s="9">
        <f>IF(C267&lt;&gt;0,C267-Gear!$C$18,0)</f>
        <v>0</v>
      </c>
      <c r="U267" s="9">
        <f>IF(C267&lt;&gt;0,C267-Gear!$C$18,0)</f>
        <v>0</v>
      </c>
    </row>
    <row r="268" spans="20:21" x14ac:dyDescent="0.25">
      <c r="T268" s="9">
        <f>IF(C268&lt;&gt;0,C268-Gear!$C$18,0)</f>
        <v>0</v>
      </c>
      <c r="U268" s="9">
        <f>IF(C268&lt;&gt;0,C268-Gear!$C$18,0)</f>
        <v>0</v>
      </c>
    </row>
    <row r="269" spans="20:21" x14ac:dyDescent="0.25">
      <c r="T269" s="9">
        <f>IF(C269&lt;&gt;0,C269-Gear!$C$18,0)</f>
        <v>0</v>
      </c>
      <c r="U269" s="9">
        <f>IF(C269&lt;&gt;0,C269-Gear!$C$18,0)</f>
        <v>0</v>
      </c>
    </row>
    <row r="270" spans="20:21" x14ac:dyDescent="0.25">
      <c r="T270" s="9">
        <f>IF(C270&lt;&gt;0,C270-Gear!$C$18,0)</f>
        <v>0</v>
      </c>
      <c r="U270" s="9">
        <f>IF(C270&lt;&gt;0,C270-Gear!$C$18,0)</f>
        <v>0</v>
      </c>
    </row>
    <row r="271" spans="20:21" x14ac:dyDescent="0.25">
      <c r="T271" s="9">
        <f>IF(C271&lt;&gt;0,C271-Gear!$C$18,0)</f>
        <v>0</v>
      </c>
      <c r="U271" s="9">
        <f>IF(C271&lt;&gt;0,C271-Gear!$C$18,0)</f>
        <v>0</v>
      </c>
    </row>
    <row r="272" spans="20:21" x14ac:dyDescent="0.25">
      <c r="T272" s="9">
        <f>IF(C272&lt;&gt;0,C272-Gear!$C$18,0)</f>
        <v>0</v>
      </c>
      <c r="U272" s="9">
        <f>IF(C272&lt;&gt;0,C272-Gear!$C$18,0)</f>
        <v>0</v>
      </c>
    </row>
    <row r="273" spans="20:21" x14ac:dyDescent="0.25">
      <c r="T273" s="9">
        <f>IF(C273&lt;&gt;0,C273-Gear!$C$18,0)</f>
        <v>0</v>
      </c>
      <c r="U273" s="9">
        <f>IF(C273&lt;&gt;0,C273-Gear!$C$18,0)</f>
        <v>0</v>
      </c>
    </row>
    <row r="274" spans="20:21" x14ac:dyDescent="0.25">
      <c r="T274" s="9">
        <f>IF(C274&lt;&gt;0,C274-Gear!$C$18,0)</f>
        <v>0</v>
      </c>
      <c r="U274" s="9">
        <f>IF(C274&lt;&gt;0,C274-Gear!$C$18,0)</f>
        <v>0</v>
      </c>
    </row>
    <row r="275" spans="20:21" x14ac:dyDescent="0.25">
      <c r="T275" s="9">
        <f>IF(C275&lt;&gt;0,C275-Gear!$C$18,0)</f>
        <v>0</v>
      </c>
      <c r="U275" s="9">
        <f>IF(C275&lt;&gt;0,C275-Gear!$C$18,0)</f>
        <v>0</v>
      </c>
    </row>
    <row r="276" spans="20:21" x14ac:dyDescent="0.25">
      <c r="T276" s="9">
        <f>IF(C276&lt;&gt;0,C276-Gear!$C$18,0)</f>
        <v>0</v>
      </c>
      <c r="U276" s="9">
        <f>IF(C276&lt;&gt;0,C276-Gear!$C$18,0)</f>
        <v>0</v>
      </c>
    </row>
    <row r="277" spans="20:21" x14ac:dyDescent="0.25">
      <c r="T277" s="9">
        <f>IF(C277&lt;&gt;0,C277-Gear!$C$18,0)</f>
        <v>0</v>
      </c>
      <c r="U277" s="9">
        <f>IF(C277&lt;&gt;0,C277-Gear!$C$18,0)</f>
        <v>0</v>
      </c>
    </row>
    <row r="278" spans="20:21" x14ac:dyDescent="0.25">
      <c r="T278" s="9">
        <f>IF(C278&lt;&gt;0,C278-Gear!$C$18,0)</f>
        <v>0</v>
      </c>
      <c r="U278" s="9">
        <f>IF(C278&lt;&gt;0,C278-Gear!$C$18,0)</f>
        <v>0</v>
      </c>
    </row>
    <row r="279" spans="20:21" x14ac:dyDescent="0.25">
      <c r="T279" s="9">
        <f>IF(C279&lt;&gt;0,C279-Gear!$C$18,0)</f>
        <v>0</v>
      </c>
      <c r="U279" s="9">
        <f>IF(C279&lt;&gt;0,C279-Gear!$C$18,0)</f>
        <v>0</v>
      </c>
    </row>
    <row r="280" spans="20:21" x14ac:dyDescent="0.25">
      <c r="T280" s="9">
        <f>IF(C280&lt;&gt;0,C280-Gear!$C$18,0)</f>
        <v>0</v>
      </c>
      <c r="U280" s="9">
        <f>IF(C280&lt;&gt;0,C280-Gear!$C$18,0)</f>
        <v>0</v>
      </c>
    </row>
    <row r="281" spans="20:21" x14ac:dyDescent="0.25">
      <c r="T281" s="9">
        <f>IF(C281&lt;&gt;0,C281-Gear!$C$18,0)</f>
        <v>0</v>
      </c>
      <c r="U281" s="9">
        <f>IF(C281&lt;&gt;0,C281-Gear!$C$18,0)</f>
        <v>0</v>
      </c>
    </row>
    <row r="282" spans="20:21" x14ac:dyDescent="0.25">
      <c r="T282" s="9">
        <f>IF(C282&lt;&gt;0,C282-Gear!$C$18,0)</f>
        <v>0</v>
      </c>
      <c r="U282" s="9">
        <f>IF(C282&lt;&gt;0,C282-Gear!$C$18,0)</f>
        <v>0</v>
      </c>
    </row>
    <row r="283" spans="20:21" x14ac:dyDescent="0.25">
      <c r="T283" s="9">
        <f>IF(C283&lt;&gt;0,C283-Gear!$C$18,0)</f>
        <v>0</v>
      </c>
      <c r="U283" s="9">
        <f>IF(C283&lt;&gt;0,C283-Gear!$C$18,0)</f>
        <v>0</v>
      </c>
    </row>
    <row r="284" spans="20:21" x14ac:dyDescent="0.25">
      <c r="T284" s="9">
        <f>IF(C284&lt;&gt;0,C284-Gear!$C$18,0)</f>
        <v>0</v>
      </c>
      <c r="U284" s="9">
        <f>IF(C284&lt;&gt;0,C284-Gear!$C$18,0)</f>
        <v>0</v>
      </c>
    </row>
    <row r="285" spans="20:21" x14ac:dyDescent="0.25">
      <c r="T285" s="9">
        <f>IF(C285&lt;&gt;0,C285-Gear!$C$18,0)</f>
        <v>0</v>
      </c>
      <c r="U285" s="9">
        <f>IF(C285&lt;&gt;0,C285-Gear!$C$18,0)</f>
        <v>0</v>
      </c>
    </row>
    <row r="286" spans="20:21" x14ac:dyDescent="0.25">
      <c r="T286" s="9">
        <f>IF(C286&lt;&gt;0,C286-Gear!$C$18,0)</f>
        <v>0</v>
      </c>
      <c r="U286" s="9">
        <f>IF(C286&lt;&gt;0,C286-Gear!$C$18,0)</f>
        <v>0</v>
      </c>
    </row>
    <row r="287" spans="20:21" x14ac:dyDescent="0.25">
      <c r="T287" s="9">
        <f>IF(C287&lt;&gt;0,C287-Gear!$C$18,0)</f>
        <v>0</v>
      </c>
      <c r="U287" s="9">
        <f>IF(C287&lt;&gt;0,C287-Gear!$C$18,0)</f>
        <v>0</v>
      </c>
    </row>
    <row r="288" spans="20:21" x14ac:dyDescent="0.25">
      <c r="T288" s="9">
        <f>IF(C288&lt;&gt;0,C288-Gear!$C$18,0)</f>
        <v>0</v>
      </c>
      <c r="U288" s="9">
        <f>IF(C288&lt;&gt;0,C288-Gear!$C$18,0)</f>
        <v>0</v>
      </c>
    </row>
    <row r="289" spans="20:21" x14ac:dyDescent="0.25">
      <c r="T289" s="9">
        <f>IF(C289&lt;&gt;0,C289-Gear!$C$18,0)</f>
        <v>0</v>
      </c>
      <c r="U289" s="9">
        <f>IF(C289&lt;&gt;0,C289-Gear!$C$18,0)</f>
        <v>0</v>
      </c>
    </row>
    <row r="290" spans="20:21" x14ac:dyDescent="0.25">
      <c r="T290" s="9">
        <f>IF(C290&lt;&gt;0,C290-Gear!$C$18,0)</f>
        <v>0</v>
      </c>
      <c r="U290" s="9">
        <f>IF(C290&lt;&gt;0,C290-Gear!$C$18,0)</f>
        <v>0</v>
      </c>
    </row>
    <row r="291" spans="20:21" x14ac:dyDescent="0.25">
      <c r="T291" s="9">
        <f>IF(C291&lt;&gt;0,C291-Gear!$C$18,0)</f>
        <v>0</v>
      </c>
      <c r="U291" s="9">
        <f>IF(C291&lt;&gt;0,C291-Gear!$C$18,0)</f>
        <v>0</v>
      </c>
    </row>
    <row r="292" spans="20:21" x14ac:dyDescent="0.25">
      <c r="T292" s="9">
        <f>IF(C292&lt;&gt;0,C292-Gear!$C$18,0)</f>
        <v>0</v>
      </c>
      <c r="U292" s="9">
        <f>IF(C292&lt;&gt;0,C292-Gear!$C$18,0)</f>
        <v>0</v>
      </c>
    </row>
    <row r="293" spans="20:21" x14ac:dyDescent="0.25">
      <c r="T293" s="9">
        <f>IF(C293&lt;&gt;0,C293-Gear!$C$18,0)</f>
        <v>0</v>
      </c>
      <c r="U293" s="9">
        <f>IF(C293&lt;&gt;0,C293-Gear!$C$18,0)</f>
        <v>0</v>
      </c>
    </row>
    <row r="294" spans="20:21" x14ac:dyDescent="0.25">
      <c r="T294" s="9">
        <f>IF(C294&lt;&gt;0,C294-Gear!$C$18,0)</f>
        <v>0</v>
      </c>
      <c r="U294" s="9">
        <f>IF(C294&lt;&gt;0,C294-Gear!$C$18,0)</f>
        <v>0</v>
      </c>
    </row>
    <row r="295" spans="20:21" x14ac:dyDescent="0.25">
      <c r="T295" s="9">
        <f>IF(C295&lt;&gt;0,C295-Gear!$C$18,0)</f>
        <v>0</v>
      </c>
      <c r="U295" s="9">
        <f>IF(C295&lt;&gt;0,C295-Gear!$C$18,0)</f>
        <v>0</v>
      </c>
    </row>
    <row r="296" spans="20:21" x14ac:dyDescent="0.25">
      <c r="T296" s="9">
        <f>IF(C296&lt;&gt;0,C296-Gear!$C$18,0)</f>
        <v>0</v>
      </c>
      <c r="U296" s="9">
        <f>IF(C296&lt;&gt;0,C296-Gear!$C$18,0)</f>
        <v>0</v>
      </c>
    </row>
    <row r="297" spans="20:21" x14ac:dyDescent="0.25">
      <c r="T297" s="9">
        <f>IF(C297&lt;&gt;0,C297-Gear!$C$18,0)</f>
        <v>0</v>
      </c>
      <c r="U297" s="9">
        <f>IF(C297&lt;&gt;0,C297-Gear!$C$18,0)</f>
        <v>0</v>
      </c>
    </row>
    <row r="298" spans="20:21" x14ac:dyDescent="0.25">
      <c r="T298" s="9">
        <f>IF(C298&lt;&gt;0,C298-Gear!$C$18,0)</f>
        <v>0</v>
      </c>
      <c r="U298" s="9">
        <f>IF(C298&lt;&gt;0,C298-Gear!$C$18,0)</f>
        <v>0</v>
      </c>
    </row>
    <row r="299" spans="20:21" x14ac:dyDescent="0.25">
      <c r="T299" s="9">
        <f>IF(C299&lt;&gt;0,C299-Gear!$C$18,0)</f>
        <v>0</v>
      </c>
      <c r="U299" s="9">
        <f>IF(C299&lt;&gt;0,C299-Gear!$C$18,0)</f>
        <v>0</v>
      </c>
    </row>
    <row r="300" spans="20:21" x14ac:dyDescent="0.25">
      <c r="T300" s="9">
        <f>IF(C300&lt;&gt;0,C300-Gear!$C$18,0)</f>
        <v>0</v>
      </c>
      <c r="U300" s="9">
        <f>IF(C300&lt;&gt;0,C300-Gear!$C$18,0)</f>
        <v>0</v>
      </c>
    </row>
    <row r="301" spans="20:21" x14ac:dyDescent="0.25">
      <c r="T301" s="9">
        <f>IF(C301&lt;&gt;0,C301-Gear!$C$18,0)</f>
        <v>0</v>
      </c>
      <c r="U301" s="9">
        <f>IF(C301&lt;&gt;0,C301-Gear!$C$18,0)</f>
        <v>0</v>
      </c>
    </row>
    <row r="302" spans="20:21" x14ac:dyDescent="0.25">
      <c r="T302" s="9">
        <f>IF(C302&lt;&gt;0,C302-Gear!$C$18,0)</f>
        <v>0</v>
      </c>
      <c r="U302" s="9">
        <f>IF(C302&lt;&gt;0,C302-Gear!$C$18,0)</f>
        <v>0</v>
      </c>
    </row>
    <row r="303" spans="20:21" x14ac:dyDescent="0.25">
      <c r="T303" s="9">
        <f>IF(C303&lt;&gt;0,C303-Gear!$C$18,0)</f>
        <v>0</v>
      </c>
      <c r="U303" s="9">
        <f>IF(C303&lt;&gt;0,C303-Gear!$C$18,0)</f>
        <v>0</v>
      </c>
    </row>
    <row r="304" spans="20:21" x14ac:dyDescent="0.25">
      <c r="T304" s="9">
        <f>IF(C304&lt;&gt;0,C304-Gear!$C$18,0)</f>
        <v>0</v>
      </c>
      <c r="U304" s="9">
        <f>IF(C304&lt;&gt;0,C304-Gear!$C$18,0)</f>
        <v>0</v>
      </c>
    </row>
    <row r="305" spans="20:21" x14ac:dyDescent="0.25">
      <c r="T305" s="9">
        <f>IF(C305&lt;&gt;0,C305-Gear!$C$18,0)</f>
        <v>0</v>
      </c>
      <c r="U305" s="9">
        <f>IF(C305&lt;&gt;0,C305-Gear!$C$18,0)</f>
        <v>0</v>
      </c>
    </row>
    <row r="306" spans="20:21" x14ac:dyDescent="0.25">
      <c r="T306" s="9">
        <f>IF(C306&lt;&gt;0,C306-Gear!$C$18,0)</f>
        <v>0</v>
      </c>
      <c r="U306" s="9">
        <f>IF(C306&lt;&gt;0,C306-Gear!$C$18,0)</f>
        <v>0</v>
      </c>
    </row>
    <row r="307" spans="20:21" x14ac:dyDescent="0.25">
      <c r="T307" s="9">
        <f>IF(C307&lt;&gt;0,C307-Gear!$C$18,0)</f>
        <v>0</v>
      </c>
      <c r="U307" s="9">
        <f>IF(C307&lt;&gt;0,C307-Gear!$C$18,0)</f>
        <v>0</v>
      </c>
    </row>
    <row r="308" spans="20:21" x14ac:dyDescent="0.25">
      <c r="T308" s="9">
        <f>IF(C308&lt;&gt;0,C308-Gear!$C$18,0)</f>
        <v>0</v>
      </c>
      <c r="U308" s="9">
        <f>IF(C308&lt;&gt;0,C308-Gear!$C$18,0)</f>
        <v>0</v>
      </c>
    </row>
    <row r="309" spans="20:21" x14ac:dyDescent="0.25">
      <c r="T309" s="9">
        <f>IF(C309&lt;&gt;0,C309-Gear!$C$18,0)</f>
        <v>0</v>
      </c>
      <c r="U309" s="9">
        <f>IF(C309&lt;&gt;0,C309-Gear!$C$18,0)</f>
        <v>0</v>
      </c>
    </row>
    <row r="310" spans="20:21" x14ac:dyDescent="0.25">
      <c r="T310" s="9">
        <f>IF(C310&lt;&gt;0,C310-Gear!$C$18,0)</f>
        <v>0</v>
      </c>
      <c r="U310" s="9">
        <f>IF(C310&lt;&gt;0,C310-Gear!$C$18,0)</f>
        <v>0</v>
      </c>
    </row>
    <row r="311" spans="20:21" x14ac:dyDescent="0.25">
      <c r="T311" s="9">
        <f>IF(C311&lt;&gt;0,C311-Gear!$C$18,0)</f>
        <v>0</v>
      </c>
      <c r="U311" s="9">
        <f>IF(C311&lt;&gt;0,C311-Gear!$C$18,0)</f>
        <v>0</v>
      </c>
    </row>
    <row r="312" spans="20:21" x14ac:dyDescent="0.25">
      <c r="T312" s="9">
        <f>IF(C312&lt;&gt;0,C312-Gear!$C$18,0)</f>
        <v>0</v>
      </c>
      <c r="U312" s="9">
        <f>IF(C312&lt;&gt;0,C312-Gear!$C$18,0)</f>
        <v>0</v>
      </c>
    </row>
    <row r="313" spans="20:21" x14ac:dyDescent="0.25">
      <c r="T313" s="9">
        <f>IF(C313&lt;&gt;0,C313-Gear!$C$18,0)</f>
        <v>0</v>
      </c>
      <c r="U313" s="9">
        <f>IF(C313&lt;&gt;0,C313-Gear!$C$18,0)</f>
        <v>0</v>
      </c>
    </row>
    <row r="314" spans="20:21" x14ac:dyDescent="0.25">
      <c r="T314" s="9">
        <f>IF(C314&lt;&gt;0,C314-Gear!$C$18,0)</f>
        <v>0</v>
      </c>
      <c r="U314" s="9">
        <f>IF(C314&lt;&gt;0,C314-Gear!$C$18,0)</f>
        <v>0</v>
      </c>
    </row>
    <row r="315" spans="20:21" x14ac:dyDescent="0.25">
      <c r="T315" s="9">
        <f>IF(C315&lt;&gt;0,C315-Gear!$C$18,0)</f>
        <v>0</v>
      </c>
      <c r="U315" s="9">
        <f>IF(C315&lt;&gt;0,C315-Gear!$C$18,0)</f>
        <v>0</v>
      </c>
    </row>
    <row r="316" spans="20:21" x14ac:dyDescent="0.25">
      <c r="T316" s="9">
        <f>IF(C316&lt;&gt;0,C316-Gear!$C$18,0)</f>
        <v>0</v>
      </c>
      <c r="U316" s="9">
        <f>IF(C316&lt;&gt;0,C316-Gear!$C$18,0)</f>
        <v>0</v>
      </c>
    </row>
    <row r="317" spans="20:21" x14ac:dyDescent="0.25">
      <c r="T317" s="9">
        <f>IF(C317&lt;&gt;0,C317-Gear!$C$18,0)</f>
        <v>0</v>
      </c>
      <c r="U317" s="9">
        <f>IF(C317&lt;&gt;0,C317-Gear!$C$18,0)</f>
        <v>0</v>
      </c>
    </row>
    <row r="318" spans="20:21" x14ac:dyDescent="0.25">
      <c r="T318" s="9">
        <f>IF(C318&lt;&gt;0,C318-Gear!$C$18,0)</f>
        <v>0</v>
      </c>
      <c r="U318" s="9">
        <f>IF(C318&lt;&gt;0,C318-Gear!$C$18,0)</f>
        <v>0</v>
      </c>
    </row>
    <row r="319" spans="20:21" x14ac:dyDescent="0.25">
      <c r="T319" s="9">
        <f>IF(C319&lt;&gt;0,C319-Gear!$C$18,0)</f>
        <v>0</v>
      </c>
      <c r="U319" s="9">
        <f>IF(C319&lt;&gt;0,C319-Gear!$C$18,0)</f>
        <v>0</v>
      </c>
    </row>
    <row r="320" spans="20:21" x14ac:dyDescent="0.25">
      <c r="T320" s="9">
        <f>IF(C320&lt;&gt;0,C320-Gear!$C$18,0)</f>
        <v>0</v>
      </c>
      <c r="U320" s="9">
        <f>IF(C320&lt;&gt;0,C320-Gear!$C$18,0)</f>
        <v>0</v>
      </c>
    </row>
    <row r="321" spans="20:21" x14ac:dyDescent="0.25">
      <c r="T321" s="9">
        <f>IF(C321&lt;&gt;0,C321-Gear!$C$18,0)</f>
        <v>0</v>
      </c>
      <c r="U321" s="9">
        <f>IF(C321&lt;&gt;0,C321-Gear!$C$18,0)</f>
        <v>0</v>
      </c>
    </row>
    <row r="322" spans="20:21" x14ac:dyDescent="0.25">
      <c r="T322" s="9">
        <f>IF(C322&lt;&gt;0,C322-Gear!$C$18,0)</f>
        <v>0</v>
      </c>
      <c r="U322" s="9">
        <f>IF(C322&lt;&gt;0,C322-Gear!$C$18,0)</f>
        <v>0</v>
      </c>
    </row>
    <row r="323" spans="20:21" x14ac:dyDescent="0.25">
      <c r="T323" s="9">
        <f>IF(C323&lt;&gt;0,C323-Gear!$C$18,0)</f>
        <v>0</v>
      </c>
      <c r="U323" s="9">
        <f>IF(C323&lt;&gt;0,C323-Gear!$C$18,0)</f>
        <v>0</v>
      </c>
    </row>
    <row r="324" spans="20:21" x14ac:dyDescent="0.25">
      <c r="T324" s="9">
        <f>IF(C324&lt;&gt;0,C324-Gear!$C$18,0)</f>
        <v>0</v>
      </c>
      <c r="U324" s="9">
        <f>IF(C324&lt;&gt;0,C324-Gear!$C$18,0)</f>
        <v>0</v>
      </c>
    </row>
    <row r="325" spans="20:21" x14ac:dyDescent="0.25">
      <c r="T325" s="9">
        <f>IF(C325&lt;&gt;0,C325-Gear!$C$18,0)</f>
        <v>0</v>
      </c>
      <c r="U325" s="9">
        <f>IF(C325&lt;&gt;0,C325-Gear!$C$18,0)</f>
        <v>0</v>
      </c>
    </row>
    <row r="326" spans="20:21" x14ac:dyDescent="0.25">
      <c r="T326" s="9">
        <f>IF(C326&lt;&gt;0,C326-Gear!$C$18,0)</f>
        <v>0</v>
      </c>
      <c r="U326" s="9">
        <f>IF(C326&lt;&gt;0,C326-Gear!$C$18,0)</f>
        <v>0</v>
      </c>
    </row>
    <row r="327" spans="20:21" x14ac:dyDescent="0.25">
      <c r="T327" s="9">
        <f>IF(C327&lt;&gt;0,C327-Gear!$C$18,0)</f>
        <v>0</v>
      </c>
      <c r="U327" s="9">
        <f>IF(C327&lt;&gt;0,C327-Gear!$C$18,0)</f>
        <v>0</v>
      </c>
    </row>
    <row r="328" spans="20:21" x14ac:dyDescent="0.25">
      <c r="T328" s="9">
        <f>IF(C328&lt;&gt;0,C328-Gear!$C$18,0)</f>
        <v>0</v>
      </c>
      <c r="U328" s="9">
        <f>IF(C328&lt;&gt;0,C328-Gear!$C$18,0)</f>
        <v>0</v>
      </c>
    </row>
    <row r="329" spans="20:21" x14ac:dyDescent="0.25">
      <c r="T329" s="9">
        <f>IF(C329&lt;&gt;0,C329-Gear!$C$18,0)</f>
        <v>0</v>
      </c>
      <c r="U329" s="9">
        <f>IF(C329&lt;&gt;0,C329-Gear!$C$18,0)</f>
        <v>0</v>
      </c>
    </row>
    <row r="330" spans="20:21" x14ac:dyDescent="0.25">
      <c r="T330" s="9">
        <f>IF(C330&lt;&gt;0,C330-Gear!$C$18,0)</f>
        <v>0</v>
      </c>
      <c r="U330" s="9">
        <f>IF(C330&lt;&gt;0,C330-Gear!$C$18,0)</f>
        <v>0</v>
      </c>
    </row>
    <row r="331" spans="20:21" x14ac:dyDescent="0.25">
      <c r="T331" s="9">
        <f>IF(C331&lt;&gt;0,C331-Gear!$C$18,0)</f>
        <v>0</v>
      </c>
      <c r="U331" s="9">
        <f>IF(C331&lt;&gt;0,C331-Gear!$C$18,0)</f>
        <v>0</v>
      </c>
    </row>
    <row r="332" spans="20:21" x14ac:dyDescent="0.25">
      <c r="T332" s="9">
        <f>IF(C332&lt;&gt;0,C332-Gear!$C$18,0)</f>
        <v>0</v>
      </c>
      <c r="U332" s="9">
        <f>IF(C332&lt;&gt;0,C332-Gear!$C$18,0)</f>
        <v>0</v>
      </c>
    </row>
    <row r="333" spans="20:21" x14ac:dyDescent="0.25">
      <c r="T333" s="9">
        <f>IF(C333&lt;&gt;0,C333-Gear!$C$18,0)</f>
        <v>0</v>
      </c>
      <c r="U333" s="9">
        <f>IF(C333&lt;&gt;0,C333-Gear!$C$18,0)</f>
        <v>0</v>
      </c>
    </row>
    <row r="334" spans="20:21" x14ac:dyDescent="0.25">
      <c r="T334" s="9">
        <f>IF(C334&lt;&gt;0,C334-Gear!$C$18,0)</f>
        <v>0</v>
      </c>
      <c r="U334" s="9">
        <f>IF(C334&lt;&gt;0,C334-Gear!$C$18,0)</f>
        <v>0</v>
      </c>
    </row>
    <row r="335" spans="20:21" x14ac:dyDescent="0.25">
      <c r="T335" s="9">
        <f>IF(C335&lt;&gt;0,C335-Gear!$C$18,0)</f>
        <v>0</v>
      </c>
      <c r="U335" s="9">
        <f>IF(C335&lt;&gt;0,C335-Gear!$C$18,0)</f>
        <v>0</v>
      </c>
    </row>
    <row r="336" spans="20:21" x14ac:dyDescent="0.25">
      <c r="T336" s="9">
        <f>IF(C336&lt;&gt;0,C336-Gear!$C$18,0)</f>
        <v>0</v>
      </c>
      <c r="U336" s="9">
        <f>IF(C336&lt;&gt;0,C336-Gear!$C$18,0)</f>
        <v>0</v>
      </c>
    </row>
    <row r="337" spans="20:21" x14ac:dyDescent="0.25">
      <c r="T337" s="9">
        <f>IF(C337&lt;&gt;0,C337-Gear!$C$18,0)</f>
        <v>0</v>
      </c>
      <c r="U337" s="9">
        <f>IF(C337&lt;&gt;0,C337-Gear!$C$18,0)</f>
        <v>0</v>
      </c>
    </row>
    <row r="338" spans="20:21" x14ac:dyDescent="0.25">
      <c r="T338" s="9">
        <f>IF(C338&lt;&gt;0,C338-Gear!$C$18,0)</f>
        <v>0</v>
      </c>
      <c r="U338" s="9">
        <f>IF(C338&lt;&gt;0,C338-Gear!$C$18,0)</f>
        <v>0</v>
      </c>
    </row>
    <row r="339" spans="20:21" x14ac:dyDescent="0.25">
      <c r="T339" s="9">
        <f>IF(C339&lt;&gt;0,C339-Gear!$C$18,0)</f>
        <v>0</v>
      </c>
      <c r="U339" s="9">
        <f>IF(C339&lt;&gt;0,C339-Gear!$C$18,0)</f>
        <v>0</v>
      </c>
    </row>
    <row r="340" spans="20:21" x14ac:dyDescent="0.25">
      <c r="T340" s="9">
        <f>IF(C340&lt;&gt;0,C340-Gear!$C$18,0)</f>
        <v>0</v>
      </c>
      <c r="U340" s="9">
        <f>IF(C340&lt;&gt;0,C340-Gear!$C$18,0)</f>
        <v>0</v>
      </c>
    </row>
    <row r="341" spans="20:21" x14ac:dyDescent="0.25">
      <c r="T341" s="9">
        <f>IF(C341&lt;&gt;0,C341-Gear!$C$18,0)</f>
        <v>0</v>
      </c>
      <c r="U341" s="9">
        <f>IF(C341&lt;&gt;0,C341-Gear!$C$18,0)</f>
        <v>0</v>
      </c>
    </row>
    <row r="342" spans="20:21" x14ac:dyDescent="0.25">
      <c r="T342" s="9">
        <f>IF(C342&lt;&gt;0,C342-Gear!$C$18,0)</f>
        <v>0</v>
      </c>
      <c r="U342" s="9">
        <f>IF(C342&lt;&gt;0,C342-Gear!$C$18,0)</f>
        <v>0</v>
      </c>
    </row>
    <row r="343" spans="20:21" x14ac:dyDescent="0.25">
      <c r="T343" s="9">
        <f>IF(C343&lt;&gt;0,C343-Gear!$C$18,0)</f>
        <v>0</v>
      </c>
      <c r="U343" s="9">
        <f>IF(C343&lt;&gt;0,C343-Gear!$C$18,0)</f>
        <v>0</v>
      </c>
    </row>
    <row r="344" spans="20:21" x14ac:dyDescent="0.25">
      <c r="T344" s="9">
        <f>IF(C344&lt;&gt;0,C344-Gear!$C$18,0)</f>
        <v>0</v>
      </c>
      <c r="U344" s="9">
        <f>IF(C344&lt;&gt;0,C344-Gear!$C$18,0)</f>
        <v>0</v>
      </c>
    </row>
    <row r="345" spans="20:21" x14ac:dyDescent="0.25">
      <c r="T345" s="9">
        <f>IF(C345&lt;&gt;0,C345-Gear!$C$18,0)</f>
        <v>0</v>
      </c>
      <c r="U345" s="9">
        <f>IF(C345&lt;&gt;0,C345-Gear!$C$18,0)</f>
        <v>0</v>
      </c>
    </row>
    <row r="346" spans="20:21" x14ac:dyDescent="0.25">
      <c r="T346" s="9">
        <f>IF(C346&lt;&gt;0,C346-Gear!$C$18,0)</f>
        <v>0</v>
      </c>
      <c r="U346" s="9">
        <f>IF(C346&lt;&gt;0,C346-Gear!$C$18,0)</f>
        <v>0</v>
      </c>
    </row>
    <row r="347" spans="20:21" x14ac:dyDescent="0.25">
      <c r="T347" s="9">
        <f>IF(C347&lt;&gt;0,C347-Gear!$C$18,0)</f>
        <v>0</v>
      </c>
      <c r="U347" s="9">
        <f>IF(C347&lt;&gt;0,C347-Gear!$C$18,0)</f>
        <v>0</v>
      </c>
    </row>
    <row r="348" spans="20:21" x14ac:dyDescent="0.25">
      <c r="T348" s="9">
        <f>IF(C348&lt;&gt;0,C348-Gear!$C$18,0)</f>
        <v>0</v>
      </c>
      <c r="U348" s="9">
        <f>IF(C348&lt;&gt;0,C348-Gear!$C$18,0)</f>
        <v>0</v>
      </c>
    </row>
    <row r="349" spans="20:21" x14ac:dyDescent="0.25">
      <c r="T349" s="9">
        <f>IF(C349&lt;&gt;0,C349-Gear!$C$18,0)</f>
        <v>0</v>
      </c>
      <c r="U349" s="9">
        <f>IF(C349&lt;&gt;0,C349-Gear!$C$18,0)</f>
        <v>0</v>
      </c>
    </row>
    <row r="350" spans="20:21" x14ac:dyDescent="0.25">
      <c r="T350" s="9">
        <f>IF(C350&lt;&gt;0,C350-Gear!$C$18,0)</f>
        <v>0</v>
      </c>
      <c r="U350" s="9">
        <f>IF(C350&lt;&gt;0,C350-Gear!$C$18,0)</f>
        <v>0</v>
      </c>
    </row>
    <row r="351" spans="20:21" x14ac:dyDescent="0.25">
      <c r="T351" s="9">
        <f>IF(C351&lt;&gt;0,C351-Gear!$C$18,0)</f>
        <v>0</v>
      </c>
      <c r="U351" s="9">
        <f>IF(C351&lt;&gt;0,C351-Gear!$C$18,0)</f>
        <v>0</v>
      </c>
    </row>
    <row r="352" spans="20:21" x14ac:dyDescent="0.25">
      <c r="T352" s="9">
        <f>IF(C352&lt;&gt;0,C352-Gear!$C$18,0)</f>
        <v>0</v>
      </c>
      <c r="U352" s="9">
        <f>IF(C352&lt;&gt;0,C352-Gear!$C$18,0)</f>
        <v>0</v>
      </c>
    </row>
    <row r="353" spans="20:21" x14ac:dyDescent="0.25">
      <c r="T353" s="9">
        <f>IF(C353&lt;&gt;0,C353-Gear!$C$18,0)</f>
        <v>0</v>
      </c>
      <c r="U353" s="9">
        <f>IF(C353&lt;&gt;0,C353-Gear!$C$18,0)</f>
        <v>0</v>
      </c>
    </row>
    <row r="354" spans="20:21" x14ac:dyDescent="0.25">
      <c r="T354" s="9">
        <f>IF(C354&lt;&gt;0,C354-Gear!$C$18,0)</f>
        <v>0</v>
      </c>
      <c r="U354" s="9">
        <f>IF(C354&lt;&gt;0,C354-Gear!$C$18,0)</f>
        <v>0</v>
      </c>
    </row>
    <row r="355" spans="20:21" x14ac:dyDescent="0.25">
      <c r="T355" s="9">
        <f>IF(C355&lt;&gt;0,C355-Gear!$C$18,0)</f>
        <v>0</v>
      </c>
      <c r="U355" s="9">
        <f>IF(C355&lt;&gt;0,C355-Gear!$C$18,0)</f>
        <v>0</v>
      </c>
    </row>
    <row r="356" spans="20:21" x14ac:dyDescent="0.25">
      <c r="T356" s="9">
        <f>IF(C356&lt;&gt;0,C356-Gear!$C$18,0)</f>
        <v>0</v>
      </c>
      <c r="U356" s="9">
        <f>IF(C356&lt;&gt;0,C356-Gear!$C$18,0)</f>
        <v>0</v>
      </c>
    </row>
    <row r="357" spans="20:21" x14ac:dyDescent="0.25">
      <c r="T357" s="9">
        <f>IF(C357&lt;&gt;0,C357-Gear!$C$18,0)</f>
        <v>0</v>
      </c>
      <c r="U357" s="9">
        <f>IF(C357&lt;&gt;0,C357-Gear!$C$18,0)</f>
        <v>0</v>
      </c>
    </row>
    <row r="358" spans="20:21" x14ac:dyDescent="0.25">
      <c r="T358" s="9">
        <f>IF(C358&lt;&gt;0,C358-Gear!$C$18,0)</f>
        <v>0</v>
      </c>
      <c r="U358" s="9">
        <f>IF(C358&lt;&gt;0,C358-Gear!$C$18,0)</f>
        <v>0</v>
      </c>
    </row>
    <row r="359" spans="20:21" x14ac:dyDescent="0.25">
      <c r="T359" s="9">
        <f>IF(C359&lt;&gt;0,C359-Gear!$C$18,0)</f>
        <v>0</v>
      </c>
      <c r="U359" s="9">
        <f>IF(C359&lt;&gt;0,C359-Gear!$C$18,0)</f>
        <v>0</v>
      </c>
    </row>
    <row r="360" spans="20:21" x14ac:dyDescent="0.25">
      <c r="T360" s="9">
        <f>IF(C360&lt;&gt;0,C360-Gear!$C$18,0)</f>
        <v>0</v>
      </c>
      <c r="U360" s="9">
        <f>IF(C360&lt;&gt;0,C360-Gear!$C$18,0)</f>
        <v>0</v>
      </c>
    </row>
    <row r="361" spans="20:21" x14ac:dyDescent="0.25">
      <c r="T361" s="9">
        <f>IF(C361&lt;&gt;0,C361-Gear!$C$18,0)</f>
        <v>0</v>
      </c>
      <c r="U361" s="9">
        <f>IF(C361&lt;&gt;0,C361-Gear!$C$18,0)</f>
        <v>0</v>
      </c>
    </row>
    <row r="362" spans="20:21" x14ac:dyDescent="0.25">
      <c r="T362" s="9">
        <f>IF(C362&lt;&gt;0,C362-Gear!$C$18,0)</f>
        <v>0</v>
      </c>
      <c r="U362" s="9">
        <f>IF(C362&lt;&gt;0,C362-Gear!$C$18,0)</f>
        <v>0</v>
      </c>
    </row>
    <row r="363" spans="20:21" x14ac:dyDescent="0.25">
      <c r="T363" s="9">
        <f>IF(C363&lt;&gt;0,C363-Gear!$C$18,0)</f>
        <v>0</v>
      </c>
      <c r="U363" s="9">
        <f>IF(C363&lt;&gt;0,C363-Gear!$C$18,0)</f>
        <v>0</v>
      </c>
    </row>
    <row r="364" spans="20:21" x14ac:dyDescent="0.25">
      <c r="T364" s="9">
        <f>IF(C364&lt;&gt;0,C364-Gear!$C$18,0)</f>
        <v>0</v>
      </c>
      <c r="U364" s="9">
        <f>IF(C364&lt;&gt;0,C364-Gear!$C$18,0)</f>
        <v>0</v>
      </c>
    </row>
    <row r="365" spans="20:21" x14ac:dyDescent="0.25">
      <c r="T365" s="9">
        <f>IF(C365&lt;&gt;0,C365-Gear!$C$18,0)</f>
        <v>0</v>
      </c>
      <c r="U365" s="9">
        <f>IF(C365&lt;&gt;0,C365-Gear!$C$18,0)</f>
        <v>0</v>
      </c>
    </row>
    <row r="366" spans="20:21" x14ac:dyDescent="0.25">
      <c r="T366" s="9">
        <f>IF(C366&lt;&gt;0,C366-Gear!$C$18,0)</f>
        <v>0</v>
      </c>
      <c r="U366" s="9">
        <f>IF(C366&lt;&gt;0,C366-Gear!$C$18,0)</f>
        <v>0</v>
      </c>
    </row>
    <row r="367" spans="20:21" x14ac:dyDescent="0.25">
      <c r="T367" s="9">
        <f>IF(C367&lt;&gt;0,C367-Gear!$C$18,0)</f>
        <v>0</v>
      </c>
      <c r="U367" s="9">
        <f>IF(C367&lt;&gt;0,C367-Gear!$C$18,0)</f>
        <v>0</v>
      </c>
    </row>
    <row r="368" spans="20:21" x14ac:dyDescent="0.25">
      <c r="T368" s="9">
        <f>IF(C368&lt;&gt;0,C368-Gear!$C$18,0)</f>
        <v>0</v>
      </c>
      <c r="U368" s="9">
        <f>IF(C368&lt;&gt;0,C368-Gear!$C$18,0)</f>
        <v>0</v>
      </c>
    </row>
    <row r="369" spans="20:21" x14ac:dyDescent="0.25">
      <c r="T369" s="9">
        <f>IF(C369&lt;&gt;0,C369-Gear!$C$18,0)</f>
        <v>0</v>
      </c>
      <c r="U369" s="9">
        <f>IF(C369&lt;&gt;0,C369-Gear!$C$18,0)</f>
        <v>0</v>
      </c>
    </row>
    <row r="370" spans="20:21" x14ac:dyDescent="0.25">
      <c r="T370" s="9">
        <f>IF(C370&lt;&gt;0,C370-Gear!$C$18,0)</f>
        <v>0</v>
      </c>
      <c r="U370" s="9">
        <f>IF(C370&lt;&gt;0,C370-Gear!$C$18,0)</f>
        <v>0</v>
      </c>
    </row>
    <row r="371" spans="20:21" x14ac:dyDescent="0.25">
      <c r="T371" s="9">
        <f>IF(C371&lt;&gt;0,C371-Gear!$C$18,0)</f>
        <v>0</v>
      </c>
      <c r="U371" s="9">
        <f>IF(C371&lt;&gt;0,C371-Gear!$C$18,0)</f>
        <v>0</v>
      </c>
    </row>
    <row r="372" spans="20:21" x14ac:dyDescent="0.25">
      <c r="T372" s="9">
        <f>IF(C372&lt;&gt;0,C372-Gear!$C$18,0)</f>
        <v>0</v>
      </c>
      <c r="U372" s="9">
        <f>IF(C372&lt;&gt;0,C372-Gear!$C$18,0)</f>
        <v>0</v>
      </c>
    </row>
    <row r="373" spans="20:21" x14ac:dyDescent="0.25">
      <c r="T373" s="9">
        <f>IF(C373&lt;&gt;0,C373-Gear!$C$18,0)</f>
        <v>0</v>
      </c>
      <c r="U373" s="9">
        <f>IF(C373&lt;&gt;0,C373-Gear!$C$18,0)</f>
        <v>0</v>
      </c>
    </row>
    <row r="374" spans="20:21" x14ac:dyDescent="0.25">
      <c r="T374" s="9">
        <f>IF(C374&lt;&gt;0,C374-Gear!$C$18,0)</f>
        <v>0</v>
      </c>
      <c r="U374" s="9">
        <f>IF(C374&lt;&gt;0,C374-Gear!$C$18,0)</f>
        <v>0</v>
      </c>
    </row>
    <row r="375" spans="20:21" x14ac:dyDescent="0.25">
      <c r="T375" s="9">
        <f>IF(C375&lt;&gt;0,C375-Gear!$C$18,0)</f>
        <v>0</v>
      </c>
      <c r="U375" s="9">
        <f>IF(C375&lt;&gt;0,C375-Gear!$C$18,0)</f>
        <v>0</v>
      </c>
    </row>
    <row r="376" spans="20:21" x14ac:dyDescent="0.25">
      <c r="T376" s="9">
        <f>IF(C376&lt;&gt;0,C376-Gear!$C$18,0)</f>
        <v>0</v>
      </c>
      <c r="U376" s="9">
        <f>IF(C376&lt;&gt;0,C376-Gear!$C$18,0)</f>
        <v>0</v>
      </c>
    </row>
    <row r="377" spans="20:21" x14ac:dyDescent="0.25">
      <c r="T377" s="9">
        <f>IF(C377&lt;&gt;0,C377-Gear!$C$18,0)</f>
        <v>0</v>
      </c>
      <c r="U377" s="9">
        <f>IF(C377&lt;&gt;0,C377-Gear!$C$18,0)</f>
        <v>0</v>
      </c>
    </row>
    <row r="378" spans="20:21" x14ac:dyDescent="0.25">
      <c r="T378" s="9">
        <f>IF(C378&lt;&gt;0,C378-Gear!$C$18,0)</f>
        <v>0</v>
      </c>
      <c r="U378" s="9">
        <f>IF(C378&lt;&gt;0,C378-Gear!$C$18,0)</f>
        <v>0</v>
      </c>
    </row>
    <row r="379" spans="20:21" x14ac:dyDescent="0.25">
      <c r="T379" s="9">
        <f>IF(C379&lt;&gt;0,C379-Gear!$C$18,0)</f>
        <v>0</v>
      </c>
      <c r="U379" s="9">
        <f>IF(C379&lt;&gt;0,C379-Gear!$C$18,0)</f>
        <v>0</v>
      </c>
    </row>
    <row r="380" spans="20:21" x14ac:dyDescent="0.25">
      <c r="T380" s="9">
        <f>IF(C380&lt;&gt;0,C380-Gear!$C$18,0)</f>
        <v>0</v>
      </c>
      <c r="U380" s="9">
        <f>IF(C380&lt;&gt;0,C380-Gear!$C$18,0)</f>
        <v>0</v>
      </c>
    </row>
    <row r="381" spans="20:21" x14ac:dyDescent="0.25">
      <c r="T381" s="9">
        <f>IF(C381&lt;&gt;0,C381-Gear!$C$18,0)</f>
        <v>0</v>
      </c>
      <c r="U381" s="9">
        <f>IF(C381&lt;&gt;0,C381-Gear!$C$18,0)</f>
        <v>0</v>
      </c>
    </row>
    <row r="382" spans="20:21" x14ac:dyDescent="0.25">
      <c r="T382" s="9">
        <f>IF(C382&lt;&gt;0,C382-Gear!$C$18,0)</f>
        <v>0</v>
      </c>
      <c r="U382" s="9">
        <f>IF(C382&lt;&gt;0,C382-Gear!$C$18,0)</f>
        <v>0</v>
      </c>
    </row>
    <row r="383" spans="20:21" x14ac:dyDescent="0.25">
      <c r="T383" s="9">
        <f>IF(C383&lt;&gt;0,C383-Gear!$C$18,0)</f>
        <v>0</v>
      </c>
      <c r="U383" s="9">
        <f>IF(C383&lt;&gt;0,C383-Gear!$C$18,0)</f>
        <v>0</v>
      </c>
    </row>
    <row r="384" spans="20:21" x14ac:dyDescent="0.25">
      <c r="T384" s="9">
        <f>IF(C384&lt;&gt;0,C384-Gear!$C$18,0)</f>
        <v>0</v>
      </c>
      <c r="U384" s="9">
        <f>IF(C384&lt;&gt;0,C384-Gear!$C$18,0)</f>
        <v>0</v>
      </c>
    </row>
    <row r="385" spans="20:21" x14ac:dyDescent="0.25">
      <c r="T385" s="9">
        <f>IF(C385&lt;&gt;0,C385-Gear!$C$18,0)</f>
        <v>0</v>
      </c>
      <c r="U385" s="9">
        <f>IF(C385&lt;&gt;0,C385-Gear!$C$18,0)</f>
        <v>0</v>
      </c>
    </row>
    <row r="386" spans="20:21" x14ac:dyDescent="0.25">
      <c r="T386" s="9">
        <f>IF(C386&lt;&gt;0,C386-Gear!$C$18,0)</f>
        <v>0</v>
      </c>
      <c r="U386" s="9">
        <f>IF(C386&lt;&gt;0,C386-Gear!$C$18,0)</f>
        <v>0</v>
      </c>
    </row>
    <row r="387" spans="20:21" x14ac:dyDescent="0.25">
      <c r="T387" s="9">
        <f>IF(C387&lt;&gt;0,C387-Gear!$C$18,0)</f>
        <v>0</v>
      </c>
      <c r="U387" s="9">
        <f>IF(C387&lt;&gt;0,C387-Gear!$C$18,0)</f>
        <v>0</v>
      </c>
    </row>
    <row r="388" spans="20:21" x14ac:dyDescent="0.25">
      <c r="T388" s="9">
        <f>IF(C388&lt;&gt;0,C388-Gear!$C$18,0)</f>
        <v>0</v>
      </c>
      <c r="U388" s="9">
        <f>IF(C388&lt;&gt;0,C388-Gear!$C$18,0)</f>
        <v>0</v>
      </c>
    </row>
    <row r="389" spans="20:21" x14ac:dyDescent="0.25">
      <c r="T389" s="9">
        <f>IF(C389&lt;&gt;0,C389-Gear!$C$18,0)</f>
        <v>0</v>
      </c>
      <c r="U389" s="9">
        <f>IF(C389&lt;&gt;0,C389-Gear!$C$18,0)</f>
        <v>0</v>
      </c>
    </row>
    <row r="390" spans="20:21" x14ac:dyDescent="0.25">
      <c r="T390" s="9">
        <f>IF(C390&lt;&gt;0,C390-Gear!$C$18,0)</f>
        <v>0</v>
      </c>
      <c r="U390" s="9">
        <f>IF(C390&lt;&gt;0,C390-Gear!$C$18,0)</f>
        <v>0</v>
      </c>
    </row>
    <row r="391" spans="20:21" x14ac:dyDescent="0.25">
      <c r="T391" s="9">
        <f>IF(C391&lt;&gt;0,C391-Gear!$C$18,0)</f>
        <v>0</v>
      </c>
      <c r="U391" s="9">
        <f>IF(C391&lt;&gt;0,C391-Gear!$C$18,0)</f>
        <v>0</v>
      </c>
    </row>
    <row r="392" spans="20:21" x14ac:dyDescent="0.25">
      <c r="T392" s="9">
        <f>IF(C392&lt;&gt;0,C392-Gear!$C$18,0)</f>
        <v>0</v>
      </c>
      <c r="U392" s="9">
        <f>IF(C392&lt;&gt;0,C392-Gear!$C$18,0)</f>
        <v>0</v>
      </c>
    </row>
    <row r="393" spans="20:21" x14ac:dyDescent="0.25">
      <c r="T393" s="9">
        <f>IF(C393&lt;&gt;0,C393-Gear!$C$18,0)</f>
        <v>0</v>
      </c>
      <c r="U393" s="9">
        <f>IF(C393&lt;&gt;0,C393-Gear!$C$18,0)</f>
        <v>0</v>
      </c>
    </row>
    <row r="394" spans="20:21" x14ac:dyDescent="0.25">
      <c r="T394" s="9">
        <f>IF(C394&lt;&gt;0,C394-Gear!$C$18,0)</f>
        <v>0</v>
      </c>
      <c r="U394" s="9">
        <f>IF(C394&lt;&gt;0,C394-Gear!$C$18,0)</f>
        <v>0</v>
      </c>
    </row>
    <row r="395" spans="20:21" x14ac:dyDescent="0.25">
      <c r="T395" s="9">
        <f>IF(C395&lt;&gt;0,C395-Gear!$C$18,0)</f>
        <v>0</v>
      </c>
      <c r="U395" s="9">
        <f>IF(C395&lt;&gt;0,C395-Gear!$C$18,0)</f>
        <v>0</v>
      </c>
    </row>
    <row r="396" spans="20:21" x14ac:dyDescent="0.25">
      <c r="T396" s="9">
        <f>IF(C396&lt;&gt;0,C396-Gear!$C$18,0)</f>
        <v>0</v>
      </c>
      <c r="U396" s="9">
        <f>IF(C396&lt;&gt;0,C396-Gear!$C$18,0)</f>
        <v>0</v>
      </c>
    </row>
    <row r="397" spans="20:21" x14ac:dyDescent="0.25">
      <c r="T397" s="9">
        <f>IF(C397&lt;&gt;0,C397-Gear!$C$18,0)</f>
        <v>0</v>
      </c>
      <c r="U397" s="9">
        <f>IF(C397&lt;&gt;0,C397-Gear!$C$18,0)</f>
        <v>0</v>
      </c>
    </row>
    <row r="398" spans="20:21" x14ac:dyDescent="0.25">
      <c r="T398" s="9">
        <f>IF(C398&lt;&gt;0,C398-Gear!$C$18,0)</f>
        <v>0</v>
      </c>
      <c r="U398" s="9">
        <f>IF(C398&lt;&gt;0,C398-Gear!$C$18,0)</f>
        <v>0</v>
      </c>
    </row>
    <row r="399" spans="20:21" x14ac:dyDescent="0.25">
      <c r="T399" s="9">
        <f>IF(C399&lt;&gt;0,C399-Gear!$C$18,0)</f>
        <v>0</v>
      </c>
      <c r="U399" s="9">
        <f>IF(C399&lt;&gt;0,C399-Gear!$C$18,0)</f>
        <v>0</v>
      </c>
    </row>
    <row r="400" spans="20:21" x14ac:dyDescent="0.25">
      <c r="T400" s="9">
        <f>IF(C400&lt;&gt;0,C400-Gear!$C$18,0)</f>
        <v>0</v>
      </c>
      <c r="U400" s="9">
        <f>IF(C400&lt;&gt;0,C400-Gear!$C$18,0)</f>
        <v>0</v>
      </c>
    </row>
    <row r="401" spans="20:21" x14ac:dyDescent="0.25">
      <c r="T401" s="9">
        <f>IF(C401&lt;&gt;0,C401-Gear!$C$18,0)</f>
        <v>0</v>
      </c>
      <c r="U401" s="9">
        <f>IF(C401&lt;&gt;0,C401-Gear!$C$18,0)</f>
        <v>0</v>
      </c>
    </row>
    <row r="402" spans="20:21" x14ac:dyDescent="0.25">
      <c r="T402" s="9">
        <f>IF(C402&lt;&gt;0,C402-Gear!$C$18,0)</f>
        <v>0</v>
      </c>
      <c r="U402" s="9">
        <f>IF(C402&lt;&gt;0,C402-Gear!$C$18,0)</f>
        <v>0</v>
      </c>
    </row>
    <row r="403" spans="20:21" x14ac:dyDescent="0.25">
      <c r="T403" s="9">
        <f>IF(C403&lt;&gt;0,C403-Gear!$C$18,0)</f>
        <v>0</v>
      </c>
      <c r="U403" s="9">
        <f>IF(C403&lt;&gt;0,C403-Gear!$C$18,0)</f>
        <v>0</v>
      </c>
    </row>
    <row r="404" spans="20:21" x14ac:dyDescent="0.25">
      <c r="T404" s="9">
        <f>IF(C404&lt;&gt;0,C404-Gear!$C$18,0)</f>
        <v>0</v>
      </c>
      <c r="U404" s="9">
        <f>IF(C404&lt;&gt;0,C404-Gear!$C$18,0)</f>
        <v>0</v>
      </c>
    </row>
    <row r="405" spans="20:21" x14ac:dyDescent="0.25">
      <c r="T405" s="9">
        <f>IF(C405&lt;&gt;0,C405-Gear!$C$18,0)</f>
        <v>0</v>
      </c>
      <c r="U405" s="9">
        <f>IF(C405&lt;&gt;0,C405-Gear!$C$18,0)</f>
        <v>0</v>
      </c>
    </row>
    <row r="406" spans="20:21" x14ac:dyDescent="0.25">
      <c r="T406" s="9">
        <f>IF(C406&lt;&gt;0,C406-Gear!$C$18,0)</f>
        <v>0</v>
      </c>
      <c r="U406" s="9">
        <f>IF(C406&lt;&gt;0,C406-Gear!$C$18,0)</f>
        <v>0</v>
      </c>
    </row>
    <row r="407" spans="20:21" x14ac:dyDescent="0.25">
      <c r="T407" s="9">
        <f>IF(C407&lt;&gt;0,C407-Gear!$C$18,0)</f>
        <v>0</v>
      </c>
      <c r="U407" s="9">
        <f>IF(C407&lt;&gt;0,C407-Gear!$C$18,0)</f>
        <v>0</v>
      </c>
    </row>
    <row r="408" spans="20:21" x14ac:dyDescent="0.25">
      <c r="T408" s="9">
        <f>IF(C408&lt;&gt;0,C408-Gear!$C$18,0)</f>
        <v>0</v>
      </c>
      <c r="U408" s="9">
        <f>IF(C408&lt;&gt;0,C408-Gear!$C$18,0)</f>
        <v>0</v>
      </c>
    </row>
    <row r="409" spans="20:21" x14ac:dyDescent="0.25">
      <c r="T409" s="9">
        <f>IF(C409&lt;&gt;0,C409-Gear!$C$18,0)</f>
        <v>0</v>
      </c>
      <c r="U409" s="9">
        <f>IF(C409&lt;&gt;0,C409-Gear!$C$18,0)</f>
        <v>0</v>
      </c>
    </row>
    <row r="410" spans="20:21" x14ac:dyDescent="0.25">
      <c r="T410" s="9">
        <f>IF(C410&lt;&gt;0,C410-Gear!$C$18,0)</f>
        <v>0</v>
      </c>
      <c r="U410" s="9">
        <f>IF(C410&lt;&gt;0,C410-Gear!$C$18,0)</f>
        <v>0</v>
      </c>
    </row>
    <row r="411" spans="20:21" x14ac:dyDescent="0.25">
      <c r="T411" s="9">
        <f>IF(C411&lt;&gt;0,C411-Gear!$C$18,0)</f>
        <v>0</v>
      </c>
      <c r="U411" s="9">
        <f>IF(C411&lt;&gt;0,C411-Gear!$C$18,0)</f>
        <v>0</v>
      </c>
    </row>
    <row r="412" spans="20:21" x14ac:dyDescent="0.25">
      <c r="T412" s="9">
        <f>IF(C412&lt;&gt;0,C412-Gear!$C$18,0)</f>
        <v>0</v>
      </c>
      <c r="U412" s="9">
        <f>IF(C412&lt;&gt;0,C412-Gear!$C$18,0)</f>
        <v>0</v>
      </c>
    </row>
    <row r="413" spans="20:21" x14ac:dyDescent="0.25">
      <c r="T413" s="9">
        <f>IF(C413&lt;&gt;0,C413-Gear!$C$18,0)</f>
        <v>0</v>
      </c>
      <c r="U413" s="9">
        <f>IF(C413&lt;&gt;0,C413-Gear!$C$18,0)</f>
        <v>0</v>
      </c>
    </row>
    <row r="414" spans="20:21" x14ac:dyDescent="0.25">
      <c r="T414" s="9">
        <f>IF(C414&lt;&gt;0,C414-Gear!$C$18,0)</f>
        <v>0</v>
      </c>
      <c r="U414" s="9">
        <f>IF(C414&lt;&gt;0,C414-Gear!$C$18,0)</f>
        <v>0</v>
      </c>
    </row>
    <row r="415" spans="20:21" x14ac:dyDescent="0.25">
      <c r="T415" s="9">
        <f>IF(C415&lt;&gt;0,C415-Gear!$C$18,0)</f>
        <v>0</v>
      </c>
      <c r="U415" s="9">
        <f>IF(C415&lt;&gt;0,C415-Gear!$C$18,0)</f>
        <v>0</v>
      </c>
    </row>
    <row r="416" spans="20:21" x14ac:dyDescent="0.25">
      <c r="T416" s="9">
        <f>IF(C416&lt;&gt;0,C416-Gear!$C$18,0)</f>
        <v>0</v>
      </c>
      <c r="U416" s="9">
        <f>IF(C416&lt;&gt;0,C416-Gear!$C$18,0)</f>
        <v>0</v>
      </c>
    </row>
    <row r="417" spans="20:21" x14ac:dyDescent="0.25">
      <c r="T417" s="9">
        <f>IF(C417&lt;&gt;0,C417-Gear!$C$18,0)</f>
        <v>0</v>
      </c>
      <c r="U417" s="9">
        <f>IF(C417&lt;&gt;0,C417-Gear!$C$18,0)</f>
        <v>0</v>
      </c>
    </row>
    <row r="418" spans="20:21" x14ac:dyDescent="0.25">
      <c r="T418" s="9">
        <f>IF(C418&lt;&gt;0,C418-Gear!$C$18,0)</f>
        <v>0</v>
      </c>
      <c r="U418" s="9">
        <f>IF(C418&lt;&gt;0,C418-Gear!$C$18,0)</f>
        <v>0</v>
      </c>
    </row>
    <row r="419" spans="20:21" x14ac:dyDescent="0.25">
      <c r="T419" s="9">
        <f>IF(C419&lt;&gt;0,C419-Gear!$C$18,0)</f>
        <v>0</v>
      </c>
      <c r="U419" s="9">
        <f>IF(C419&lt;&gt;0,C419-Gear!$C$18,0)</f>
        <v>0</v>
      </c>
    </row>
    <row r="420" spans="20:21" x14ac:dyDescent="0.25">
      <c r="T420" s="9">
        <f>IF(C420&lt;&gt;0,C420-Gear!$C$18,0)</f>
        <v>0</v>
      </c>
      <c r="U420" s="9">
        <f>IF(C420&lt;&gt;0,C420-Gear!$C$18,0)</f>
        <v>0</v>
      </c>
    </row>
    <row r="421" spans="20:21" x14ac:dyDescent="0.25">
      <c r="T421" s="9">
        <f>IF(C421&lt;&gt;0,C421-Gear!$C$18,0)</f>
        <v>0</v>
      </c>
      <c r="U421" s="9">
        <f>IF(C421&lt;&gt;0,C421-Gear!$C$18,0)</f>
        <v>0</v>
      </c>
    </row>
    <row r="422" spans="20:21" x14ac:dyDescent="0.25">
      <c r="T422" s="9">
        <f>IF(C422&lt;&gt;0,C422-Gear!$C$18,0)</f>
        <v>0</v>
      </c>
      <c r="U422" s="9">
        <f>IF(C422&lt;&gt;0,C422-Gear!$C$18,0)</f>
        <v>0</v>
      </c>
    </row>
    <row r="423" spans="20:21" x14ac:dyDescent="0.25">
      <c r="T423" s="9">
        <f>IF(C423&lt;&gt;0,C423-Gear!$C$18,0)</f>
        <v>0</v>
      </c>
      <c r="U423" s="9">
        <f>IF(C423&lt;&gt;0,C423-Gear!$C$18,0)</f>
        <v>0</v>
      </c>
    </row>
    <row r="424" spans="20:21" x14ac:dyDescent="0.25">
      <c r="T424" s="9">
        <f>IF(C424&lt;&gt;0,C424-Gear!$C$18,0)</f>
        <v>0</v>
      </c>
      <c r="U424" s="9">
        <f>IF(C424&lt;&gt;0,C424-Gear!$C$18,0)</f>
        <v>0</v>
      </c>
    </row>
    <row r="425" spans="20:21" x14ac:dyDescent="0.25">
      <c r="T425" s="9">
        <f>IF(C425&lt;&gt;0,C425-Gear!$C$18,0)</f>
        <v>0</v>
      </c>
      <c r="U425" s="9">
        <f>IF(C425&lt;&gt;0,C425-Gear!$C$18,0)</f>
        <v>0</v>
      </c>
    </row>
    <row r="426" spans="20:21" x14ac:dyDescent="0.25">
      <c r="T426" s="9">
        <f>IF(C426&lt;&gt;0,C426-Gear!$C$18,0)</f>
        <v>0</v>
      </c>
      <c r="U426" s="9">
        <f>IF(C426&lt;&gt;0,C426-Gear!$C$18,0)</f>
        <v>0</v>
      </c>
    </row>
    <row r="427" spans="20:21" x14ac:dyDescent="0.25">
      <c r="T427" s="9">
        <f>IF(C427&lt;&gt;0,C427-Gear!$C$18,0)</f>
        <v>0</v>
      </c>
      <c r="U427" s="9">
        <f>IF(C427&lt;&gt;0,C427-Gear!$C$18,0)</f>
        <v>0</v>
      </c>
    </row>
    <row r="428" spans="20:21" x14ac:dyDescent="0.25">
      <c r="T428" s="9">
        <f>IF(C428&lt;&gt;0,C428-Gear!$C$18,0)</f>
        <v>0</v>
      </c>
      <c r="U428" s="9">
        <f>IF(C428&lt;&gt;0,C428-Gear!$C$18,0)</f>
        <v>0</v>
      </c>
    </row>
    <row r="429" spans="20:21" x14ac:dyDescent="0.25">
      <c r="T429" s="9">
        <f>IF(C429&lt;&gt;0,C429-Gear!$C$18,0)</f>
        <v>0</v>
      </c>
      <c r="U429" s="9">
        <f>IF(C429&lt;&gt;0,C429-Gear!$C$18,0)</f>
        <v>0</v>
      </c>
    </row>
    <row r="430" spans="20:21" x14ac:dyDescent="0.25">
      <c r="T430" s="9">
        <f>IF(C430&lt;&gt;0,C430-Gear!$C$18,0)</f>
        <v>0</v>
      </c>
      <c r="U430" s="9">
        <f>IF(C430&lt;&gt;0,C430-Gear!$C$18,0)</f>
        <v>0</v>
      </c>
    </row>
    <row r="431" spans="20:21" x14ac:dyDescent="0.25">
      <c r="T431" s="9">
        <f>IF(C431&lt;&gt;0,C431-Gear!$C$18,0)</f>
        <v>0</v>
      </c>
      <c r="U431" s="9">
        <f>IF(C431&lt;&gt;0,C431-Gear!$C$18,0)</f>
        <v>0</v>
      </c>
    </row>
    <row r="432" spans="20:21" x14ac:dyDescent="0.25">
      <c r="T432" s="9">
        <f>IF(C432&lt;&gt;0,C432-Gear!$C$18,0)</f>
        <v>0</v>
      </c>
      <c r="U432" s="9">
        <f>IF(C432&lt;&gt;0,C432-Gear!$C$18,0)</f>
        <v>0</v>
      </c>
    </row>
    <row r="433" spans="20:21" x14ac:dyDescent="0.25">
      <c r="T433" s="9">
        <f>IF(C433&lt;&gt;0,C433-Gear!$C$18,0)</f>
        <v>0</v>
      </c>
      <c r="U433" s="9">
        <f>IF(C433&lt;&gt;0,C433-Gear!$C$18,0)</f>
        <v>0</v>
      </c>
    </row>
    <row r="434" spans="20:21" x14ac:dyDescent="0.25">
      <c r="T434" s="9">
        <f>IF(C434&lt;&gt;0,C434-Gear!$C$18,0)</f>
        <v>0</v>
      </c>
      <c r="U434" s="9">
        <f>IF(C434&lt;&gt;0,C434-Gear!$C$18,0)</f>
        <v>0</v>
      </c>
    </row>
    <row r="435" spans="20:21" x14ac:dyDescent="0.25">
      <c r="T435" s="9">
        <f>IF(C435&lt;&gt;0,C435-Gear!$C$18,0)</f>
        <v>0</v>
      </c>
      <c r="U435" s="9">
        <f>IF(C435&lt;&gt;0,C435-Gear!$C$18,0)</f>
        <v>0</v>
      </c>
    </row>
    <row r="436" spans="20:21" x14ac:dyDescent="0.25">
      <c r="T436" s="9">
        <f>IF(C436&lt;&gt;0,C436-Gear!$C$18,0)</f>
        <v>0</v>
      </c>
      <c r="U436" s="9">
        <f>IF(C436&lt;&gt;0,C436-Gear!$C$18,0)</f>
        <v>0</v>
      </c>
    </row>
    <row r="437" spans="20:21" x14ac:dyDescent="0.25">
      <c r="T437" s="9">
        <f>IF(C437&lt;&gt;0,C437-Gear!$C$18,0)</f>
        <v>0</v>
      </c>
      <c r="U437" s="9">
        <f>IF(C437&lt;&gt;0,C437-Gear!$C$18,0)</f>
        <v>0</v>
      </c>
    </row>
    <row r="438" spans="20:21" x14ac:dyDescent="0.25">
      <c r="T438" s="9">
        <f>IF(C438&lt;&gt;0,C438-Gear!$C$18,0)</f>
        <v>0</v>
      </c>
      <c r="U438" s="9">
        <f>IF(C438&lt;&gt;0,C438-Gear!$C$18,0)</f>
        <v>0</v>
      </c>
    </row>
    <row r="439" spans="20:21" x14ac:dyDescent="0.25">
      <c r="T439" s="9">
        <f>IF(C439&lt;&gt;0,C439-Gear!$C$18,0)</f>
        <v>0</v>
      </c>
      <c r="U439" s="9">
        <f>IF(C439&lt;&gt;0,C439-Gear!$C$18,0)</f>
        <v>0</v>
      </c>
    </row>
    <row r="440" spans="20:21" x14ac:dyDescent="0.25">
      <c r="T440" s="9">
        <f>IF(C440&lt;&gt;0,C440-Gear!$C$18,0)</f>
        <v>0</v>
      </c>
      <c r="U440" s="9">
        <f>IF(C440&lt;&gt;0,C440-Gear!$C$18,0)</f>
        <v>0</v>
      </c>
    </row>
    <row r="441" spans="20:21" x14ac:dyDescent="0.25">
      <c r="T441" s="9">
        <f>IF(C441&lt;&gt;0,C441-Gear!$C$18,0)</f>
        <v>0</v>
      </c>
      <c r="U441" s="9">
        <f>IF(C441&lt;&gt;0,C441-Gear!$C$18,0)</f>
        <v>0</v>
      </c>
    </row>
    <row r="442" spans="20:21" x14ac:dyDescent="0.25">
      <c r="T442" s="9">
        <f>IF(C442&lt;&gt;0,C442-Gear!$C$18,0)</f>
        <v>0</v>
      </c>
      <c r="U442" s="9">
        <f>IF(C442&lt;&gt;0,C442-Gear!$C$18,0)</f>
        <v>0</v>
      </c>
    </row>
    <row r="443" spans="20:21" x14ac:dyDescent="0.25">
      <c r="T443" s="9">
        <f>IF(C443&lt;&gt;0,C443-Gear!$C$18,0)</f>
        <v>0</v>
      </c>
      <c r="U443" s="9">
        <f>IF(C443&lt;&gt;0,C443-Gear!$C$18,0)</f>
        <v>0</v>
      </c>
    </row>
    <row r="444" spans="20:21" x14ac:dyDescent="0.25">
      <c r="T444" s="9">
        <f>IF(C444&lt;&gt;0,C444-Gear!$C$18,0)</f>
        <v>0</v>
      </c>
      <c r="U444" s="9">
        <f>IF(C444&lt;&gt;0,C444-Gear!$C$18,0)</f>
        <v>0</v>
      </c>
    </row>
    <row r="445" spans="20:21" x14ac:dyDescent="0.25">
      <c r="T445" s="9">
        <f>IF(C445&lt;&gt;0,C445-Gear!$C$18,0)</f>
        <v>0</v>
      </c>
      <c r="U445" s="9">
        <f>IF(C445&lt;&gt;0,C445-Gear!$C$18,0)</f>
        <v>0</v>
      </c>
    </row>
    <row r="446" spans="20:21" x14ac:dyDescent="0.25">
      <c r="T446" s="9">
        <f>IF(C446&lt;&gt;0,C446-Gear!$C$18,0)</f>
        <v>0</v>
      </c>
      <c r="U446" s="9">
        <f>IF(C446&lt;&gt;0,C446-Gear!$C$18,0)</f>
        <v>0</v>
      </c>
    </row>
    <row r="447" spans="20:21" x14ac:dyDescent="0.25">
      <c r="T447" s="9">
        <f>IF(C447&lt;&gt;0,C447-Gear!$C$18,0)</f>
        <v>0</v>
      </c>
      <c r="U447" s="9">
        <f>IF(C447&lt;&gt;0,C447-Gear!$C$18,0)</f>
        <v>0</v>
      </c>
    </row>
    <row r="448" spans="20:21" x14ac:dyDescent="0.25">
      <c r="T448" s="9">
        <f>IF(C448&lt;&gt;0,C448-Gear!$C$18,0)</f>
        <v>0</v>
      </c>
      <c r="U448" s="9">
        <f>IF(C448&lt;&gt;0,C448-Gear!$C$18,0)</f>
        <v>0</v>
      </c>
    </row>
    <row r="449" spans="20:21" x14ac:dyDescent="0.25">
      <c r="T449" s="9">
        <f>IF(C449&lt;&gt;0,C449-Gear!$C$18,0)</f>
        <v>0</v>
      </c>
      <c r="U449" s="9">
        <f>IF(C449&lt;&gt;0,C449-Gear!$C$18,0)</f>
        <v>0</v>
      </c>
    </row>
    <row r="450" spans="20:21" x14ac:dyDescent="0.25">
      <c r="T450" s="9">
        <f>IF(C450&lt;&gt;0,C450-Gear!$C$18,0)</f>
        <v>0</v>
      </c>
      <c r="U450" s="9">
        <f>IF(C450&lt;&gt;0,C450-Gear!$C$18,0)</f>
        <v>0</v>
      </c>
    </row>
    <row r="451" spans="20:21" x14ac:dyDescent="0.25">
      <c r="T451" s="9">
        <f>IF(C451&lt;&gt;0,C451-Gear!$C$18,0)</f>
        <v>0</v>
      </c>
      <c r="U451" s="9">
        <f>IF(C451&lt;&gt;0,C451-Gear!$C$18,0)</f>
        <v>0</v>
      </c>
    </row>
    <row r="452" spans="20:21" x14ac:dyDescent="0.25">
      <c r="T452" s="9">
        <f>IF(C452&lt;&gt;0,C452-Gear!$C$18,0)</f>
        <v>0</v>
      </c>
      <c r="U452" s="9">
        <f>IF(C452&lt;&gt;0,C452-Gear!$C$18,0)</f>
        <v>0</v>
      </c>
    </row>
    <row r="453" spans="20:21" x14ac:dyDescent="0.25">
      <c r="T453" s="9">
        <f>IF(C453&lt;&gt;0,C453-Gear!$C$18,0)</f>
        <v>0</v>
      </c>
      <c r="U453" s="9">
        <f>IF(C453&lt;&gt;0,C453-Gear!$C$18,0)</f>
        <v>0</v>
      </c>
    </row>
    <row r="454" spans="20:21" x14ac:dyDescent="0.25">
      <c r="T454" s="9">
        <f>IF(C454&lt;&gt;0,C454-Gear!$C$18,0)</f>
        <v>0</v>
      </c>
      <c r="U454" s="9">
        <f>IF(C454&lt;&gt;0,C454-Gear!$C$18,0)</f>
        <v>0</v>
      </c>
    </row>
    <row r="455" spans="20:21" x14ac:dyDescent="0.25">
      <c r="T455" s="9">
        <f>IF(C455&lt;&gt;0,C455-Gear!$C$18,0)</f>
        <v>0</v>
      </c>
      <c r="U455" s="9">
        <f>IF(C455&lt;&gt;0,C455-Gear!$C$18,0)</f>
        <v>0</v>
      </c>
    </row>
    <row r="456" spans="20:21" x14ac:dyDescent="0.25">
      <c r="T456" s="9">
        <f>IF(C456&lt;&gt;0,C456-Gear!$C$18,0)</f>
        <v>0</v>
      </c>
      <c r="U456" s="9">
        <f>IF(C456&lt;&gt;0,C456-Gear!$C$18,0)</f>
        <v>0</v>
      </c>
    </row>
    <row r="457" spans="20:21" x14ac:dyDescent="0.25">
      <c r="T457" s="9">
        <f>IF(C457&lt;&gt;0,C457-Gear!$C$18,0)</f>
        <v>0</v>
      </c>
      <c r="U457" s="9">
        <f>IF(C457&lt;&gt;0,C457-Gear!$C$18,0)</f>
        <v>0</v>
      </c>
    </row>
    <row r="458" spans="20:21" x14ac:dyDescent="0.25">
      <c r="T458" s="9">
        <f>IF(C458&lt;&gt;0,C458-Gear!$C$18,0)</f>
        <v>0</v>
      </c>
      <c r="U458" s="9">
        <f>IF(C458&lt;&gt;0,C458-Gear!$C$18,0)</f>
        <v>0</v>
      </c>
    </row>
    <row r="459" spans="20:21" x14ac:dyDescent="0.25">
      <c r="T459" s="9">
        <f>IF(C459&lt;&gt;0,C459-Gear!$C$18,0)</f>
        <v>0</v>
      </c>
      <c r="U459" s="9">
        <f>IF(C459&lt;&gt;0,C459-Gear!$C$18,0)</f>
        <v>0</v>
      </c>
    </row>
    <row r="460" spans="20:21" x14ac:dyDescent="0.25">
      <c r="T460" s="9">
        <f>IF(C460&lt;&gt;0,C460-Gear!$C$18,0)</f>
        <v>0</v>
      </c>
      <c r="U460" s="9">
        <f>IF(C460&lt;&gt;0,C460-Gear!$C$18,0)</f>
        <v>0</v>
      </c>
    </row>
    <row r="461" spans="20:21" x14ac:dyDescent="0.25">
      <c r="T461" s="9">
        <f>IF(C461&lt;&gt;0,C461-Gear!$C$18,0)</f>
        <v>0</v>
      </c>
      <c r="U461" s="9">
        <f>IF(C461&lt;&gt;0,C461-Gear!$C$18,0)</f>
        <v>0</v>
      </c>
    </row>
    <row r="462" spans="20:21" x14ac:dyDescent="0.25">
      <c r="T462" s="9">
        <f>IF(C462&lt;&gt;0,C462-Gear!$C$18,0)</f>
        <v>0</v>
      </c>
      <c r="U462" s="9">
        <f>IF(C462&lt;&gt;0,C462-Gear!$C$18,0)</f>
        <v>0</v>
      </c>
    </row>
    <row r="463" spans="20:21" x14ac:dyDescent="0.25">
      <c r="T463" s="9">
        <f>IF(C463&lt;&gt;0,C463-Gear!$C$18,0)</f>
        <v>0</v>
      </c>
      <c r="U463" s="9">
        <f>IF(C463&lt;&gt;0,C463-Gear!$C$18,0)</f>
        <v>0</v>
      </c>
    </row>
    <row r="464" spans="20:21" x14ac:dyDescent="0.25">
      <c r="T464" s="9">
        <f>IF(C464&lt;&gt;0,C464-Gear!$C$18,0)</f>
        <v>0</v>
      </c>
      <c r="U464" s="9">
        <f>IF(C464&lt;&gt;0,C464-Gear!$C$18,0)</f>
        <v>0</v>
      </c>
    </row>
    <row r="465" spans="20:21" x14ac:dyDescent="0.25">
      <c r="T465" s="9">
        <f>IF(C465&lt;&gt;0,C465-Gear!$C$18,0)</f>
        <v>0</v>
      </c>
      <c r="U465" s="9">
        <f>IF(C465&lt;&gt;0,C465-Gear!$C$18,0)</f>
        <v>0</v>
      </c>
    </row>
    <row r="466" spans="20:21" x14ac:dyDescent="0.25">
      <c r="T466" s="9">
        <f>IF(C466&lt;&gt;0,C466-Gear!$C$18,0)</f>
        <v>0</v>
      </c>
      <c r="U466" s="9">
        <f>IF(C466&lt;&gt;0,C466-Gear!$C$18,0)</f>
        <v>0</v>
      </c>
    </row>
    <row r="467" spans="20:21" x14ac:dyDescent="0.25">
      <c r="T467" s="9">
        <f>IF(C467&lt;&gt;0,C467-Gear!$C$18,0)</f>
        <v>0</v>
      </c>
      <c r="U467" s="9">
        <f>IF(C467&lt;&gt;0,C467-Gear!$C$18,0)</f>
        <v>0</v>
      </c>
    </row>
    <row r="468" spans="20:21" x14ac:dyDescent="0.25">
      <c r="T468" s="9">
        <f>IF(C468&lt;&gt;0,C468-Gear!$C$18,0)</f>
        <v>0</v>
      </c>
      <c r="U468" s="9">
        <f>IF(C468&lt;&gt;0,C468-Gear!$C$18,0)</f>
        <v>0</v>
      </c>
    </row>
    <row r="469" spans="20:21" x14ac:dyDescent="0.25">
      <c r="T469" s="9">
        <f>IF(C469&lt;&gt;0,C469-Gear!$C$18,0)</f>
        <v>0</v>
      </c>
      <c r="U469" s="9">
        <f>IF(C469&lt;&gt;0,C469-Gear!$C$18,0)</f>
        <v>0</v>
      </c>
    </row>
    <row r="470" spans="20:21" x14ac:dyDescent="0.25">
      <c r="T470" s="9">
        <f>IF(C470&lt;&gt;0,C470-Gear!$C$18,0)</f>
        <v>0</v>
      </c>
      <c r="U470" s="9">
        <f>IF(C470&lt;&gt;0,C470-Gear!$C$18,0)</f>
        <v>0</v>
      </c>
    </row>
    <row r="471" spans="20:21" x14ac:dyDescent="0.25">
      <c r="T471" s="9">
        <f>IF(C471&lt;&gt;0,C471-Gear!$C$18,0)</f>
        <v>0</v>
      </c>
      <c r="U471" s="9">
        <f>IF(C471&lt;&gt;0,C471-Gear!$C$18,0)</f>
        <v>0</v>
      </c>
    </row>
    <row r="472" spans="20:21" x14ac:dyDescent="0.25">
      <c r="T472" s="9">
        <f>IF(C472&lt;&gt;0,C472-Gear!$C$18,0)</f>
        <v>0</v>
      </c>
      <c r="U472" s="9">
        <f>IF(C472&lt;&gt;0,C472-Gear!$C$18,0)</f>
        <v>0</v>
      </c>
    </row>
    <row r="473" spans="20:21" x14ac:dyDescent="0.25">
      <c r="T473" s="9">
        <f>IF(C473&lt;&gt;0,C473-Gear!$C$18,0)</f>
        <v>0</v>
      </c>
      <c r="U473" s="9">
        <f>IF(C473&lt;&gt;0,C473-Gear!$C$18,0)</f>
        <v>0</v>
      </c>
    </row>
    <row r="474" spans="20:21" x14ac:dyDescent="0.25">
      <c r="T474" s="9">
        <f>IF(C474&lt;&gt;0,C474-Gear!$C$18,0)</f>
        <v>0</v>
      </c>
      <c r="U474" s="9">
        <f>IF(C474&lt;&gt;0,C474-Gear!$C$18,0)</f>
        <v>0</v>
      </c>
    </row>
    <row r="475" spans="20:21" x14ac:dyDescent="0.25">
      <c r="T475" s="9">
        <f>IF(C475&lt;&gt;0,C475-Gear!$C$18,0)</f>
        <v>0</v>
      </c>
      <c r="U475" s="9">
        <f>IF(C475&lt;&gt;0,C475-Gear!$C$18,0)</f>
        <v>0</v>
      </c>
    </row>
    <row r="476" spans="20:21" x14ac:dyDescent="0.25">
      <c r="T476" s="9">
        <f>IF(C476&lt;&gt;0,C476-Gear!$C$18,0)</f>
        <v>0</v>
      </c>
      <c r="U476" s="9">
        <f>IF(C476&lt;&gt;0,C476-Gear!$C$18,0)</f>
        <v>0</v>
      </c>
    </row>
    <row r="477" spans="20:21" x14ac:dyDescent="0.25">
      <c r="T477" s="9">
        <f>IF(C477&lt;&gt;0,C477-Gear!$C$18,0)</f>
        <v>0</v>
      </c>
      <c r="U477" s="9">
        <f>IF(C477&lt;&gt;0,C477-Gear!$C$18,0)</f>
        <v>0</v>
      </c>
    </row>
    <row r="478" spans="20:21" x14ac:dyDescent="0.25">
      <c r="T478" s="9">
        <f>IF(C478&lt;&gt;0,C478-Gear!$C$18,0)</f>
        <v>0</v>
      </c>
      <c r="U478" s="9">
        <f>IF(C478&lt;&gt;0,C478-Gear!$C$18,0)</f>
        <v>0</v>
      </c>
    </row>
    <row r="479" spans="20:21" x14ac:dyDescent="0.25">
      <c r="T479" s="9">
        <f>IF(C479&lt;&gt;0,C479-Gear!$C$18,0)</f>
        <v>0</v>
      </c>
      <c r="U479" s="9">
        <f>IF(C479&lt;&gt;0,C479-Gear!$C$18,0)</f>
        <v>0</v>
      </c>
    </row>
    <row r="480" spans="20:21" x14ac:dyDescent="0.25">
      <c r="T480" s="9">
        <f>IF(C480&lt;&gt;0,C480-Gear!$C$18,0)</f>
        <v>0</v>
      </c>
      <c r="U480" s="9">
        <f>IF(C480&lt;&gt;0,C480-Gear!$C$18,0)</f>
        <v>0</v>
      </c>
    </row>
  </sheetData>
  <conditionalFormatting sqref="U2:U480">
    <cfRule type="cellIs" dxfId="1" priority="1" operator="greaterThan">
      <formula>0</formula>
    </cfRule>
  </conditionalFormatting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4D40D-28B5-4859-88B7-8A95D1E4C739}">
  <sheetPr codeName="Tabelle18"/>
  <dimension ref="A1:U443"/>
  <sheetViews>
    <sheetView showGridLines="0" workbookViewId="0">
      <selection activeCell="K25" sqref="K25"/>
    </sheetView>
  </sheetViews>
  <sheetFormatPr baseColWidth="10" defaultRowHeight="15" x14ac:dyDescent="0.25"/>
  <cols>
    <col min="1" max="1" width="6" style="9" bestFit="1" customWidth="1"/>
    <col min="2" max="2" width="18.28515625" style="9" bestFit="1" customWidth="1"/>
    <col min="3" max="3" width="12" style="9" bestFit="1" customWidth="1"/>
    <col min="4" max="4" width="8.28515625" style="9" bestFit="1" customWidth="1"/>
    <col min="5" max="5" width="6.5703125" style="9" bestFit="1" customWidth="1"/>
    <col min="6" max="6" width="8.5703125" style="9" bestFit="1" customWidth="1"/>
    <col min="7" max="7" width="8.140625" style="9" bestFit="1" customWidth="1"/>
    <col min="8" max="8" width="6.7109375" style="9" bestFit="1" customWidth="1"/>
    <col min="9" max="9" width="8.42578125" style="9" bestFit="1" customWidth="1"/>
    <col min="10" max="10" width="5.7109375" style="9" bestFit="1" customWidth="1"/>
    <col min="11" max="11" width="11.5703125" style="9" bestFit="1" customWidth="1"/>
    <col min="12" max="12" width="9" style="9" bestFit="1" customWidth="1"/>
    <col min="13" max="13" width="8.42578125" style="9" bestFit="1" customWidth="1"/>
    <col min="14" max="14" width="5" style="9" bestFit="1" customWidth="1"/>
    <col min="15" max="15" width="14.28515625" style="9" bestFit="1" customWidth="1"/>
    <col min="16" max="16" width="15.28515625" style="9" bestFit="1" customWidth="1"/>
    <col min="17" max="17" width="17.140625" style="9" bestFit="1" customWidth="1"/>
    <col min="18" max="18" width="18" style="9" bestFit="1" customWidth="1"/>
    <col min="19" max="19" width="17.140625" style="9" bestFit="1" customWidth="1"/>
    <col min="20" max="20" width="38.7109375" style="51" bestFit="1" customWidth="1"/>
  </cols>
  <sheetData>
    <row r="1" spans="1:21" x14ac:dyDescent="0.25">
      <c r="A1" s="31" t="str">
        <f>Head!A1</f>
        <v>ID</v>
      </c>
      <c r="B1" s="31" t="str">
        <f>Head!B1</f>
        <v>Name</v>
      </c>
      <c r="C1" s="31" t="str">
        <f>Head!C1</f>
        <v>Score</v>
      </c>
      <c r="D1" s="31" t="str">
        <f>Head!D1</f>
        <v>Slot</v>
      </c>
      <c r="E1" s="31" t="str">
        <f>Head!E1</f>
        <v>Armor</v>
      </c>
      <c r="F1" s="31" t="str">
        <f>Head!F1</f>
        <v>Strength</v>
      </c>
      <c r="G1" s="31" t="str">
        <f>Head!G1</f>
        <v>Stamina</v>
      </c>
      <c r="H1" s="31" t="str">
        <f>Head!H1</f>
        <v>Agility</v>
      </c>
      <c r="I1" s="31" t="str">
        <f>Head!I1</f>
        <v>Intellect</v>
      </c>
      <c r="J1" s="31" t="str">
        <f>Head!J1</f>
        <v>Spirit</v>
      </c>
      <c r="K1" s="31" t="str">
        <f>Head!K1</f>
        <v>Frost Spell Power</v>
      </c>
      <c r="L1" s="31" t="str">
        <f>Head!L1</f>
        <v>Spell Crit</v>
      </c>
      <c r="M1" s="31" t="str">
        <f>Head!M1</f>
        <v>Spell Hit</v>
      </c>
      <c r="N1" s="31" t="str">
        <f>Head!N1</f>
        <v>MP5</v>
      </c>
      <c r="O1" s="31" t="str">
        <f>Head!O1</f>
        <v>Fire Resistance</v>
      </c>
      <c r="P1" s="31" t="str">
        <f>Head!P1</f>
        <v>Frost Resistance</v>
      </c>
      <c r="Q1" s="31" t="str">
        <f>Head!Q1</f>
        <v>Nature Resistance</v>
      </c>
      <c r="R1" s="31" t="str">
        <f>Head!R1</f>
        <v>Shadow Resistance</v>
      </c>
      <c r="S1" s="31" t="str">
        <f>Head!S1</f>
        <v>Arcane Resistance</v>
      </c>
      <c r="T1" s="50" t="str">
        <f>Head!T1</f>
        <v>Link</v>
      </c>
      <c r="U1" s="31" t="str">
        <f>Head!U1</f>
        <v>Delta</v>
      </c>
    </row>
    <row r="2" spans="1:21" x14ac:dyDescent="0.25">
      <c r="A2" s="24">
        <f>'Item Database'!A34</f>
        <v>22983</v>
      </c>
      <c r="B2" s="9" t="str">
        <f>'Item Database'!B34</f>
        <v>Rime Covered Mantle</v>
      </c>
      <c r="C2" s="12">
        <f>'Item Database'!C34</f>
        <v>16.946399391603599</v>
      </c>
      <c r="D2" s="9" t="str">
        <f>'Item Database'!D34</f>
        <v>Shoulder</v>
      </c>
      <c r="E2" s="9">
        <f>'Item Database'!E34</f>
        <v>94</v>
      </c>
      <c r="F2" s="9">
        <f>'Item Database'!F34</f>
        <v>0</v>
      </c>
      <c r="G2" s="9">
        <f>'Item Database'!G34</f>
        <v>12</v>
      </c>
      <c r="H2" s="9">
        <f>'Item Database'!H34</f>
        <v>0</v>
      </c>
      <c r="I2" s="9">
        <f>'Item Database'!I34</f>
        <v>12</v>
      </c>
      <c r="J2" s="9">
        <f>'Item Database'!J34</f>
        <v>0</v>
      </c>
      <c r="K2" s="9">
        <f>'Item Database'!K34</f>
        <v>39</v>
      </c>
      <c r="L2" s="35">
        <f>'Item Database'!L34</f>
        <v>0.01</v>
      </c>
      <c r="M2" s="35">
        <f>'Item Database'!M34</f>
        <v>0</v>
      </c>
      <c r="N2" s="9">
        <f>'Item Database'!N34</f>
        <v>0</v>
      </c>
      <c r="O2" s="9">
        <f>'Item Database'!O34</f>
        <v>0</v>
      </c>
      <c r="P2" s="9">
        <f>'Item Database'!P34</f>
        <v>0</v>
      </c>
      <c r="Q2" s="9">
        <f>'Item Database'!Q34</f>
        <v>0</v>
      </c>
      <c r="R2" s="9">
        <f>'Item Database'!R34</f>
        <v>0</v>
      </c>
      <c r="S2" s="9">
        <f>'Item Database'!S34</f>
        <v>0</v>
      </c>
      <c r="T2" s="51" t="s">
        <v>735</v>
      </c>
      <c r="U2" s="9">
        <f>IF(C2&lt;&gt;0,C2-Gear!$C$17,0)</f>
        <v>16.946399391603599</v>
      </c>
    </row>
    <row r="3" spans="1:21" x14ac:dyDescent="0.25">
      <c r="A3" s="24">
        <f>'Item Database'!A43</f>
        <v>23025</v>
      </c>
      <c r="B3" s="9" t="str">
        <f>'Item Database'!B43</f>
        <v>Seal of the Damned</v>
      </c>
      <c r="C3" s="12">
        <f>'Item Database'!C43</f>
        <v>13.203312498274123</v>
      </c>
      <c r="D3" s="9" t="str">
        <f>'Item Database'!D43</f>
        <v>Ring</v>
      </c>
      <c r="E3" s="9">
        <f>'Item Database'!E43</f>
        <v>0</v>
      </c>
      <c r="F3" s="9">
        <f>'Item Database'!F43</f>
        <v>0</v>
      </c>
      <c r="G3" s="9">
        <f>'Item Database'!G43</f>
        <v>17</v>
      </c>
      <c r="H3" s="9">
        <f>'Item Database'!H43</f>
        <v>0</v>
      </c>
      <c r="I3" s="9">
        <f>'Item Database'!I43</f>
        <v>0</v>
      </c>
      <c r="J3" s="9">
        <f>'Item Database'!J43</f>
        <v>0</v>
      </c>
      <c r="K3" s="9">
        <f>'Item Database'!K43</f>
        <v>21</v>
      </c>
      <c r="L3" s="35">
        <f>'Item Database'!L43</f>
        <v>0.01</v>
      </c>
      <c r="M3" s="35">
        <f>'Item Database'!M43</f>
        <v>0.01</v>
      </c>
      <c r="N3" s="9">
        <f>'Item Database'!N43</f>
        <v>0</v>
      </c>
      <c r="O3" s="9">
        <f>'Item Database'!O43</f>
        <v>0</v>
      </c>
      <c r="P3" s="9">
        <f>'Item Database'!P43</f>
        <v>0</v>
      </c>
      <c r="Q3" s="9">
        <f>'Item Database'!Q43</f>
        <v>0</v>
      </c>
      <c r="R3" s="9">
        <f>'Item Database'!R43</f>
        <v>0</v>
      </c>
      <c r="S3" s="9">
        <f>'Item Database'!S43</f>
        <v>0</v>
      </c>
      <c r="T3" s="51" t="s">
        <v>736</v>
      </c>
      <c r="U3" s="9">
        <f>IF(C3&lt;&gt;0,C3-Gear!$C$17,0)</f>
        <v>13.203312498274123</v>
      </c>
    </row>
    <row r="4" spans="1:21" x14ac:dyDescent="0.25">
      <c r="A4" s="24">
        <f>'Item Database'!A71</f>
        <v>23057</v>
      </c>
      <c r="B4" s="9" t="str">
        <f>'Item Database'!B71</f>
        <v>Gem of Trapped Innocents</v>
      </c>
      <c r="C4" s="12">
        <f>'Item Database'!C71</f>
        <v>10.574793353785353</v>
      </c>
      <c r="D4" s="9" t="str">
        <f>'Item Database'!D71</f>
        <v>Neck</v>
      </c>
      <c r="E4" s="9">
        <f>'Item Database'!E71</f>
        <v>0</v>
      </c>
      <c r="F4" s="9">
        <f>'Item Database'!F71</f>
        <v>0</v>
      </c>
      <c r="G4" s="9">
        <f>'Item Database'!G71</f>
        <v>9</v>
      </c>
      <c r="H4" s="9">
        <f>'Item Database'!H71</f>
        <v>0</v>
      </c>
      <c r="I4" s="9">
        <f>'Item Database'!I71</f>
        <v>7</v>
      </c>
      <c r="J4" s="9">
        <f>'Item Database'!J71</f>
        <v>0</v>
      </c>
      <c r="K4" s="9">
        <f>'Item Database'!K71</f>
        <v>15</v>
      </c>
      <c r="L4" s="35">
        <f>'Item Database'!L71</f>
        <v>0.02</v>
      </c>
      <c r="M4" s="35">
        <f>'Item Database'!M71</f>
        <v>0</v>
      </c>
      <c r="N4" s="9">
        <f>'Item Database'!N71</f>
        <v>0</v>
      </c>
      <c r="O4" s="9">
        <f>'Item Database'!O71</f>
        <v>0</v>
      </c>
      <c r="P4" s="9">
        <f>'Item Database'!P71</f>
        <v>0</v>
      </c>
      <c r="Q4" s="9">
        <f>'Item Database'!Q71</f>
        <v>0</v>
      </c>
      <c r="R4" s="9">
        <f>'Item Database'!R71</f>
        <v>0</v>
      </c>
      <c r="S4" s="9">
        <f>'Item Database'!S71</f>
        <v>0</v>
      </c>
      <c r="T4" s="51" t="s">
        <v>741</v>
      </c>
      <c r="U4" s="9">
        <f>IF(C4&lt;&gt;0,C4-Gear!$C$17,0)</f>
        <v>10.574793353785353</v>
      </c>
    </row>
    <row r="5" spans="1:21" x14ac:dyDescent="0.25">
      <c r="A5" s="24">
        <f>'Item Database'!A84</f>
        <v>19147</v>
      </c>
      <c r="B5" s="9" t="str">
        <f>'Item Database'!B84</f>
        <v>Ring of Spell Power</v>
      </c>
      <c r="C5" s="12">
        <f>'Item Database'!C84</f>
        <v>11.847430366271306</v>
      </c>
      <c r="D5" s="9" t="str">
        <f>'Item Database'!D84</f>
        <v>Ring</v>
      </c>
      <c r="E5" s="9">
        <f>'Item Database'!E84</f>
        <v>0</v>
      </c>
      <c r="F5" s="9">
        <f>'Item Database'!F84</f>
        <v>0</v>
      </c>
      <c r="G5" s="9">
        <f>'Item Database'!G84</f>
        <v>0</v>
      </c>
      <c r="H5" s="9">
        <f>'Item Database'!H84</f>
        <v>0</v>
      </c>
      <c r="I5" s="9">
        <f>'Item Database'!I84</f>
        <v>0</v>
      </c>
      <c r="J5" s="9">
        <f>'Item Database'!J84</f>
        <v>0</v>
      </c>
      <c r="K5" s="9">
        <f>'Item Database'!K84</f>
        <v>33</v>
      </c>
      <c r="L5" s="35">
        <f>'Item Database'!L84</f>
        <v>0</v>
      </c>
      <c r="M5" s="35">
        <f>'Item Database'!M84</f>
        <v>0</v>
      </c>
      <c r="N5" s="9">
        <f>'Item Database'!N84</f>
        <v>0</v>
      </c>
      <c r="O5" s="9">
        <f>'Item Database'!O84</f>
        <v>0</v>
      </c>
      <c r="P5" s="9">
        <f>'Item Database'!P84</f>
        <v>0</v>
      </c>
      <c r="Q5" s="9">
        <f>'Item Database'!Q84</f>
        <v>0</v>
      </c>
      <c r="R5" s="9">
        <f>'Item Database'!R84</f>
        <v>0</v>
      </c>
      <c r="S5" s="9">
        <f>'Item Database'!S84</f>
        <v>0</v>
      </c>
      <c r="T5" s="51" t="s">
        <v>742</v>
      </c>
      <c r="U5" s="9">
        <f>IF(C5&lt;&gt;0,C5-Gear!$C$17,0)</f>
        <v>11.847430366271306</v>
      </c>
    </row>
    <row r="6" spans="1:21" x14ac:dyDescent="0.25">
      <c r="A6" s="9">
        <f>'Item Database'!A88</f>
        <v>19897</v>
      </c>
      <c r="B6" s="9" t="str">
        <f>'Item Database'!B88</f>
        <v>Betrayer's Boots</v>
      </c>
      <c r="C6" s="12">
        <f>'Item Database'!C88</f>
        <v>11.264638645184151</v>
      </c>
      <c r="D6" s="9" t="str">
        <f>'Item Database'!D88</f>
        <v>Feet</v>
      </c>
      <c r="E6" s="9">
        <f>'Item Database'!E88</f>
        <v>69</v>
      </c>
      <c r="F6" s="9">
        <f>'Item Database'!F88</f>
        <v>0</v>
      </c>
      <c r="G6" s="9">
        <f>'Item Database'!G88</f>
        <v>8</v>
      </c>
      <c r="H6" s="9">
        <f>'Item Database'!H88</f>
        <v>0</v>
      </c>
      <c r="I6" s="9">
        <f>'Item Database'!I88</f>
        <v>12</v>
      </c>
      <c r="J6" s="9">
        <f>'Item Database'!J88</f>
        <v>12</v>
      </c>
      <c r="K6" s="9">
        <f>'Item Database'!K88</f>
        <v>30</v>
      </c>
      <c r="L6" s="35">
        <f>'Item Database'!L88</f>
        <v>0</v>
      </c>
      <c r="M6" s="35">
        <f>'Item Database'!M88</f>
        <v>0</v>
      </c>
      <c r="N6" s="9">
        <f>'Item Database'!N88</f>
        <v>0</v>
      </c>
      <c r="O6" s="9">
        <f>'Item Database'!O88</f>
        <v>0</v>
      </c>
      <c r="P6" s="9">
        <f>'Item Database'!P88</f>
        <v>0</v>
      </c>
      <c r="Q6" s="9">
        <f>'Item Database'!Q88</f>
        <v>0</v>
      </c>
      <c r="R6" s="9">
        <f>'Item Database'!R88</f>
        <v>0</v>
      </c>
      <c r="S6" s="9">
        <f>'Item Database'!S88</f>
        <v>0</v>
      </c>
      <c r="T6" s="51" t="s">
        <v>743</v>
      </c>
      <c r="U6" s="9">
        <f>IF(C6&lt;&gt;0,C6-Gear!$C$17,0)</f>
        <v>11.264638645184151</v>
      </c>
    </row>
    <row r="7" spans="1:21" x14ac:dyDescent="0.25">
      <c r="A7" s="24">
        <f>'Item Database'!A109</f>
        <v>13253</v>
      </c>
      <c r="B7" s="9" t="str">
        <f>'Item Database'!B109</f>
        <v>Hands of Power</v>
      </c>
      <c r="C7" s="12">
        <f>'Item Database'!C109</f>
        <v>9.5814627780158439</v>
      </c>
      <c r="D7" s="9" t="str">
        <f>'Item Database'!D109</f>
        <v>Hands</v>
      </c>
      <c r="E7" s="9">
        <f>'Item Database'!E109</f>
        <v>53</v>
      </c>
      <c r="F7" s="9">
        <f>'Item Database'!F109</f>
        <v>0</v>
      </c>
      <c r="G7" s="9">
        <f>'Item Database'!G109</f>
        <v>0</v>
      </c>
      <c r="H7" s="9">
        <f>'Item Database'!H109</f>
        <v>0</v>
      </c>
      <c r="I7" s="9">
        <f>'Item Database'!I109</f>
        <v>6</v>
      </c>
      <c r="J7" s="9">
        <f>'Item Database'!J109</f>
        <v>6</v>
      </c>
      <c r="K7" s="9">
        <f>'Item Database'!K109</f>
        <v>26</v>
      </c>
      <c r="L7" s="35">
        <f>'Item Database'!L109</f>
        <v>0</v>
      </c>
      <c r="M7" s="35">
        <f>'Item Database'!M109</f>
        <v>0</v>
      </c>
      <c r="N7" s="9">
        <f>'Item Database'!N109</f>
        <v>0</v>
      </c>
      <c r="O7" s="9">
        <f>'Item Database'!O109</f>
        <v>0</v>
      </c>
      <c r="P7" s="9">
        <f>'Item Database'!P109</f>
        <v>0</v>
      </c>
      <c r="Q7" s="9">
        <f>'Item Database'!Q109</f>
        <v>0</v>
      </c>
      <c r="R7" s="9">
        <f>'Item Database'!R109</f>
        <v>0</v>
      </c>
      <c r="S7" s="9">
        <f>'Item Database'!S109</f>
        <v>0</v>
      </c>
      <c r="T7" s="51" t="s">
        <v>744</v>
      </c>
      <c r="U7" s="9">
        <f>IF(C7&lt;&gt;0,C7-Gear!$C$17,0)</f>
        <v>9.5814627780158439</v>
      </c>
    </row>
    <row r="8" spans="1:21" x14ac:dyDescent="0.25">
      <c r="A8" s="24">
        <f>'Item Database'!A180</f>
        <v>18808</v>
      </c>
      <c r="B8" s="9" t="str">
        <f>'Item Database'!B180</f>
        <v>Gloves of the Hypnotic Flame</v>
      </c>
      <c r="C8" s="12">
        <f>'Item Database'!C180</f>
        <v>4.013675760891716</v>
      </c>
      <c r="D8" s="9" t="str">
        <f>'Item Database'!D180</f>
        <v>Hands</v>
      </c>
      <c r="E8" s="9">
        <f>'Item Database'!E180</f>
        <v>67</v>
      </c>
      <c r="F8" s="9">
        <f>'Item Database'!F180</f>
        <v>0</v>
      </c>
      <c r="G8" s="9">
        <f>'Item Database'!G180</f>
        <v>18</v>
      </c>
      <c r="H8" s="9">
        <f>'Item Database'!H180</f>
        <v>0</v>
      </c>
      <c r="I8" s="9">
        <f>'Item Database'!I180</f>
        <v>19</v>
      </c>
      <c r="J8" s="9">
        <f>'Item Database'!J180</f>
        <v>8</v>
      </c>
      <c r="K8" s="9">
        <f>'Item Database'!K180</f>
        <v>9</v>
      </c>
      <c r="L8" s="35">
        <f>'Item Database'!L180</f>
        <v>0</v>
      </c>
      <c r="M8" s="35">
        <f>'Item Database'!M180</f>
        <v>0</v>
      </c>
      <c r="N8" s="9">
        <f>'Item Database'!N180</f>
        <v>0</v>
      </c>
      <c r="O8" s="9">
        <f>'Item Database'!O180</f>
        <v>0</v>
      </c>
      <c r="P8" s="9">
        <f>'Item Database'!P180</f>
        <v>0</v>
      </c>
      <c r="Q8" s="9">
        <f>'Item Database'!Q180</f>
        <v>0</v>
      </c>
      <c r="R8" s="9">
        <f>'Item Database'!R180</f>
        <v>0</v>
      </c>
      <c r="S8" s="9">
        <f>'Item Database'!S180</f>
        <v>0</v>
      </c>
      <c r="T8" s="51" t="s">
        <v>745</v>
      </c>
      <c r="U8" s="9">
        <f>IF(C8&lt;&gt;0,C8-Gear!$C$17,0)</f>
        <v>4.013675760891716</v>
      </c>
    </row>
    <row r="9" spans="1:21" x14ac:dyDescent="0.25">
      <c r="A9" s="24">
        <f>'Item Database'!A231</f>
        <v>11625</v>
      </c>
      <c r="B9" s="9" t="str">
        <f>'Item Database'!B231</f>
        <v>Enthralled Sphere</v>
      </c>
      <c r="C9" s="12">
        <f>'Item Database'!C231</f>
        <v>0.57662197030588236</v>
      </c>
      <c r="D9" s="9" t="str">
        <f>'Item Database'!D231</f>
        <v>Offhand</v>
      </c>
      <c r="E9" s="9">
        <f>'Item Database'!E231</f>
        <v>0</v>
      </c>
      <c r="F9" s="9">
        <f>'Item Database'!F231</f>
        <v>0</v>
      </c>
      <c r="G9" s="9">
        <f>'Item Database'!G231</f>
        <v>3</v>
      </c>
      <c r="H9" s="9">
        <f>'Item Database'!H231</f>
        <v>0</v>
      </c>
      <c r="I9" s="9">
        <f>'Item Database'!I231</f>
        <v>14</v>
      </c>
      <c r="J9" s="9">
        <f>'Item Database'!J231</f>
        <v>5</v>
      </c>
      <c r="K9" s="9">
        <f>'Item Database'!K231</f>
        <v>0</v>
      </c>
      <c r="L9" s="35">
        <f>'Item Database'!L231</f>
        <v>0</v>
      </c>
      <c r="M9" s="35">
        <f>'Item Database'!M231</f>
        <v>0</v>
      </c>
      <c r="N9" s="9">
        <f>'Item Database'!N231</f>
        <v>0</v>
      </c>
      <c r="O9" s="9">
        <f>'Item Database'!O231</f>
        <v>0</v>
      </c>
      <c r="P9" s="9">
        <f>'Item Database'!P231</f>
        <v>0</v>
      </c>
      <c r="Q9" s="9">
        <f>'Item Database'!Q231</f>
        <v>0</v>
      </c>
      <c r="R9" s="9">
        <f>'Item Database'!R231</f>
        <v>0</v>
      </c>
      <c r="S9" s="9">
        <f>'Item Database'!S231</f>
        <v>0</v>
      </c>
      <c r="T9" s="51" t="s">
        <v>739</v>
      </c>
      <c r="U9" s="9">
        <f>IF(C9&lt;&gt;0,C9-Gear!$C$17,0)</f>
        <v>0.57662197030588236</v>
      </c>
    </row>
    <row r="10" spans="1:21" x14ac:dyDescent="0.25">
      <c r="A10" s="24">
        <f>'Item Database'!A255</f>
        <v>17737</v>
      </c>
      <c r="B10" s="9" t="str">
        <f>'Item Database'!B255</f>
        <v>Cloud Stone</v>
      </c>
      <c r="C10" s="12">
        <f>'Item Database'!C255</f>
        <v>0.41187283593277307</v>
      </c>
      <c r="D10" s="9" t="str">
        <f>'Item Database'!D255</f>
        <v>Offhand</v>
      </c>
      <c r="E10" s="9">
        <f>'Item Database'!E255</f>
        <v>0</v>
      </c>
      <c r="F10" s="9">
        <f>'Item Database'!F255</f>
        <v>0</v>
      </c>
      <c r="G10" s="9">
        <f>'Item Database'!G255</f>
        <v>0</v>
      </c>
      <c r="H10" s="9">
        <f>'Item Database'!H255</f>
        <v>0</v>
      </c>
      <c r="I10" s="9">
        <f>'Item Database'!I255</f>
        <v>10</v>
      </c>
      <c r="J10" s="9">
        <f>'Item Database'!J255</f>
        <v>10</v>
      </c>
      <c r="K10" s="9">
        <f>'Item Database'!K255</f>
        <v>0</v>
      </c>
      <c r="L10" s="35">
        <f>'Item Database'!L255</f>
        <v>0</v>
      </c>
      <c r="M10" s="35">
        <f>'Item Database'!M255</f>
        <v>0</v>
      </c>
      <c r="N10" s="9">
        <f>'Item Database'!N255</f>
        <v>0</v>
      </c>
      <c r="O10" s="9">
        <f>'Item Database'!O255</f>
        <v>0</v>
      </c>
      <c r="P10" s="9">
        <f>'Item Database'!P255</f>
        <v>0</v>
      </c>
      <c r="Q10" s="9">
        <f>'Item Database'!Q255</f>
        <v>0</v>
      </c>
      <c r="R10" s="9">
        <f>'Item Database'!R255</f>
        <v>0</v>
      </c>
      <c r="S10" s="9">
        <f>'Item Database'!S255</f>
        <v>10</v>
      </c>
      <c r="T10" s="51" t="s">
        <v>740</v>
      </c>
      <c r="U10" s="9">
        <f>IF(C10&lt;&gt;0,C10-Gear!$C$17,0)</f>
        <v>0.41187283593277307</v>
      </c>
    </row>
    <row r="11" spans="1:21" x14ac:dyDescent="0.25">
      <c r="U11" s="9">
        <f>IF(C11&lt;&gt;0,C11-Gear!$C$17,0)</f>
        <v>0</v>
      </c>
    </row>
    <row r="12" spans="1:21" x14ac:dyDescent="0.25">
      <c r="U12" s="9">
        <f>IF(C12&lt;&gt;0,C12-Gear!$C$17,0)</f>
        <v>0</v>
      </c>
    </row>
    <row r="13" spans="1:21" x14ac:dyDescent="0.25">
      <c r="U13" s="9">
        <f>IF(C13&lt;&gt;0,C13-Gear!$C$17,0)</f>
        <v>0</v>
      </c>
    </row>
    <row r="14" spans="1:21" x14ac:dyDescent="0.25">
      <c r="U14" s="9">
        <f>IF(C14&lt;&gt;0,C14-Gear!$C$17,0)</f>
        <v>0</v>
      </c>
    </row>
    <row r="15" spans="1:21" x14ac:dyDescent="0.25">
      <c r="U15" s="9">
        <f>IF(C15&lt;&gt;0,C15-Gear!$C$17,0)</f>
        <v>0</v>
      </c>
    </row>
    <row r="16" spans="1:21" x14ac:dyDescent="0.25">
      <c r="U16" s="9">
        <f>IF(C16&lt;&gt;0,C16-Gear!$C$17,0)</f>
        <v>0</v>
      </c>
    </row>
    <row r="17" spans="20:21" x14ac:dyDescent="0.25">
      <c r="U17" s="9">
        <f>IF(C17&lt;&gt;0,C17-Gear!$C$17,0)</f>
        <v>0</v>
      </c>
    </row>
    <row r="18" spans="20:21" x14ac:dyDescent="0.25">
      <c r="T18" s="51">
        <f>IF(C18&lt;&gt;0,C18-Gear!$C$17,0)</f>
        <v>0</v>
      </c>
      <c r="U18" s="9">
        <f>IF(C18&lt;&gt;0,C18-Gear!$C$17,0)</f>
        <v>0</v>
      </c>
    </row>
    <row r="19" spans="20:21" x14ac:dyDescent="0.25">
      <c r="T19" s="51">
        <f>IF(C19&lt;&gt;0,C19-Gear!$C$17,0)</f>
        <v>0</v>
      </c>
      <c r="U19" s="9">
        <f>IF(C19&lt;&gt;0,C19-Gear!$C$17,0)</f>
        <v>0</v>
      </c>
    </row>
    <row r="20" spans="20:21" x14ac:dyDescent="0.25">
      <c r="T20" s="51">
        <f>IF(C20&lt;&gt;0,C20-Gear!$C$17,0)</f>
        <v>0</v>
      </c>
      <c r="U20" s="9">
        <f>IF(C20&lt;&gt;0,C20-Gear!$C$17,0)</f>
        <v>0</v>
      </c>
    </row>
    <row r="21" spans="20:21" x14ac:dyDescent="0.25">
      <c r="T21" s="51">
        <f>IF(C21&lt;&gt;0,C21-Gear!$C$17,0)</f>
        <v>0</v>
      </c>
      <c r="U21" s="9">
        <f>IF(C21&lt;&gt;0,C21-Gear!$C$17,0)</f>
        <v>0</v>
      </c>
    </row>
    <row r="22" spans="20:21" x14ac:dyDescent="0.25">
      <c r="T22" s="51">
        <f>IF(C22&lt;&gt;0,C22-Gear!$C$17,0)</f>
        <v>0</v>
      </c>
      <c r="U22" s="9">
        <f>IF(C22&lt;&gt;0,C22-Gear!$C$17,0)</f>
        <v>0</v>
      </c>
    </row>
    <row r="23" spans="20:21" x14ac:dyDescent="0.25">
      <c r="T23" s="51">
        <f>IF(C23&lt;&gt;0,C23-Gear!$C$17,0)</f>
        <v>0</v>
      </c>
      <c r="U23" s="9">
        <f>IF(C23&lt;&gt;0,C23-Gear!$C$17,0)</f>
        <v>0</v>
      </c>
    </row>
    <row r="24" spans="20:21" x14ac:dyDescent="0.25">
      <c r="T24" s="51">
        <f>IF(C24&lt;&gt;0,C24-Gear!$C$17,0)</f>
        <v>0</v>
      </c>
      <c r="U24" s="9">
        <f>IF(C24&lt;&gt;0,C24-Gear!$C$17,0)</f>
        <v>0</v>
      </c>
    </row>
    <row r="25" spans="20:21" x14ac:dyDescent="0.25">
      <c r="T25" s="51">
        <f>IF(C25&lt;&gt;0,C25-Gear!$C$17,0)</f>
        <v>0</v>
      </c>
      <c r="U25" s="9">
        <f>IF(C25&lt;&gt;0,C25-Gear!$C$17,0)</f>
        <v>0</v>
      </c>
    </row>
    <row r="26" spans="20:21" x14ac:dyDescent="0.25">
      <c r="T26" s="51">
        <f>IF(C26&lt;&gt;0,C26-Gear!$C$17,0)</f>
        <v>0</v>
      </c>
      <c r="U26" s="9">
        <f>IF(C26&lt;&gt;0,C26-Gear!$C$17,0)</f>
        <v>0</v>
      </c>
    </row>
    <row r="27" spans="20:21" x14ac:dyDescent="0.25">
      <c r="T27" s="51">
        <f>IF(C27&lt;&gt;0,C27-Gear!$C$17,0)</f>
        <v>0</v>
      </c>
      <c r="U27" s="9">
        <f>IF(C27&lt;&gt;0,C27-Gear!$C$17,0)</f>
        <v>0</v>
      </c>
    </row>
    <row r="28" spans="20:21" x14ac:dyDescent="0.25">
      <c r="T28" s="51">
        <f>IF(C28&lt;&gt;0,C28-Gear!$C$17,0)</f>
        <v>0</v>
      </c>
      <c r="U28" s="9">
        <f>IF(C28&lt;&gt;0,C28-Gear!$C$17,0)</f>
        <v>0</v>
      </c>
    </row>
    <row r="29" spans="20:21" x14ac:dyDescent="0.25">
      <c r="T29" s="51">
        <f>IF(C29&lt;&gt;0,C29-Gear!$C$17,0)</f>
        <v>0</v>
      </c>
      <c r="U29" s="9">
        <f>IF(C29&lt;&gt;0,C29-Gear!$C$17,0)</f>
        <v>0</v>
      </c>
    </row>
    <row r="30" spans="20:21" x14ac:dyDescent="0.25">
      <c r="T30" s="51">
        <f>IF(C30&lt;&gt;0,C30-Gear!$C$17,0)</f>
        <v>0</v>
      </c>
      <c r="U30" s="9">
        <f>IF(C30&lt;&gt;0,C30-Gear!$C$17,0)</f>
        <v>0</v>
      </c>
    </row>
    <row r="31" spans="20:21" x14ac:dyDescent="0.25">
      <c r="T31" s="51">
        <f>IF(C31&lt;&gt;0,C31-Gear!$C$17,0)</f>
        <v>0</v>
      </c>
      <c r="U31" s="9">
        <f>IF(C31&lt;&gt;0,C31-Gear!$C$17,0)</f>
        <v>0</v>
      </c>
    </row>
    <row r="32" spans="20:21" x14ac:dyDescent="0.25">
      <c r="T32" s="51">
        <f>IF(C32&lt;&gt;0,C32-Gear!$C$17,0)</f>
        <v>0</v>
      </c>
      <c r="U32" s="9">
        <f>IF(C32&lt;&gt;0,C32-Gear!$C$17,0)</f>
        <v>0</v>
      </c>
    </row>
    <row r="33" spans="20:21" x14ac:dyDescent="0.25">
      <c r="T33" s="51">
        <f>IF(C33&lt;&gt;0,C33-Gear!$C$17,0)</f>
        <v>0</v>
      </c>
      <c r="U33" s="9">
        <f>IF(C33&lt;&gt;0,C33-Gear!$C$17,0)</f>
        <v>0</v>
      </c>
    </row>
    <row r="34" spans="20:21" x14ac:dyDescent="0.25">
      <c r="T34" s="51">
        <f>IF(C34&lt;&gt;0,C34-Gear!$C$17,0)</f>
        <v>0</v>
      </c>
      <c r="U34" s="9">
        <f>IF(C34&lt;&gt;0,C34-Gear!$C$17,0)</f>
        <v>0</v>
      </c>
    </row>
    <row r="35" spans="20:21" x14ac:dyDescent="0.25">
      <c r="T35" s="51">
        <f>IF(C35&lt;&gt;0,C35-Gear!$C$17,0)</f>
        <v>0</v>
      </c>
      <c r="U35" s="9">
        <f>IF(C35&lt;&gt;0,C35-Gear!$C$17,0)</f>
        <v>0</v>
      </c>
    </row>
    <row r="36" spans="20:21" x14ac:dyDescent="0.25">
      <c r="T36" s="51">
        <f>IF(C36&lt;&gt;0,C36-Gear!$C$17,0)</f>
        <v>0</v>
      </c>
      <c r="U36" s="9">
        <f>IF(C36&lt;&gt;0,C36-Gear!$C$17,0)</f>
        <v>0</v>
      </c>
    </row>
    <row r="37" spans="20:21" x14ac:dyDescent="0.25">
      <c r="T37" s="51">
        <f>IF(C37&lt;&gt;0,C37-Gear!$C$17,0)</f>
        <v>0</v>
      </c>
      <c r="U37" s="9">
        <f>IF(C37&lt;&gt;0,C37-Gear!$C$17,0)</f>
        <v>0</v>
      </c>
    </row>
    <row r="38" spans="20:21" x14ac:dyDescent="0.25">
      <c r="T38" s="51">
        <f>IF(C38&lt;&gt;0,C38-Gear!$C$17,0)</f>
        <v>0</v>
      </c>
      <c r="U38" s="9">
        <f>IF(C38&lt;&gt;0,C38-Gear!$C$17,0)</f>
        <v>0</v>
      </c>
    </row>
    <row r="39" spans="20:21" x14ac:dyDescent="0.25">
      <c r="T39" s="51">
        <f>IF(C39&lt;&gt;0,C39-Gear!$C$17,0)</f>
        <v>0</v>
      </c>
      <c r="U39" s="9">
        <f>IF(C39&lt;&gt;0,C39-Gear!$C$17,0)</f>
        <v>0</v>
      </c>
    </row>
    <row r="40" spans="20:21" x14ac:dyDescent="0.25">
      <c r="T40" s="51">
        <f>IF(C40&lt;&gt;0,C40-Gear!$C$17,0)</f>
        <v>0</v>
      </c>
      <c r="U40" s="9">
        <f>IF(C40&lt;&gt;0,C40-Gear!$C$17,0)</f>
        <v>0</v>
      </c>
    </row>
    <row r="41" spans="20:21" x14ac:dyDescent="0.25">
      <c r="T41" s="51">
        <f>IF(C41&lt;&gt;0,C41-Gear!$C$17,0)</f>
        <v>0</v>
      </c>
      <c r="U41" s="9">
        <f>IF(C41&lt;&gt;0,C41-Gear!$C$17,0)</f>
        <v>0</v>
      </c>
    </row>
    <row r="42" spans="20:21" x14ac:dyDescent="0.25">
      <c r="T42" s="51">
        <f>IF(C42&lt;&gt;0,C42-Gear!$C$17,0)</f>
        <v>0</v>
      </c>
      <c r="U42" s="9">
        <f>IF(C42&lt;&gt;0,C42-Gear!$C$17,0)</f>
        <v>0</v>
      </c>
    </row>
    <row r="43" spans="20:21" x14ac:dyDescent="0.25">
      <c r="T43" s="51">
        <f>IF(C43&lt;&gt;0,C43-Gear!$C$17,0)</f>
        <v>0</v>
      </c>
      <c r="U43" s="9">
        <f>IF(C43&lt;&gt;0,C43-Gear!$C$17,0)</f>
        <v>0</v>
      </c>
    </row>
    <row r="44" spans="20:21" x14ac:dyDescent="0.25">
      <c r="T44" s="51">
        <f>IF(C44&lt;&gt;0,C44-Gear!$C$17,0)</f>
        <v>0</v>
      </c>
      <c r="U44" s="9">
        <f>IF(C44&lt;&gt;0,C44-Gear!$C$17,0)</f>
        <v>0</v>
      </c>
    </row>
    <row r="45" spans="20:21" x14ac:dyDescent="0.25">
      <c r="T45" s="51">
        <f>IF(C45&lt;&gt;0,C45-Gear!$C$17,0)</f>
        <v>0</v>
      </c>
      <c r="U45" s="9">
        <f>IF(C45&lt;&gt;0,C45-Gear!$C$17,0)</f>
        <v>0</v>
      </c>
    </row>
    <row r="46" spans="20:21" x14ac:dyDescent="0.25">
      <c r="T46" s="51">
        <f>IF(C46&lt;&gt;0,C46-Gear!$C$17,0)</f>
        <v>0</v>
      </c>
      <c r="U46" s="9">
        <f>IF(C46&lt;&gt;0,C46-Gear!$C$17,0)</f>
        <v>0</v>
      </c>
    </row>
    <row r="47" spans="20:21" x14ac:dyDescent="0.25">
      <c r="T47" s="51">
        <f>IF(C47&lt;&gt;0,C47-Gear!$C$17,0)</f>
        <v>0</v>
      </c>
      <c r="U47" s="9">
        <f>IF(C47&lt;&gt;0,C47-Gear!$C$17,0)</f>
        <v>0</v>
      </c>
    </row>
    <row r="48" spans="20:21" x14ac:dyDescent="0.25">
      <c r="T48" s="51">
        <f>IF(C48&lt;&gt;0,C48-Gear!$C$17,0)</f>
        <v>0</v>
      </c>
      <c r="U48" s="9">
        <f>IF(C48&lt;&gt;0,C48-Gear!$C$17,0)</f>
        <v>0</v>
      </c>
    </row>
    <row r="49" spans="20:21" x14ac:dyDescent="0.25">
      <c r="T49" s="51">
        <f>IF(C49&lt;&gt;0,C49-Gear!$C$17,0)</f>
        <v>0</v>
      </c>
      <c r="U49" s="9">
        <f>IF(C49&lt;&gt;0,C49-Gear!$C$17,0)</f>
        <v>0</v>
      </c>
    </row>
    <row r="50" spans="20:21" x14ac:dyDescent="0.25">
      <c r="T50" s="51">
        <f>IF(C50&lt;&gt;0,C50-Gear!$C$17,0)</f>
        <v>0</v>
      </c>
      <c r="U50" s="9">
        <f>IF(C50&lt;&gt;0,C50-Gear!$C$17,0)</f>
        <v>0</v>
      </c>
    </row>
    <row r="51" spans="20:21" x14ac:dyDescent="0.25">
      <c r="T51" s="51">
        <f>IF(C51&lt;&gt;0,C51-Gear!$C$17,0)</f>
        <v>0</v>
      </c>
      <c r="U51" s="9">
        <f>IF(C51&lt;&gt;0,C51-Gear!$C$17,0)</f>
        <v>0</v>
      </c>
    </row>
    <row r="52" spans="20:21" x14ac:dyDescent="0.25">
      <c r="T52" s="51">
        <f>IF(C52&lt;&gt;0,C52-Gear!$C$17,0)</f>
        <v>0</v>
      </c>
      <c r="U52" s="9">
        <f>IF(C52&lt;&gt;0,C52-Gear!$C$17,0)</f>
        <v>0</v>
      </c>
    </row>
    <row r="53" spans="20:21" x14ac:dyDescent="0.25">
      <c r="T53" s="51">
        <f>IF(C53&lt;&gt;0,C53-Gear!$C$17,0)</f>
        <v>0</v>
      </c>
      <c r="U53" s="9">
        <f>IF(C53&lt;&gt;0,C53-Gear!$C$17,0)</f>
        <v>0</v>
      </c>
    </row>
    <row r="54" spans="20:21" x14ac:dyDescent="0.25">
      <c r="T54" s="51">
        <f>IF(C54&lt;&gt;0,C54-Gear!$C$17,0)</f>
        <v>0</v>
      </c>
      <c r="U54" s="9">
        <f>IF(C54&lt;&gt;0,C54-Gear!$C$17,0)</f>
        <v>0</v>
      </c>
    </row>
    <row r="55" spans="20:21" x14ac:dyDescent="0.25">
      <c r="T55" s="51">
        <f>IF(C55&lt;&gt;0,C55-Gear!$C$17,0)</f>
        <v>0</v>
      </c>
      <c r="U55" s="9">
        <f>IF(C55&lt;&gt;0,C55-Gear!$C$17,0)</f>
        <v>0</v>
      </c>
    </row>
    <row r="56" spans="20:21" x14ac:dyDescent="0.25">
      <c r="T56" s="51">
        <f>IF(C56&lt;&gt;0,C56-Gear!$C$17,0)</f>
        <v>0</v>
      </c>
      <c r="U56" s="9">
        <f>IF(C56&lt;&gt;0,C56-Gear!$C$17,0)</f>
        <v>0</v>
      </c>
    </row>
    <row r="57" spans="20:21" x14ac:dyDescent="0.25">
      <c r="T57" s="51">
        <f>IF(C57&lt;&gt;0,C57-Gear!$C$17,0)</f>
        <v>0</v>
      </c>
      <c r="U57" s="9">
        <f>IF(C57&lt;&gt;0,C57-Gear!$C$17,0)</f>
        <v>0</v>
      </c>
    </row>
    <row r="58" spans="20:21" x14ac:dyDescent="0.25">
      <c r="T58" s="51">
        <f>IF(C58&lt;&gt;0,C58-Gear!$C$17,0)</f>
        <v>0</v>
      </c>
      <c r="U58" s="9">
        <f>IF(C58&lt;&gt;0,C58-Gear!$C$17,0)</f>
        <v>0</v>
      </c>
    </row>
    <row r="59" spans="20:21" x14ac:dyDescent="0.25">
      <c r="T59" s="51">
        <f>IF(C59&lt;&gt;0,C59-Gear!$C$17,0)</f>
        <v>0</v>
      </c>
      <c r="U59" s="9">
        <f>IF(C59&lt;&gt;0,C59-Gear!$C$17,0)</f>
        <v>0</v>
      </c>
    </row>
    <row r="60" spans="20:21" x14ac:dyDescent="0.25">
      <c r="T60" s="51">
        <f>IF(C60&lt;&gt;0,C60-Gear!$C$17,0)</f>
        <v>0</v>
      </c>
      <c r="U60" s="9">
        <f>IF(C60&lt;&gt;0,C60-Gear!$C$17,0)</f>
        <v>0</v>
      </c>
    </row>
    <row r="61" spans="20:21" x14ac:dyDescent="0.25">
      <c r="T61" s="51">
        <f>IF(C61&lt;&gt;0,C61-Gear!$C$17,0)</f>
        <v>0</v>
      </c>
      <c r="U61" s="9">
        <f>IF(C61&lt;&gt;0,C61-Gear!$C$17,0)</f>
        <v>0</v>
      </c>
    </row>
    <row r="62" spans="20:21" x14ac:dyDescent="0.25">
      <c r="T62" s="51">
        <f>IF(C62&lt;&gt;0,C62-Gear!$C$17,0)</f>
        <v>0</v>
      </c>
      <c r="U62" s="9">
        <f>IF(C62&lt;&gt;0,C62-Gear!$C$17,0)</f>
        <v>0</v>
      </c>
    </row>
    <row r="63" spans="20:21" x14ac:dyDescent="0.25">
      <c r="T63" s="51">
        <f>IF(C63&lt;&gt;0,C63-Gear!$C$17,0)</f>
        <v>0</v>
      </c>
      <c r="U63" s="9">
        <f>IF(C63&lt;&gt;0,C63-Gear!$C$17,0)</f>
        <v>0</v>
      </c>
    </row>
    <row r="64" spans="20:21" x14ac:dyDescent="0.25">
      <c r="T64" s="51">
        <f>IF(C64&lt;&gt;0,C64-Gear!$C$17,0)</f>
        <v>0</v>
      </c>
      <c r="U64" s="9">
        <f>IF(C64&lt;&gt;0,C64-Gear!$C$17,0)</f>
        <v>0</v>
      </c>
    </row>
    <row r="65" spans="20:21" x14ac:dyDescent="0.25">
      <c r="T65" s="51">
        <f>IF(C65&lt;&gt;0,C65-Gear!$C$17,0)</f>
        <v>0</v>
      </c>
      <c r="U65" s="9">
        <f>IF(C65&lt;&gt;0,C65-Gear!$C$17,0)</f>
        <v>0</v>
      </c>
    </row>
    <row r="66" spans="20:21" x14ac:dyDescent="0.25">
      <c r="T66" s="51">
        <f>IF(C66&lt;&gt;0,C66-Gear!$C$17,0)</f>
        <v>0</v>
      </c>
      <c r="U66" s="9">
        <f>IF(C66&lt;&gt;0,C66-Gear!$C$17,0)</f>
        <v>0</v>
      </c>
    </row>
    <row r="67" spans="20:21" x14ac:dyDescent="0.25">
      <c r="T67" s="51">
        <f>IF(C67&lt;&gt;0,C67-Gear!$C$17,0)</f>
        <v>0</v>
      </c>
      <c r="U67" s="9">
        <f>IF(C67&lt;&gt;0,C67-Gear!$C$17,0)</f>
        <v>0</v>
      </c>
    </row>
    <row r="68" spans="20:21" x14ac:dyDescent="0.25">
      <c r="T68" s="51">
        <f>IF(C68&lt;&gt;0,C68-Gear!$C$17,0)</f>
        <v>0</v>
      </c>
      <c r="U68" s="9">
        <f>IF(C68&lt;&gt;0,C68-Gear!$C$17,0)</f>
        <v>0</v>
      </c>
    </row>
    <row r="69" spans="20:21" x14ac:dyDescent="0.25">
      <c r="T69" s="51">
        <f>IF(C69&lt;&gt;0,C69-Gear!$C$17,0)</f>
        <v>0</v>
      </c>
      <c r="U69" s="9">
        <f>IF(C69&lt;&gt;0,C69-Gear!$C$17,0)</f>
        <v>0</v>
      </c>
    </row>
    <row r="70" spans="20:21" x14ac:dyDescent="0.25">
      <c r="T70" s="51">
        <f>IF(C70&lt;&gt;0,C70-Gear!$C$17,0)</f>
        <v>0</v>
      </c>
      <c r="U70" s="9">
        <f>IF(C70&lt;&gt;0,C70-Gear!$C$17,0)</f>
        <v>0</v>
      </c>
    </row>
    <row r="71" spans="20:21" x14ac:dyDescent="0.25">
      <c r="T71" s="51">
        <f>IF(C71&lt;&gt;0,C71-Gear!$C$17,0)</f>
        <v>0</v>
      </c>
      <c r="U71" s="9">
        <f>IF(C71&lt;&gt;0,C71-Gear!$C$17,0)</f>
        <v>0</v>
      </c>
    </row>
    <row r="72" spans="20:21" x14ac:dyDescent="0.25">
      <c r="T72" s="51">
        <f>IF(C72&lt;&gt;0,C72-Gear!$C$17,0)</f>
        <v>0</v>
      </c>
      <c r="U72" s="9">
        <f>IF(C72&lt;&gt;0,C72-Gear!$C$17,0)</f>
        <v>0</v>
      </c>
    </row>
    <row r="73" spans="20:21" x14ac:dyDescent="0.25">
      <c r="T73" s="51">
        <f>IF(C73&lt;&gt;0,C73-Gear!$C$17,0)</f>
        <v>0</v>
      </c>
      <c r="U73" s="9">
        <f>IF(C73&lt;&gt;0,C73-Gear!$C$17,0)</f>
        <v>0</v>
      </c>
    </row>
    <row r="74" spans="20:21" x14ac:dyDescent="0.25">
      <c r="T74" s="51">
        <f>IF(C74&lt;&gt;0,C74-Gear!$C$17,0)</f>
        <v>0</v>
      </c>
      <c r="U74" s="9">
        <f>IF(C74&lt;&gt;0,C74-Gear!$C$17,0)</f>
        <v>0</v>
      </c>
    </row>
    <row r="75" spans="20:21" x14ac:dyDescent="0.25">
      <c r="T75" s="51">
        <f>IF(C75&lt;&gt;0,C75-Gear!$C$17,0)</f>
        <v>0</v>
      </c>
      <c r="U75" s="9">
        <f>IF(C75&lt;&gt;0,C75-Gear!$C$17,0)</f>
        <v>0</v>
      </c>
    </row>
    <row r="76" spans="20:21" x14ac:dyDescent="0.25">
      <c r="T76" s="51">
        <f>IF(C76&lt;&gt;0,C76-Gear!$C$17,0)</f>
        <v>0</v>
      </c>
      <c r="U76" s="9">
        <f>IF(C76&lt;&gt;0,C76-Gear!$C$17,0)</f>
        <v>0</v>
      </c>
    </row>
    <row r="77" spans="20:21" x14ac:dyDescent="0.25">
      <c r="T77" s="51">
        <f>IF(C77&lt;&gt;0,C77-Gear!$C$17,0)</f>
        <v>0</v>
      </c>
      <c r="U77" s="9">
        <f>IF(C77&lt;&gt;0,C77-Gear!$C$17,0)</f>
        <v>0</v>
      </c>
    </row>
    <row r="78" spans="20:21" x14ac:dyDescent="0.25">
      <c r="T78" s="51">
        <f>IF(C78&lt;&gt;0,C78-Gear!$C$17,0)</f>
        <v>0</v>
      </c>
      <c r="U78" s="9">
        <f>IF(C78&lt;&gt;0,C78-Gear!$C$17,0)</f>
        <v>0</v>
      </c>
    </row>
    <row r="79" spans="20:21" x14ac:dyDescent="0.25">
      <c r="T79" s="51">
        <f>IF(C79&lt;&gt;0,C79-Gear!$C$17,0)</f>
        <v>0</v>
      </c>
      <c r="U79" s="9">
        <f>IF(C79&lt;&gt;0,C79-Gear!$C$17,0)</f>
        <v>0</v>
      </c>
    </row>
    <row r="80" spans="20:21" x14ac:dyDescent="0.25">
      <c r="T80" s="51">
        <f>IF(C80&lt;&gt;0,C80-Gear!$C$17,0)</f>
        <v>0</v>
      </c>
      <c r="U80" s="9">
        <f>IF(C80&lt;&gt;0,C80-Gear!$C$17,0)</f>
        <v>0</v>
      </c>
    </row>
    <row r="81" spans="20:21" x14ac:dyDescent="0.25">
      <c r="T81" s="51">
        <f>IF(C81&lt;&gt;0,C81-Gear!$C$17,0)</f>
        <v>0</v>
      </c>
      <c r="U81" s="9">
        <f>IF(C81&lt;&gt;0,C81-Gear!$C$17,0)</f>
        <v>0</v>
      </c>
    </row>
    <row r="82" spans="20:21" x14ac:dyDescent="0.25">
      <c r="T82" s="51">
        <f>IF(C82&lt;&gt;0,C82-Gear!$C$17,0)</f>
        <v>0</v>
      </c>
      <c r="U82" s="9">
        <f>IF(C82&lt;&gt;0,C82-Gear!$C$17,0)</f>
        <v>0</v>
      </c>
    </row>
    <row r="83" spans="20:21" x14ac:dyDescent="0.25">
      <c r="T83" s="51">
        <f>IF(C83&lt;&gt;0,C83-Gear!$C$17,0)</f>
        <v>0</v>
      </c>
      <c r="U83" s="9">
        <f>IF(C83&lt;&gt;0,C83-Gear!$C$17,0)</f>
        <v>0</v>
      </c>
    </row>
    <row r="84" spans="20:21" x14ac:dyDescent="0.25">
      <c r="T84" s="51">
        <f>IF(C84&lt;&gt;0,C84-Gear!$C$17,0)</f>
        <v>0</v>
      </c>
      <c r="U84" s="9">
        <f>IF(C84&lt;&gt;0,C84-Gear!$C$17,0)</f>
        <v>0</v>
      </c>
    </row>
    <row r="85" spans="20:21" x14ac:dyDescent="0.25">
      <c r="T85" s="51">
        <f>IF(C85&lt;&gt;0,C85-Gear!$C$17,0)</f>
        <v>0</v>
      </c>
      <c r="U85" s="9">
        <f>IF(C85&lt;&gt;0,C85-Gear!$C$17,0)</f>
        <v>0</v>
      </c>
    </row>
    <row r="86" spans="20:21" x14ac:dyDescent="0.25">
      <c r="T86" s="51">
        <f>IF(C86&lt;&gt;0,C86-Gear!$C$17,0)</f>
        <v>0</v>
      </c>
      <c r="U86" s="9">
        <f>IF(C86&lt;&gt;0,C86-Gear!$C$17,0)</f>
        <v>0</v>
      </c>
    </row>
    <row r="87" spans="20:21" x14ac:dyDescent="0.25">
      <c r="T87" s="51">
        <f>IF(C87&lt;&gt;0,C87-Gear!$C$17,0)</f>
        <v>0</v>
      </c>
      <c r="U87" s="9">
        <f>IF(C87&lt;&gt;0,C87-Gear!$C$17,0)</f>
        <v>0</v>
      </c>
    </row>
    <row r="88" spans="20:21" x14ac:dyDescent="0.25">
      <c r="T88" s="51">
        <f>IF(C88&lt;&gt;0,C88-Gear!$C$17,0)</f>
        <v>0</v>
      </c>
      <c r="U88" s="9">
        <f>IF(C88&lt;&gt;0,C88-Gear!$C$17,0)</f>
        <v>0</v>
      </c>
    </row>
    <row r="89" spans="20:21" x14ac:dyDescent="0.25">
      <c r="T89" s="51">
        <f>IF(C89&lt;&gt;0,C89-Gear!$C$17,0)</f>
        <v>0</v>
      </c>
      <c r="U89" s="9">
        <f>IF(C89&lt;&gt;0,C89-Gear!$C$17,0)</f>
        <v>0</v>
      </c>
    </row>
    <row r="90" spans="20:21" x14ac:dyDescent="0.25">
      <c r="T90" s="51">
        <f>IF(C90&lt;&gt;0,C90-Gear!$C$17,0)</f>
        <v>0</v>
      </c>
      <c r="U90" s="9">
        <f>IF(C90&lt;&gt;0,C90-Gear!$C$17,0)</f>
        <v>0</v>
      </c>
    </row>
    <row r="91" spans="20:21" x14ac:dyDescent="0.25">
      <c r="T91" s="51">
        <f>IF(C91&lt;&gt;0,C91-Gear!$C$17,0)</f>
        <v>0</v>
      </c>
      <c r="U91" s="9">
        <f>IF(C91&lt;&gt;0,C91-Gear!$C$17,0)</f>
        <v>0</v>
      </c>
    </row>
    <row r="92" spans="20:21" x14ac:dyDescent="0.25">
      <c r="T92" s="51">
        <f>IF(C92&lt;&gt;0,C92-Gear!$C$17,0)</f>
        <v>0</v>
      </c>
      <c r="U92" s="9">
        <f>IF(C92&lt;&gt;0,C92-Gear!$C$17,0)</f>
        <v>0</v>
      </c>
    </row>
    <row r="93" spans="20:21" x14ac:dyDescent="0.25">
      <c r="T93" s="51">
        <f>IF(C93&lt;&gt;0,C93-Gear!$C$17,0)</f>
        <v>0</v>
      </c>
      <c r="U93" s="9">
        <f>IF(C93&lt;&gt;0,C93-Gear!$C$17,0)</f>
        <v>0</v>
      </c>
    </row>
    <row r="94" spans="20:21" x14ac:dyDescent="0.25">
      <c r="T94" s="51">
        <f>IF(C94&lt;&gt;0,C94-Gear!$C$17,0)</f>
        <v>0</v>
      </c>
      <c r="U94" s="9">
        <f>IF(C94&lt;&gt;0,C94-Gear!$C$17,0)</f>
        <v>0</v>
      </c>
    </row>
    <row r="95" spans="20:21" x14ac:dyDescent="0.25">
      <c r="T95" s="51">
        <f>IF(C95&lt;&gt;0,C95-Gear!$C$17,0)</f>
        <v>0</v>
      </c>
      <c r="U95" s="9">
        <f>IF(C95&lt;&gt;0,C95-Gear!$C$17,0)</f>
        <v>0</v>
      </c>
    </row>
    <row r="96" spans="20:21" x14ac:dyDescent="0.25">
      <c r="T96" s="51">
        <f>IF(C96&lt;&gt;0,C96-Gear!$C$17,0)</f>
        <v>0</v>
      </c>
      <c r="U96" s="9">
        <f>IF(C96&lt;&gt;0,C96-Gear!$C$17,0)</f>
        <v>0</v>
      </c>
    </row>
    <row r="97" spans="20:21" x14ac:dyDescent="0.25">
      <c r="T97" s="51">
        <f>IF(C97&lt;&gt;0,C97-Gear!$C$17,0)</f>
        <v>0</v>
      </c>
      <c r="U97" s="9">
        <f>IF(C97&lt;&gt;0,C97-Gear!$C$17,0)</f>
        <v>0</v>
      </c>
    </row>
    <row r="98" spans="20:21" x14ac:dyDescent="0.25">
      <c r="T98" s="51">
        <f>IF(C98&lt;&gt;0,C98-Gear!$C$17,0)</f>
        <v>0</v>
      </c>
      <c r="U98" s="9">
        <f>IF(C98&lt;&gt;0,C98-Gear!$C$17,0)</f>
        <v>0</v>
      </c>
    </row>
    <row r="99" spans="20:21" x14ac:dyDescent="0.25">
      <c r="T99" s="51">
        <f>IF(C99&lt;&gt;0,C99-Gear!$C$17,0)</f>
        <v>0</v>
      </c>
      <c r="U99" s="9">
        <f>IF(C99&lt;&gt;0,C99-Gear!$C$17,0)</f>
        <v>0</v>
      </c>
    </row>
    <row r="100" spans="20:21" x14ac:dyDescent="0.25">
      <c r="T100" s="51">
        <f>IF(C100&lt;&gt;0,C100-Gear!$C$17,0)</f>
        <v>0</v>
      </c>
      <c r="U100" s="9">
        <f>IF(C100&lt;&gt;0,C100-Gear!$C$17,0)</f>
        <v>0</v>
      </c>
    </row>
    <row r="101" spans="20:21" x14ac:dyDescent="0.25">
      <c r="T101" s="51">
        <f>IF(C101&lt;&gt;0,C101-Gear!$C$17,0)</f>
        <v>0</v>
      </c>
      <c r="U101" s="9">
        <f>IF(C101&lt;&gt;0,C101-Gear!$C$17,0)</f>
        <v>0</v>
      </c>
    </row>
    <row r="102" spans="20:21" x14ac:dyDescent="0.25">
      <c r="T102" s="51">
        <f>IF(C102&lt;&gt;0,C102-Gear!$C$17,0)</f>
        <v>0</v>
      </c>
      <c r="U102" s="9">
        <f>IF(C102&lt;&gt;0,C102-Gear!$C$17,0)</f>
        <v>0</v>
      </c>
    </row>
    <row r="103" spans="20:21" x14ac:dyDescent="0.25">
      <c r="T103" s="51">
        <f>IF(C103&lt;&gt;0,C103-Gear!$C$17,0)</f>
        <v>0</v>
      </c>
      <c r="U103" s="9">
        <f>IF(C103&lt;&gt;0,C103-Gear!$C$17,0)</f>
        <v>0</v>
      </c>
    </row>
    <row r="104" spans="20:21" x14ac:dyDescent="0.25">
      <c r="T104" s="51">
        <f>IF(C104&lt;&gt;0,C104-Gear!$C$17,0)</f>
        <v>0</v>
      </c>
      <c r="U104" s="9">
        <f>IF(C104&lt;&gt;0,C104-Gear!$C$17,0)</f>
        <v>0</v>
      </c>
    </row>
    <row r="105" spans="20:21" x14ac:dyDescent="0.25">
      <c r="T105" s="51">
        <f>IF(C105&lt;&gt;0,C105-Gear!$C$17,0)</f>
        <v>0</v>
      </c>
      <c r="U105" s="9">
        <f>IF(C105&lt;&gt;0,C105-Gear!$C$17,0)</f>
        <v>0</v>
      </c>
    </row>
    <row r="106" spans="20:21" x14ac:dyDescent="0.25">
      <c r="T106" s="51">
        <f>IF(C106&lt;&gt;0,C106-Gear!$C$17,0)</f>
        <v>0</v>
      </c>
      <c r="U106" s="9">
        <f>IF(C106&lt;&gt;0,C106-Gear!$C$17,0)</f>
        <v>0</v>
      </c>
    </row>
    <row r="107" spans="20:21" x14ac:dyDescent="0.25">
      <c r="T107" s="51">
        <f>IF(C107&lt;&gt;0,C107-Gear!$C$17,0)</f>
        <v>0</v>
      </c>
      <c r="U107" s="9">
        <f>IF(C107&lt;&gt;0,C107-Gear!$C$17,0)</f>
        <v>0</v>
      </c>
    </row>
    <row r="108" spans="20:21" x14ac:dyDescent="0.25">
      <c r="T108" s="51">
        <f>IF(C108&lt;&gt;0,C108-Gear!$C$17,0)</f>
        <v>0</v>
      </c>
      <c r="U108" s="9">
        <f>IF(C108&lt;&gt;0,C108-Gear!$C$17,0)</f>
        <v>0</v>
      </c>
    </row>
    <row r="109" spans="20:21" x14ac:dyDescent="0.25">
      <c r="T109" s="51">
        <f>IF(C109&lt;&gt;0,C109-Gear!$C$17,0)</f>
        <v>0</v>
      </c>
      <c r="U109" s="9">
        <f>IF(C109&lt;&gt;0,C109-Gear!$C$17,0)</f>
        <v>0</v>
      </c>
    </row>
    <row r="110" spans="20:21" x14ac:dyDescent="0.25">
      <c r="T110" s="51">
        <f>IF(C110&lt;&gt;0,C110-Gear!$C$17,0)</f>
        <v>0</v>
      </c>
      <c r="U110" s="9">
        <f>IF(C110&lt;&gt;0,C110-Gear!$C$17,0)</f>
        <v>0</v>
      </c>
    </row>
    <row r="111" spans="20:21" x14ac:dyDescent="0.25">
      <c r="T111" s="51">
        <f>IF(C111&lt;&gt;0,C111-Gear!$C$17,0)</f>
        <v>0</v>
      </c>
      <c r="U111" s="9">
        <f>IF(C111&lt;&gt;0,C111-Gear!$C$17,0)</f>
        <v>0</v>
      </c>
    </row>
    <row r="112" spans="20:21" x14ac:dyDescent="0.25">
      <c r="T112" s="51">
        <f>IF(C112&lt;&gt;0,C112-Gear!$C$17,0)</f>
        <v>0</v>
      </c>
      <c r="U112" s="9">
        <f>IF(C112&lt;&gt;0,C112-Gear!$C$17,0)</f>
        <v>0</v>
      </c>
    </row>
    <row r="113" spans="20:21" x14ac:dyDescent="0.25">
      <c r="T113" s="51">
        <f>IF(C113&lt;&gt;0,C113-Gear!$C$17,0)</f>
        <v>0</v>
      </c>
      <c r="U113" s="9">
        <f>IF(C113&lt;&gt;0,C113-Gear!$C$17,0)</f>
        <v>0</v>
      </c>
    </row>
    <row r="114" spans="20:21" x14ac:dyDescent="0.25">
      <c r="T114" s="51">
        <f>IF(C114&lt;&gt;0,C114-Gear!$C$17,0)</f>
        <v>0</v>
      </c>
      <c r="U114" s="9">
        <f>IF(C114&lt;&gt;0,C114-Gear!$C$17,0)</f>
        <v>0</v>
      </c>
    </row>
    <row r="115" spans="20:21" x14ac:dyDescent="0.25">
      <c r="T115" s="51">
        <f>IF(C115&lt;&gt;0,C115-Gear!$C$17,0)</f>
        <v>0</v>
      </c>
      <c r="U115" s="9">
        <f>IF(C115&lt;&gt;0,C115-Gear!$C$17,0)</f>
        <v>0</v>
      </c>
    </row>
    <row r="116" spans="20:21" x14ac:dyDescent="0.25">
      <c r="T116" s="51">
        <f>IF(C116&lt;&gt;0,C116-Gear!$C$17,0)</f>
        <v>0</v>
      </c>
      <c r="U116" s="9">
        <f>IF(C116&lt;&gt;0,C116-Gear!$C$17,0)</f>
        <v>0</v>
      </c>
    </row>
    <row r="117" spans="20:21" x14ac:dyDescent="0.25">
      <c r="T117" s="51">
        <f>IF(C117&lt;&gt;0,C117-Gear!$C$17,0)</f>
        <v>0</v>
      </c>
      <c r="U117" s="9">
        <f>IF(C117&lt;&gt;0,C117-Gear!$C$17,0)</f>
        <v>0</v>
      </c>
    </row>
    <row r="118" spans="20:21" x14ac:dyDescent="0.25">
      <c r="T118" s="51">
        <f>IF(C118&lt;&gt;0,C118-Gear!$C$17,0)</f>
        <v>0</v>
      </c>
      <c r="U118" s="9">
        <f>IF(C118&lt;&gt;0,C118-Gear!$C$17,0)</f>
        <v>0</v>
      </c>
    </row>
    <row r="119" spans="20:21" x14ac:dyDescent="0.25">
      <c r="T119" s="51">
        <f>IF(C119&lt;&gt;0,C119-Gear!$C$17,0)</f>
        <v>0</v>
      </c>
      <c r="U119" s="9">
        <f>IF(C119&lt;&gt;0,C119-Gear!$C$17,0)</f>
        <v>0</v>
      </c>
    </row>
    <row r="120" spans="20:21" x14ac:dyDescent="0.25">
      <c r="T120" s="51">
        <f>IF(C120&lt;&gt;0,C120-Gear!$C$17,0)</f>
        <v>0</v>
      </c>
      <c r="U120" s="9">
        <f>IF(C120&lt;&gt;0,C120-Gear!$C$17,0)</f>
        <v>0</v>
      </c>
    </row>
    <row r="121" spans="20:21" x14ac:dyDescent="0.25">
      <c r="T121" s="51">
        <f>IF(C121&lt;&gt;0,C121-Gear!$C$17,0)</f>
        <v>0</v>
      </c>
      <c r="U121" s="9">
        <f>IF(C121&lt;&gt;0,C121-Gear!$C$17,0)</f>
        <v>0</v>
      </c>
    </row>
    <row r="122" spans="20:21" x14ac:dyDescent="0.25">
      <c r="T122" s="51">
        <f>IF(C122&lt;&gt;0,C122-Gear!$C$17,0)</f>
        <v>0</v>
      </c>
      <c r="U122" s="9">
        <f>IF(C122&lt;&gt;0,C122-Gear!$C$17,0)</f>
        <v>0</v>
      </c>
    </row>
    <row r="123" spans="20:21" x14ac:dyDescent="0.25">
      <c r="T123" s="51">
        <f>IF(C123&lt;&gt;0,C123-Gear!$C$17,0)</f>
        <v>0</v>
      </c>
      <c r="U123" s="9">
        <f>IF(C123&lt;&gt;0,C123-Gear!$C$17,0)</f>
        <v>0</v>
      </c>
    </row>
    <row r="124" spans="20:21" x14ac:dyDescent="0.25">
      <c r="T124" s="51">
        <f>IF(C124&lt;&gt;0,C124-Gear!$C$17,0)</f>
        <v>0</v>
      </c>
      <c r="U124" s="9">
        <f>IF(C124&lt;&gt;0,C124-Gear!$C$17,0)</f>
        <v>0</v>
      </c>
    </row>
    <row r="125" spans="20:21" x14ac:dyDescent="0.25">
      <c r="T125" s="51">
        <f>IF(C125&lt;&gt;0,C125-Gear!$C$17,0)</f>
        <v>0</v>
      </c>
      <c r="U125" s="9">
        <f>IF(C125&lt;&gt;0,C125-Gear!$C$17,0)</f>
        <v>0</v>
      </c>
    </row>
    <row r="126" spans="20:21" x14ac:dyDescent="0.25">
      <c r="T126" s="51">
        <f>IF(C126&lt;&gt;0,C126-Gear!$C$17,0)</f>
        <v>0</v>
      </c>
      <c r="U126" s="9">
        <f>IF(C126&lt;&gt;0,C126-Gear!$C$17,0)</f>
        <v>0</v>
      </c>
    </row>
    <row r="127" spans="20:21" x14ac:dyDescent="0.25">
      <c r="T127" s="51">
        <f>IF(C127&lt;&gt;0,C127-Gear!$C$17,0)</f>
        <v>0</v>
      </c>
      <c r="U127" s="9">
        <f>IF(C127&lt;&gt;0,C127-Gear!$C$17,0)</f>
        <v>0</v>
      </c>
    </row>
    <row r="128" spans="20:21" x14ac:dyDescent="0.25">
      <c r="T128" s="51">
        <f>IF(C128&lt;&gt;0,C128-Gear!$C$17,0)</f>
        <v>0</v>
      </c>
      <c r="U128" s="9">
        <f>IF(C128&lt;&gt;0,C128-Gear!$C$17,0)</f>
        <v>0</v>
      </c>
    </row>
    <row r="129" spans="20:21" x14ac:dyDescent="0.25">
      <c r="T129" s="51">
        <f>IF(C129&lt;&gt;0,C129-Gear!$C$17,0)</f>
        <v>0</v>
      </c>
      <c r="U129" s="9">
        <f>IF(C129&lt;&gt;0,C129-Gear!$C$17,0)</f>
        <v>0</v>
      </c>
    </row>
    <row r="130" spans="20:21" x14ac:dyDescent="0.25">
      <c r="T130" s="51">
        <f>IF(C130&lt;&gt;0,C130-Gear!$C$17,0)</f>
        <v>0</v>
      </c>
      <c r="U130" s="9">
        <f>IF(C130&lt;&gt;0,C130-Gear!$C$17,0)</f>
        <v>0</v>
      </c>
    </row>
    <row r="131" spans="20:21" x14ac:dyDescent="0.25">
      <c r="T131" s="51">
        <f>IF(C131&lt;&gt;0,C131-Gear!$C$17,0)</f>
        <v>0</v>
      </c>
      <c r="U131" s="9">
        <f>IF(C131&lt;&gt;0,C131-Gear!$C$17,0)</f>
        <v>0</v>
      </c>
    </row>
    <row r="132" spans="20:21" x14ac:dyDescent="0.25">
      <c r="T132" s="51">
        <f>IF(C132&lt;&gt;0,C132-Gear!$C$17,0)</f>
        <v>0</v>
      </c>
      <c r="U132" s="9">
        <f>IF(C132&lt;&gt;0,C132-Gear!$C$17,0)</f>
        <v>0</v>
      </c>
    </row>
    <row r="133" spans="20:21" x14ac:dyDescent="0.25">
      <c r="T133" s="51">
        <f>IF(C133&lt;&gt;0,C133-Gear!$C$17,0)</f>
        <v>0</v>
      </c>
      <c r="U133" s="9">
        <f>IF(C133&lt;&gt;0,C133-Gear!$C$17,0)</f>
        <v>0</v>
      </c>
    </row>
    <row r="134" spans="20:21" x14ac:dyDescent="0.25">
      <c r="T134" s="51">
        <f>IF(C134&lt;&gt;0,C134-Gear!$C$17,0)</f>
        <v>0</v>
      </c>
      <c r="U134" s="9">
        <f>IF(C134&lt;&gt;0,C134-Gear!$C$17,0)</f>
        <v>0</v>
      </c>
    </row>
    <row r="135" spans="20:21" x14ac:dyDescent="0.25">
      <c r="T135" s="51">
        <f>IF(C135&lt;&gt;0,C135-Gear!$C$17,0)</f>
        <v>0</v>
      </c>
      <c r="U135" s="9">
        <f>IF(C135&lt;&gt;0,C135-Gear!$C$17,0)</f>
        <v>0</v>
      </c>
    </row>
    <row r="136" spans="20:21" x14ac:dyDescent="0.25">
      <c r="T136" s="51">
        <f>IF(C136&lt;&gt;0,C136-Gear!$C$17,0)</f>
        <v>0</v>
      </c>
      <c r="U136" s="9">
        <f>IF(C136&lt;&gt;0,C136-Gear!$C$17,0)</f>
        <v>0</v>
      </c>
    </row>
    <row r="137" spans="20:21" x14ac:dyDescent="0.25">
      <c r="T137" s="51">
        <f>IF(C137&lt;&gt;0,C137-Gear!$C$17,0)</f>
        <v>0</v>
      </c>
      <c r="U137" s="9">
        <f>IF(C137&lt;&gt;0,C137-Gear!$C$17,0)</f>
        <v>0</v>
      </c>
    </row>
    <row r="138" spans="20:21" x14ac:dyDescent="0.25">
      <c r="T138" s="51">
        <f>IF(C138&lt;&gt;0,C138-Gear!$C$17,0)</f>
        <v>0</v>
      </c>
      <c r="U138" s="9">
        <f>IF(C138&lt;&gt;0,C138-Gear!$C$17,0)</f>
        <v>0</v>
      </c>
    </row>
    <row r="139" spans="20:21" x14ac:dyDescent="0.25">
      <c r="T139" s="51">
        <f>IF(C139&lt;&gt;0,C139-Gear!$C$17,0)</f>
        <v>0</v>
      </c>
      <c r="U139" s="9">
        <f>IF(C139&lt;&gt;0,C139-Gear!$C$17,0)</f>
        <v>0</v>
      </c>
    </row>
    <row r="140" spans="20:21" x14ac:dyDescent="0.25">
      <c r="T140" s="51">
        <f>IF(C140&lt;&gt;0,C140-Gear!$C$17,0)</f>
        <v>0</v>
      </c>
      <c r="U140" s="9">
        <f>IF(C140&lt;&gt;0,C140-Gear!$C$17,0)</f>
        <v>0</v>
      </c>
    </row>
    <row r="141" spans="20:21" x14ac:dyDescent="0.25">
      <c r="T141" s="51">
        <f>IF(C141&lt;&gt;0,C141-Gear!$C$17,0)</f>
        <v>0</v>
      </c>
      <c r="U141" s="9">
        <f>IF(C141&lt;&gt;0,C141-Gear!$C$17,0)</f>
        <v>0</v>
      </c>
    </row>
    <row r="142" spans="20:21" x14ac:dyDescent="0.25">
      <c r="T142" s="51">
        <f>IF(C142&lt;&gt;0,C142-Gear!$C$17,0)</f>
        <v>0</v>
      </c>
      <c r="U142" s="9">
        <f>IF(C142&lt;&gt;0,C142-Gear!$C$17,0)</f>
        <v>0</v>
      </c>
    </row>
    <row r="143" spans="20:21" x14ac:dyDescent="0.25">
      <c r="T143" s="51">
        <f>IF(C143&lt;&gt;0,C143-Gear!$C$17,0)</f>
        <v>0</v>
      </c>
      <c r="U143" s="9">
        <f>IF(C143&lt;&gt;0,C143-Gear!$C$17,0)</f>
        <v>0</v>
      </c>
    </row>
    <row r="144" spans="20:21" x14ac:dyDescent="0.25">
      <c r="T144" s="51">
        <f>IF(C144&lt;&gt;0,C144-Gear!$C$17,0)</f>
        <v>0</v>
      </c>
      <c r="U144" s="9">
        <f>IF(C144&lt;&gt;0,C144-Gear!$C$17,0)</f>
        <v>0</v>
      </c>
    </row>
    <row r="145" spans="20:21" x14ac:dyDescent="0.25">
      <c r="T145" s="51">
        <f>IF(C145&lt;&gt;0,C145-Gear!$C$17,0)</f>
        <v>0</v>
      </c>
      <c r="U145" s="9">
        <f>IF(C145&lt;&gt;0,C145-Gear!$C$17,0)</f>
        <v>0</v>
      </c>
    </row>
    <row r="146" spans="20:21" x14ac:dyDescent="0.25">
      <c r="T146" s="51">
        <f>IF(C146&lt;&gt;0,C146-Gear!$C$17,0)</f>
        <v>0</v>
      </c>
      <c r="U146" s="9">
        <f>IF(C146&lt;&gt;0,C146-Gear!$C$17,0)</f>
        <v>0</v>
      </c>
    </row>
    <row r="147" spans="20:21" x14ac:dyDescent="0.25">
      <c r="T147" s="51">
        <f>IF(C147&lt;&gt;0,C147-Gear!$C$17,0)</f>
        <v>0</v>
      </c>
      <c r="U147" s="9">
        <f>IF(C147&lt;&gt;0,C147-Gear!$C$17,0)</f>
        <v>0</v>
      </c>
    </row>
    <row r="148" spans="20:21" x14ac:dyDescent="0.25">
      <c r="T148" s="51">
        <f>IF(C148&lt;&gt;0,C148-Gear!$C$17,0)</f>
        <v>0</v>
      </c>
      <c r="U148" s="9">
        <f>IF(C148&lt;&gt;0,C148-Gear!$C$17,0)</f>
        <v>0</v>
      </c>
    </row>
    <row r="149" spans="20:21" x14ac:dyDescent="0.25">
      <c r="T149" s="51">
        <f>IF(C149&lt;&gt;0,C149-Gear!$C$17,0)</f>
        <v>0</v>
      </c>
      <c r="U149" s="9">
        <f>IF(C149&lt;&gt;0,C149-Gear!$C$17,0)</f>
        <v>0</v>
      </c>
    </row>
    <row r="150" spans="20:21" x14ac:dyDescent="0.25">
      <c r="T150" s="51">
        <f>IF(C150&lt;&gt;0,C150-Gear!$C$17,0)</f>
        <v>0</v>
      </c>
      <c r="U150" s="9">
        <f>IF(C150&lt;&gt;0,C150-Gear!$C$17,0)</f>
        <v>0</v>
      </c>
    </row>
    <row r="151" spans="20:21" x14ac:dyDescent="0.25">
      <c r="T151" s="51">
        <f>IF(C151&lt;&gt;0,C151-Gear!$C$17,0)</f>
        <v>0</v>
      </c>
      <c r="U151" s="9">
        <f>IF(C151&lt;&gt;0,C151-Gear!$C$17,0)</f>
        <v>0</v>
      </c>
    </row>
    <row r="152" spans="20:21" x14ac:dyDescent="0.25">
      <c r="T152" s="51">
        <f>IF(C152&lt;&gt;0,C152-Gear!$C$17,0)</f>
        <v>0</v>
      </c>
      <c r="U152" s="9">
        <f>IF(C152&lt;&gt;0,C152-Gear!$C$17,0)</f>
        <v>0</v>
      </c>
    </row>
    <row r="153" spans="20:21" x14ac:dyDescent="0.25">
      <c r="T153" s="51">
        <f>IF(C153&lt;&gt;0,C153-Gear!$C$17,0)</f>
        <v>0</v>
      </c>
      <c r="U153" s="9">
        <f>IF(C153&lt;&gt;0,C153-Gear!$C$17,0)</f>
        <v>0</v>
      </c>
    </row>
    <row r="154" spans="20:21" x14ac:dyDescent="0.25">
      <c r="T154" s="51">
        <f>IF(C154&lt;&gt;0,C154-Gear!$C$17,0)</f>
        <v>0</v>
      </c>
      <c r="U154" s="9">
        <f>IF(C154&lt;&gt;0,C154-Gear!$C$17,0)</f>
        <v>0</v>
      </c>
    </row>
    <row r="155" spans="20:21" x14ac:dyDescent="0.25">
      <c r="T155" s="51">
        <f>IF(C155&lt;&gt;0,C155-Gear!$C$17,0)</f>
        <v>0</v>
      </c>
      <c r="U155" s="9">
        <f>IF(C155&lt;&gt;0,C155-Gear!$C$17,0)</f>
        <v>0</v>
      </c>
    </row>
    <row r="156" spans="20:21" x14ac:dyDescent="0.25">
      <c r="T156" s="51">
        <f>IF(C156&lt;&gt;0,C156-Gear!$C$17,0)</f>
        <v>0</v>
      </c>
      <c r="U156" s="9">
        <f>IF(C156&lt;&gt;0,C156-Gear!$C$17,0)</f>
        <v>0</v>
      </c>
    </row>
    <row r="157" spans="20:21" x14ac:dyDescent="0.25">
      <c r="T157" s="51">
        <f>IF(C157&lt;&gt;0,C157-Gear!$C$17,0)</f>
        <v>0</v>
      </c>
      <c r="U157" s="9">
        <f>IF(C157&lt;&gt;0,C157-Gear!$C$17,0)</f>
        <v>0</v>
      </c>
    </row>
    <row r="158" spans="20:21" x14ac:dyDescent="0.25">
      <c r="T158" s="51">
        <f>IF(C158&lt;&gt;0,C158-Gear!$C$17,0)</f>
        <v>0</v>
      </c>
      <c r="U158" s="9">
        <f>IF(C158&lt;&gt;0,C158-Gear!$C$17,0)</f>
        <v>0</v>
      </c>
    </row>
    <row r="159" spans="20:21" x14ac:dyDescent="0.25">
      <c r="T159" s="51">
        <f>IF(C159&lt;&gt;0,C159-Gear!$C$17,0)</f>
        <v>0</v>
      </c>
      <c r="U159" s="9">
        <f>IF(C159&lt;&gt;0,C159-Gear!$C$17,0)</f>
        <v>0</v>
      </c>
    </row>
    <row r="160" spans="20:21" x14ac:dyDescent="0.25">
      <c r="T160" s="51">
        <f>IF(C160&lt;&gt;0,C160-Gear!$C$17,0)</f>
        <v>0</v>
      </c>
      <c r="U160" s="9">
        <f>IF(C160&lt;&gt;0,C160-Gear!$C$17,0)</f>
        <v>0</v>
      </c>
    </row>
    <row r="161" spans="20:21" x14ac:dyDescent="0.25">
      <c r="T161" s="51">
        <f>IF(C161&lt;&gt;0,C161-Gear!$C$17,0)</f>
        <v>0</v>
      </c>
      <c r="U161" s="9">
        <f>IF(C161&lt;&gt;0,C161-Gear!$C$17,0)</f>
        <v>0</v>
      </c>
    </row>
    <row r="162" spans="20:21" x14ac:dyDescent="0.25">
      <c r="T162" s="51">
        <f>IF(C162&lt;&gt;0,C162-Gear!$C$17,0)</f>
        <v>0</v>
      </c>
      <c r="U162" s="9">
        <f>IF(C162&lt;&gt;0,C162-Gear!$C$17,0)</f>
        <v>0</v>
      </c>
    </row>
    <row r="163" spans="20:21" x14ac:dyDescent="0.25">
      <c r="T163" s="51">
        <f>IF(C163&lt;&gt;0,C163-Gear!$C$17,0)</f>
        <v>0</v>
      </c>
      <c r="U163" s="9">
        <f>IF(C163&lt;&gt;0,C163-Gear!$C$17,0)</f>
        <v>0</v>
      </c>
    </row>
    <row r="164" spans="20:21" x14ac:dyDescent="0.25">
      <c r="T164" s="51">
        <f>IF(C164&lt;&gt;0,C164-Gear!$C$17,0)</f>
        <v>0</v>
      </c>
      <c r="U164" s="9">
        <f>IF(C164&lt;&gt;0,C164-Gear!$C$17,0)</f>
        <v>0</v>
      </c>
    </row>
    <row r="165" spans="20:21" x14ac:dyDescent="0.25">
      <c r="T165" s="51">
        <f>IF(C165&lt;&gt;0,C165-Gear!$C$17,0)</f>
        <v>0</v>
      </c>
      <c r="U165" s="9">
        <f>IF(C165&lt;&gt;0,C165-Gear!$C$17,0)</f>
        <v>0</v>
      </c>
    </row>
    <row r="166" spans="20:21" x14ac:dyDescent="0.25">
      <c r="T166" s="51">
        <f>IF(C166&lt;&gt;0,C166-Gear!$C$17,0)</f>
        <v>0</v>
      </c>
      <c r="U166" s="9">
        <f>IF(C166&lt;&gt;0,C166-Gear!$C$17,0)</f>
        <v>0</v>
      </c>
    </row>
    <row r="167" spans="20:21" x14ac:dyDescent="0.25">
      <c r="T167" s="51">
        <f>IF(C167&lt;&gt;0,C167-Gear!$C$17,0)</f>
        <v>0</v>
      </c>
      <c r="U167" s="9">
        <f>IF(C167&lt;&gt;0,C167-Gear!$C$17,0)</f>
        <v>0</v>
      </c>
    </row>
    <row r="168" spans="20:21" x14ac:dyDescent="0.25">
      <c r="T168" s="51">
        <f>IF(C168&lt;&gt;0,C168-Gear!$C$17,0)</f>
        <v>0</v>
      </c>
      <c r="U168" s="9">
        <f>IF(C168&lt;&gt;0,C168-Gear!$C$17,0)</f>
        <v>0</v>
      </c>
    </row>
    <row r="169" spans="20:21" x14ac:dyDescent="0.25">
      <c r="T169" s="51">
        <f>IF(C169&lt;&gt;0,C169-Gear!$C$17,0)</f>
        <v>0</v>
      </c>
      <c r="U169" s="9">
        <f>IF(C169&lt;&gt;0,C169-Gear!$C$17,0)</f>
        <v>0</v>
      </c>
    </row>
    <row r="170" spans="20:21" x14ac:dyDescent="0.25">
      <c r="T170" s="51">
        <f>IF(C170&lt;&gt;0,C170-Gear!$C$17,0)</f>
        <v>0</v>
      </c>
      <c r="U170" s="9">
        <f>IF(C170&lt;&gt;0,C170-Gear!$C$17,0)</f>
        <v>0</v>
      </c>
    </row>
    <row r="171" spans="20:21" x14ac:dyDescent="0.25">
      <c r="T171" s="51">
        <f>IF(C171&lt;&gt;0,C171-Gear!$C$17,0)</f>
        <v>0</v>
      </c>
      <c r="U171" s="9">
        <f>IF(C171&lt;&gt;0,C171-Gear!$C$17,0)</f>
        <v>0</v>
      </c>
    </row>
    <row r="172" spans="20:21" x14ac:dyDescent="0.25">
      <c r="T172" s="51">
        <f>IF(C172&lt;&gt;0,C172-Gear!$C$17,0)</f>
        <v>0</v>
      </c>
      <c r="U172" s="9">
        <f>IF(C172&lt;&gt;0,C172-Gear!$C$17,0)</f>
        <v>0</v>
      </c>
    </row>
    <row r="173" spans="20:21" x14ac:dyDescent="0.25">
      <c r="T173" s="51">
        <f>IF(C173&lt;&gt;0,C173-Gear!$C$17,0)</f>
        <v>0</v>
      </c>
      <c r="U173" s="9">
        <f>IF(C173&lt;&gt;0,C173-Gear!$C$17,0)</f>
        <v>0</v>
      </c>
    </row>
    <row r="174" spans="20:21" x14ac:dyDescent="0.25">
      <c r="T174" s="51">
        <f>IF(C174&lt;&gt;0,C174-Gear!$C$17,0)</f>
        <v>0</v>
      </c>
      <c r="U174" s="9">
        <f>IF(C174&lt;&gt;0,C174-Gear!$C$17,0)</f>
        <v>0</v>
      </c>
    </row>
    <row r="175" spans="20:21" x14ac:dyDescent="0.25">
      <c r="T175" s="51">
        <f>IF(C175&lt;&gt;0,C175-Gear!$C$17,0)</f>
        <v>0</v>
      </c>
      <c r="U175" s="9">
        <f>IF(C175&lt;&gt;0,C175-Gear!$C$17,0)</f>
        <v>0</v>
      </c>
    </row>
    <row r="176" spans="20:21" x14ac:dyDescent="0.25">
      <c r="T176" s="51">
        <f>IF(C176&lt;&gt;0,C176-Gear!$C$17,0)</f>
        <v>0</v>
      </c>
      <c r="U176" s="9">
        <f>IF(C176&lt;&gt;0,C176-Gear!$C$17,0)</f>
        <v>0</v>
      </c>
    </row>
    <row r="177" spans="20:21" x14ac:dyDescent="0.25">
      <c r="T177" s="51">
        <f>IF(C177&lt;&gt;0,C177-Gear!$C$17,0)</f>
        <v>0</v>
      </c>
      <c r="U177" s="9">
        <f>IF(C177&lt;&gt;0,C177-Gear!$C$17,0)</f>
        <v>0</v>
      </c>
    </row>
    <row r="178" spans="20:21" x14ac:dyDescent="0.25">
      <c r="T178" s="51">
        <f>IF(C178&lt;&gt;0,C178-Gear!$C$17,0)</f>
        <v>0</v>
      </c>
      <c r="U178" s="9">
        <f>IF(C178&lt;&gt;0,C178-Gear!$C$17,0)</f>
        <v>0</v>
      </c>
    </row>
    <row r="179" spans="20:21" x14ac:dyDescent="0.25">
      <c r="T179" s="51">
        <f>IF(C179&lt;&gt;0,C179-Gear!$C$17,0)</f>
        <v>0</v>
      </c>
      <c r="U179" s="9">
        <f>IF(C179&lt;&gt;0,C179-Gear!$C$17,0)</f>
        <v>0</v>
      </c>
    </row>
    <row r="180" spans="20:21" x14ac:dyDescent="0.25">
      <c r="T180" s="51">
        <f>IF(C180&lt;&gt;0,C180-Gear!$C$17,0)</f>
        <v>0</v>
      </c>
      <c r="U180" s="9">
        <f>IF(C180&lt;&gt;0,C180-Gear!$C$17,0)</f>
        <v>0</v>
      </c>
    </row>
    <row r="181" spans="20:21" x14ac:dyDescent="0.25">
      <c r="T181" s="51">
        <f>IF(C181&lt;&gt;0,C181-Gear!$C$17,0)</f>
        <v>0</v>
      </c>
      <c r="U181" s="9">
        <f>IF(C181&lt;&gt;0,C181-Gear!$C$17,0)</f>
        <v>0</v>
      </c>
    </row>
    <row r="182" spans="20:21" x14ac:dyDescent="0.25">
      <c r="T182" s="51">
        <f>IF(C182&lt;&gt;0,C182-Gear!$C$17,0)</f>
        <v>0</v>
      </c>
      <c r="U182" s="9">
        <f>IF(C182&lt;&gt;0,C182-Gear!$C$17,0)</f>
        <v>0</v>
      </c>
    </row>
    <row r="183" spans="20:21" x14ac:dyDescent="0.25">
      <c r="T183" s="51">
        <f>IF(C183&lt;&gt;0,C183-Gear!$C$17,0)</f>
        <v>0</v>
      </c>
      <c r="U183" s="9">
        <f>IF(C183&lt;&gt;0,C183-Gear!$C$17,0)</f>
        <v>0</v>
      </c>
    </row>
    <row r="184" spans="20:21" x14ac:dyDescent="0.25">
      <c r="T184" s="51">
        <f>IF(C184&lt;&gt;0,C184-Gear!$C$17,0)</f>
        <v>0</v>
      </c>
      <c r="U184" s="9">
        <f>IF(C184&lt;&gt;0,C184-Gear!$C$17,0)</f>
        <v>0</v>
      </c>
    </row>
    <row r="185" spans="20:21" x14ac:dyDescent="0.25">
      <c r="T185" s="51">
        <f>IF(C185&lt;&gt;0,C185-Gear!$C$17,0)</f>
        <v>0</v>
      </c>
      <c r="U185" s="9">
        <f>IF(C185&lt;&gt;0,C185-Gear!$C$17,0)</f>
        <v>0</v>
      </c>
    </row>
    <row r="186" spans="20:21" x14ac:dyDescent="0.25">
      <c r="T186" s="51">
        <f>IF(C186&lt;&gt;0,C186-Gear!$C$17,0)</f>
        <v>0</v>
      </c>
      <c r="U186" s="9">
        <f>IF(C186&lt;&gt;0,C186-Gear!$C$17,0)</f>
        <v>0</v>
      </c>
    </row>
    <row r="187" spans="20:21" x14ac:dyDescent="0.25">
      <c r="T187" s="51">
        <f>IF(C187&lt;&gt;0,C187-Gear!$C$17,0)</f>
        <v>0</v>
      </c>
      <c r="U187" s="9">
        <f>IF(C187&lt;&gt;0,C187-Gear!$C$17,0)</f>
        <v>0</v>
      </c>
    </row>
    <row r="188" spans="20:21" x14ac:dyDescent="0.25">
      <c r="T188" s="51">
        <f>IF(C188&lt;&gt;0,C188-Gear!$C$17,0)</f>
        <v>0</v>
      </c>
      <c r="U188" s="9">
        <f>IF(C188&lt;&gt;0,C188-Gear!$C$17,0)</f>
        <v>0</v>
      </c>
    </row>
    <row r="189" spans="20:21" x14ac:dyDescent="0.25">
      <c r="T189" s="51">
        <f>IF(C189&lt;&gt;0,C189-Gear!$C$17,0)</f>
        <v>0</v>
      </c>
      <c r="U189" s="9">
        <f>IF(C189&lt;&gt;0,C189-Gear!$C$17,0)</f>
        <v>0</v>
      </c>
    </row>
    <row r="190" spans="20:21" x14ac:dyDescent="0.25">
      <c r="T190" s="51">
        <f>IF(C190&lt;&gt;0,C190-Gear!$C$17,0)</f>
        <v>0</v>
      </c>
      <c r="U190" s="9">
        <f>IF(C190&lt;&gt;0,C190-Gear!$C$17,0)</f>
        <v>0</v>
      </c>
    </row>
    <row r="191" spans="20:21" x14ac:dyDescent="0.25">
      <c r="T191" s="51">
        <f>IF(C191&lt;&gt;0,C191-Gear!$C$17,0)</f>
        <v>0</v>
      </c>
      <c r="U191" s="9">
        <f>IF(C191&lt;&gt;0,C191-Gear!$C$17,0)</f>
        <v>0</v>
      </c>
    </row>
    <row r="192" spans="20:21" x14ac:dyDescent="0.25">
      <c r="T192" s="51">
        <f>IF(C192&lt;&gt;0,C192-Gear!$C$17,0)</f>
        <v>0</v>
      </c>
      <c r="U192" s="9">
        <f>IF(C192&lt;&gt;0,C192-Gear!$C$17,0)</f>
        <v>0</v>
      </c>
    </row>
    <row r="193" spans="20:21" x14ac:dyDescent="0.25">
      <c r="T193" s="51">
        <f>IF(C193&lt;&gt;0,C193-Gear!$C$17,0)</f>
        <v>0</v>
      </c>
      <c r="U193" s="9">
        <f>IF(C193&lt;&gt;0,C193-Gear!$C$17,0)</f>
        <v>0</v>
      </c>
    </row>
    <row r="194" spans="20:21" x14ac:dyDescent="0.25">
      <c r="T194" s="51">
        <f>IF(C194&lt;&gt;0,C194-Gear!$C$17,0)</f>
        <v>0</v>
      </c>
      <c r="U194" s="9">
        <f>IF(C194&lt;&gt;0,C194-Gear!$C$17,0)</f>
        <v>0</v>
      </c>
    </row>
    <row r="195" spans="20:21" x14ac:dyDescent="0.25">
      <c r="T195" s="51">
        <f>IF(C195&lt;&gt;0,C195-Gear!$C$17,0)</f>
        <v>0</v>
      </c>
      <c r="U195" s="9">
        <f>IF(C195&lt;&gt;0,C195-Gear!$C$17,0)</f>
        <v>0</v>
      </c>
    </row>
    <row r="196" spans="20:21" x14ac:dyDescent="0.25">
      <c r="T196" s="51">
        <f>IF(C196&lt;&gt;0,C196-Gear!$C$17,0)</f>
        <v>0</v>
      </c>
      <c r="U196" s="9">
        <f>IF(C196&lt;&gt;0,C196-Gear!$C$17,0)</f>
        <v>0</v>
      </c>
    </row>
    <row r="197" spans="20:21" x14ac:dyDescent="0.25">
      <c r="T197" s="51">
        <f>IF(C197&lt;&gt;0,C197-Gear!$C$17,0)</f>
        <v>0</v>
      </c>
      <c r="U197" s="9">
        <f>IF(C197&lt;&gt;0,C197-Gear!$C$17,0)</f>
        <v>0</v>
      </c>
    </row>
    <row r="198" spans="20:21" x14ac:dyDescent="0.25">
      <c r="T198" s="51">
        <f>IF(C198&lt;&gt;0,C198-Gear!$C$17,0)</f>
        <v>0</v>
      </c>
      <c r="U198" s="9">
        <f>IF(C198&lt;&gt;0,C198-Gear!$C$17,0)</f>
        <v>0</v>
      </c>
    </row>
    <row r="199" spans="20:21" x14ac:dyDescent="0.25">
      <c r="T199" s="51">
        <f>IF(C199&lt;&gt;0,C199-Gear!$C$17,0)</f>
        <v>0</v>
      </c>
      <c r="U199" s="9">
        <f>IF(C199&lt;&gt;0,C199-Gear!$C$17,0)</f>
        <v>0</v>
      </c>
    </row>
    <row r="200" spans="20:21" x14ac:dyDescent="0.25">
      <c r="T200" s="51">
        <f>IF(C200&lt;&gt;0,C200-Gear!$C$17,0)</f>
        <v>0</v>
      </c>
      <c r="U200" s="9">
        <f>IF(C200&lt;&gt;0,C200-Gear!$C$17,0)</f>
        <v>0</v>
      </c>
    </row>
    <row r="201" spans="20:21" x14ac:dyDescent="0.25">
      <c r="T201" s="51">
        <f>IF(C201&lt;&gt;0,C201-Gear!$C$17,0)</f>
        <v>0</v>
      </c>
      <c r="U201" s="9">
        <f>IF(C201&lt;&gt;0,C201-Gear!$C$17,0)</f>
        <v>0</v>
      </c>
    </row>
    <row r="202" spans="20:21" x14ac:dyDescent="0.25">
      <c r="T202" s="51">
        <f>IF(C202&lt;&gt;0,C202-Gear!$C$17,0)</f>
        <v>0</v>
      </c>
      <c r="U202" s="9">
        <f>IF(C202&lt;&gt;0,C202-Gear!$C$17,0)</f>
        <v>0</v>
      </c>
    </row>
    <row r="203" spans="20:21" x14ac:dyDescent="0.25">
      <c r="T203" s="51">
        <f>IF(C203&lt;&gt;0,C203-Gear!$C$17,0)</f>
        <v>0</v>
      </c>
      <c r="U203" s="9">
        <f>IF(C203&lt;&gt;0,C203-Gear!$C$17,0)</f>
        <v>0</v>
      </c>
    </row>
    <row r="204" spans="20:21" x14ac:dyDescent="0.25">
      <c r="T204" s="51">
        <f>IF(C204&lt;&gt;0,C204-Gear!$C$17,0)</f>
        <v>0</v>
      </c>
      <c r="U204" s="9">
        <f>IF(C204&lt;&gt;0,C204-Gear!$C$17,0)</f>
        <v>0</v>
      </c>
    </row>
    <row r="205" spans="20:21" x14ac:dyDescent="0.25">
      <c r="T205" s="51">
        <f>IF(C205&lt;&gt;0,C205-Gear!$C$17,0)</f>
        <v>0</v>
      </c>
      <c r="U205" s="9">
        <f>IF(C205&lt;&gt;0,C205-Gear!$C$17,0)</f>
        <v>0</v>
      </c>
    </row>
    <row r="206" spans="20:21" x14ac:dyDescent="0.25">
      <c r="T206" s="51">
        <f>IF(C206&lt;&gt;0,C206-Gear!$C$17,0)</f>
        <v>0</v>
      </c>
      <c r="U206" s="9">
        <f>IF(C206&lt;&gt;0,C206-Gear!$C$17,0)</f>
        <v>0</v>
      </c>
    </row>
    <row r="207" spans="20:21" x14ac:dyDescent="0.25">
      <c r="T207" s="51">
        <f>IF(C207&lt;&gt;0,C207-Gear!$C$17,0)</f>
        <v>0</v>
      </c>
      <c r="U207" s="9">
        <f>IF(C207&lt;&gt;0,C207-Gear!$C$17,0)</f>
        <v>0</v>
      </c>
    </row>
    <row r="208" spans="20:21" x14ac:dyDescent="0.25">
      <c r="T208" s="51">
        <f>IF(C208&lt;&gt;0,C208-Gear!$C$17,0)</f>
        <v>0</v>
      </c>
      <c r="U208" s="9">
        <f>IF(C208&lt;&gt;0,C208-Gear!$C$17,0)</f>
        <v>0</v>
      </c>
    </row>
    <row r="209" spans="20:21" x14ac:dyDescent="0.25">
      <c r="T209" s="51">
        <f>IF(C209&lt;&gt;0,C209-Gear!$C$17,0)</f>
        <v>0</v>
      </c>
      <c r="U209" s="9">
        <f>IF(C209&lt;&gt;0,C209-Gear!$C$17,0)</f>
        <v>0</v>
      </c>
    </row>
    <row r="210" spans="20:21" x14ac:dyDescent="0.25">
      <c r="T210" s="51">
        <f>IF(C210&lt;&gt;0,C210-Gear!$C$17,0)</f>
        <v>0</v>
      </c>
      <c r="U210" s="9">
        <f>IF(C210&lt;&gt;0,C210-Gear!$C$17,0)</f>
        <v>0</v>
      </c>
    </row>
    <row r="211" spans="20:21" x14ac:dyDescent="0.25">
      <c r="T211" s="51">
        <f>IF(C211&lt;&gt;0,C211-Gear!$C$17,0)</f>
        <v>0</v>
      </c>
      <c r="U211" s="9">
        <f>IF(C211&lt;&gt;0,C211-Gear!$C$17,0)</f>
        <v>0</v>
      </c>
    </row>
    <row r="212" spans="20:21" x14ac:dyDescent="0.25">
      <c r="T212" s="51">
        <f>IF(C212&lt;&gt;0,C212-Gear!$C$17,0)</f>
        <v>0</v>
      </c>
      <c r="U212" s="9">
        <f>IF(C212&lt;&gt;0,C212-Gear!$C$17,0)</f>
        <v>0</v>
      </c>
    </row>
    <row r="213" spans="20:21" x14ac:dyDescent="0.25">
      <c r="T213" s="51">
        <f>IF(C213&lt;&gt;0,C213-Gear!$C$17,0)</f>
        <v>0</v>
      </c>
      <c r="U213" s="9">
        <f>IF(C213&lt;&gt;0,C213-Gear!$C$17,0)</f>
        <v>0</v>
      </c>
    </row>
    <row r="214" spans="20:21" x14ac:dyDescent="0.25">
      <c r="T214" s="51">
        <f>IF(C214&lt;&gt;0,C214-Gear!$C$17,0)</f>
        <v>0</v>
      </c>
      <c r="U214" s="9">
        <f>IF(C214&lt;&gt;0,C214-Gear!$C$17,0)</f>
        <v>0</v>
      </c>
    </row>
    <row r="215" spans="20:21" x14ac:dyDescent="0.25">
      <c r="T215" s="51">
        <f>IF(C215&lt;&gt;0,C215-Gear!$C$17,0)</f>
        <v>0</v>
      </c>
      <c r="U215" s="9">
        <f>IF(C215&lt;&gt;0,C215-Gear!$C$17,0)</f>
        <v>0</v>
      </c>
    </row>
    <row r="216" spans="20:21" x14ac:dyDescent="0.25">
      <c r="T216" s="51">
        <f>IF(C216&lt;&gt;0,C216-Gear!$C$17,0)</f>
        <v>0</v>
      </c>
      <c r="U216" s="9">
        <f>IF(C216&lt;&gt;0,C216-Gear!$C$17,0)</f>
        <v>0</v>
      </c>
    </row>
    <row r="217" spans="20:21" x14ac:dyDescent="0.25">
      <c r="T217" s="51">
        <f>IF(C217&lt;&gt;0,C217-Gear!$C$17,0)</f>
        <v>0</v>
      </c>
      <c r="U217" s="9">
        <f>IF(C217&lt;&gt;0,C217-Gear!$C$17,0)</f>
        <v>0</v>
      </c>
    </row>
    <row r="218" spans="20:21" x14ac:dyDescent="0.25">
      <c r="T218" s="51">
        <f>IF(C218&lt;&gt;0,C218-Gear!$C$17,0)</f>
        <v>0</v>
      </c>
      <c r="U218" s="9">
        <f>IF(C218&lt;&gt;0,C218-Gear!$C$17,0)</f>
        <v>0</v>
      </c>
    </row>
    <row r="219" spans="20:21" x14ac:dyDescent="0.25">
      <c r="T219" s="51">
        <f>IF(C219&lt;&gt;0,C219-Gear!$C$17,0)</f>
        <v>0</v>
      </c>
      <c r="U219" s="9">
        <f>IF(C219&lt;&gt;0,C219-Gear!$C$17,0)</f>
        <v>0</v>
      </c>
    </row>
    <row r="220" spans="20:21" x14ac:dyDescent="0.25">
      <c r="T220" s="51">
        <f>IF(C220&lt;&gt;0,C220-Gear!$C$17,0)</f>
        <v>0</v>
      </c>
      <c r="U220" s="9">
        <f>IF(C220&lt;&gt;0,C220-Gear!$C$17,0)</f>
        <v>0</v>
      </c>
    </row>
    <row r="221" spans="20:21" x14ac:dyDescent="0.25">
      <c r="T221" s="51">
        <f>IF(C221&lt;&gt;0,C221-Gear!$C$17,0)</f>
        <v>0</v>
      </c>
      <c r="U221" s="9">
        <f>IF(C221&lt;&gt;0,C221-Gear!$C$17,0)</f>
        <v>0</v>
      </c>
    </row>
    <row r="222" spans="20:21" x14ac:dyDescent="0.25">
      <c r="T222" s="51">
        <f>IF(C222&lt;&gt;0,C222-Gear!$C$17,0)</f>
        <v>0</v>
      </c>
      <c r="U222" s="9">
        <f>IF(C222&lt;&gt;0,C222-Gear!$C$17,0)</f>
        <v>0</v>
      </c>
    </row>
    <row r="223" spans="20:21" x14ac:dyDescent="0.25">
      <c r="T223" s="51">
        <f>IF(C223&lt;&gt;0,C223-Gear!$C$17,0)</f>
        <v>0</v>
      </c>
      <c r="U223" s="9">
        <f>IF(C223&lt;&gt;0,C223-Gear!$C$17,0)</f>
        <v>0</v>
      </c>
    </row>
    <row r="224" spans="20:21" x14ac:dyDescent="0.25">
      <c r="T224" s="51">
        <f>IF(C224&lt;&gt;0,C224-Gear!$C$17,0)</f>
        <v>0</v>
      </c>
      <c r="U224" s="9">
        <f>IF(C224&lt;&gt;0,C224-Gear!$C$17,0)</f>
        <v>0</v>
      </c>
    </row>
    <row r="225" spans="20:21" x14ac:dyDescent="0.25">
      <c r="T225" s="51">
        <f>IF(C225&lt;&gt;0,C225-Gear!$C$17,0)</f>
        <v>0</v>
      </c>
      <c r="U225" s="9">
        <f>IF(C225&lt;&gt;0,C225-Gear!$C$17,0)</f>
        <v>0</v>
      </c>
    </row>
    <row r="226" spans="20:21" x14ac:dyDescent="0.25">
      <c r="T226" s="51">
        <f>IF(C226&lt;&gt;0,C226-Gear!$C$17,0)</f>
        <v>0</v>
      </c>
      <c r="U226" s="9">
        <f>IF(C226&lt;&gt;0,C226-Gear!$C$17,0)</f>
        <v>0</v>
      </c>
    </row>
    <row r="227" spans="20:21" x14ac:dyDescent="0.25">
      <c r="T227" s="51">
        <f>IF(C227&lt;&gt;0,C227-Gear!$C$17,0)</f>
        <v>0</v>
      </c>
      <c r="U227" s="9">
        <f>IF(C227&lt;&gt;0,C227-Gear!$C$17,0)</f>
        <v>0</v>
      </c>
    </row>
    <row r="228" spans="20:21" x14ac:dyDescent="0.25">
      <c r="T228" s="51">
        <f>IF(C228&lt;&gt;0,C228-Gear!$C$17,0)</f>
        <v>0</v>
      </c>
      <c r="U228" s="9">
        <f>IF(C228&lt;&gt;0,C228-Gear!$C$17,0)</f>
        <v>0</v>
      </c>
    </row>
    <row r="229" spans="20:21" x14ac:dyDescent="0.25">
      <c r="T229" s="51">
        <f>IF(C229&lt;&gt;0,C229-Gear!$C$17,0)</f>
        <v>0</v>
      </c>
      <c r="U229" s="9">
        <f>IF(C229&lt;&gt;0,C229-Gear!$C$17,0)</f>
        <v>0</v>
      </c>
    </row>
    <row r="230" spans="20:21" x14ac:dyDescent="0.25">
      <c r="T230" s="51">
        <f>IF(C230&lt;&gt;0,C230-Gear!$C$17,0)</f>
        <v>0</v>
      </c>
      <c r="U230" s="9">
        <f>IF(C230&lt;&gt;0,C230-Gear!$C$17,0)</f>
        <v>0</v>
      </c>
    </row>
    <row r="231" spans="20:21" x14ac:dyDescent="0.25">
      <c r="T231" s="51">
        <f>IF(C231&lt;&gt;0,C231-Gear!$C$17,0)</f>
        <v>0</v>
      </c>
      <c r="U231" s="9">
        <f>IF(C231&lt;&gt;0,C231-Gear!$C$17,0)</f>
        <v>0</v>
      </c>
    </row>
    <row r="232" spans="20:21" x14ac:dyDescent="0.25">
      <c r="T232" s="51">
        <f>IF(C232&lt;&gt;0,C232-Gear!$C$17,0)</f>
        <v>0</v>
      </c>
      <c r="U232" s="9">
        <f>IF(C232&lt;&gt;0,C232-Gear!$C$17,0)</f>
        <v>0</v>
      </c>
    </row>
    <row r="233" spans="20:21" x14ac:dyDescent="0.25">
      <c r="T233" s="51">
        <f>IF(C233&lt;&gt;0,C233-Gear!$C$17,0)</f>
        <v>0</v>
      </c>
      <c r="U233" s="9">
        <f>IF(C233&lt;&gt;0,C233-Gear!$C$17,0)</f>
        <v>0</v>
      </c>
    </row>
    <row r="234" spans="20:21" x14ac:dyDescent="0.25">
      <c r="T234" s="51">
        <f>IF(C234&lt;&gt;0,C234-Gear!$C$17,0)</f>
        <v>0</v>
      </c>
      <c r="U234" s="9">
        <f>IF(C234&lt;&gt;0,C234-Gear!$C$17,0)</f>
        <v>0</v>
      </c>
    </row>
    <row r="235" spans="20:21" x14ac:dyDescent="0.25">
      <c r="T235" s="51">
        <f>IF(C235&lt;&gt;0,C235-Gear!$C$17,0)</f>
        <v>0</v>
      </c>
      <c r="U235" s="9">
        <f>IF(C235&lt;&gt;0,C235-Gear!$C$17,0)</f>
        <v>0</v>
      </c>
    </row>
    <row r="236" spans="20:21" x14ac:dyDescent="0.25">
      <c r="T236" s="51">
        <f>IF(C236&lt;&gt;0,C236-Gear!$C$17,0)</f>
        <v>0</v>
      </c>
      <c r="U236" s="9">
        <f>IF(C236&lt;&gt;0,C236-Gear!$C$17,0)</f>
        <v>0</v>
      </c>
    </row>
    <row r="237" spans="20:21" x14ac:dyDescent="0.25">
      <c r="T237" s="51">
        <f>IF(C237&lt;&gt;0,C237-Gear!$C$17,0)</f>
        <v>0</v>
      </c>
      <c r="U237" s="9">
        <f>IF(C237&lt;&gt;0,C237-Gear!$C$17,0)</f>
        <v>0</v>
      </c>
    </row>
    <row r="238" spans="20:21" x14ac:dyDescent="0.25">
      <c r="T238" s="51">
        <f>IF(C238&lt;&gt;0,C238-Gear!$C$17,0)</f>
        <v>0</v>
      </c>
      <c r="U238" s="9">
        <f>IF(C238&lt;&gt;0,C238-Gear!$C$17,0)</f>
        <v>0</v>
      </c>
    </row>
    <row r="239" spans="20:21" x14ac:dyDescent="0.25">
      <c r="T239" s="51">
        <f>IF(C239&lt;&gt;0,C239-Gear!$C$17,0)</f>
        <v>0</v>
      </c>
      <c r="U239" s="9">
        <f>IF(C239&lt;&gt;0,C239-Gear!$C$17,0)</f>
        <v>0</v>
      </c>
    </row>
    <row r="240" spans="20:21" x14ac:dyDescent="0.25">
      <c r="T240" s="51">
        <f>IF(C240&lt;&gt;0,C240-Gear!$C$17,0)</f>
        <v>0</v>
      </c>
      <c r="U240" s="9">
        <f>IF(C240&lt;&gt;0,C240-Gear!$C$17,0)</f>
        <v>0</v>
      </c>
    </row>
    <row r="241" spans="20:21" x14ac:dyDescent="0.25">
      <c r="T241" s="51">
        <f>IF(C241&lt;&gt;0,C241-Gear!$C$17,0)</f>
        <v>0</v>
      </c>
      <c r="U241" s="9">
        <f>IF(C241&lt;&gt;0,C241-Gear!$C$17,0)</f>
        <v>0</v>
      </c>
    </row>
    <row r="242" spans="20:21" x14ac:dyDescent="0.25">
      <c r="T242" s="51">
        <f>IF(C242&lt;&gt;0,C242-Gear!$C$17,0)</f>
        <v>0</v>
      </c>
      <c r="U242" s="9">
        <f>IF(C242&lt;&gt;0,C242-Gear!$C$17,0)</f>
        <v>0</v>
      </c>
    </row>
    <row r="243" spans="20:21" x14ac:dyDescent="0.25">
      <c r="T243" s="51">
        <f>IF(C243&lt;&gt;0,C243-Gear!$C$17,0)</f>
        <v>0</v>
      </c>
      <c r="U243" s="9">
        <f>IF(C243&lt;&gt;0,C243-Gear!$C$17,0)</f>
        <v>0</v>
      </c>
    </row>
    <row r="244" spans="20:21" x14ac:dyDescent="0.25">
      <c r="T244" s="51">
        <f>IF(C244&lt;&gt;0,C244-Gear!$C$17,0)</f>
        <v>0</v>
      </c>
      <c r="U244" s="9">
        <f>IF(C244&lt;&gt;0,C244-Gear!$C$17,0)</f>
        <v>0</v>
      </c>
    </row>
    <row r="245" spans="20:21" x14ac:dyDescent="0.25">
      <c r="T245" s="51">
        <f>IF(C245&lt;&gt;0,C245-Gear!$C$17,0)</f>
        <v>0</v>
      </c>
      <c r="U245" s="9">
        <f>IF(C245&lt;&gt;0,C245-Gear!$C$17,0)</f>
        <v>0</v>
      </c>
    </row>
    <row r="246" spans="20:21" x14ac:dyDescent="0.25">
      <c r="T246" s="51">
        <f>IF(C246&lt;&gt;0,C246-Gear!$C$17,0)</f>
        <v>0</v>
      </c>
      <c r="U246" s="9">
        <f>IF(C246&lt;&gt;0,C246-Gear!$C$17,0)</f>
        <v>0</v>
      </c>
    </row>
    <row r="247" spans="20:21" x14ac:dyDescent="0.25">
      <c r="T247" s="51">
        <f>IF(C247&lt;&gt;0,C247-Gear!$C$17,0)</f>
        <v>0</v>
      </c>
      <c r="U247" s="9">
        <f>IF(C247&lt;&gt;0,C247-Gear!$C$17,0)</f>
        <v>0</v>
      </c>
    </row>
    <row r="248" spans="20:21" x14ac:dyDescent="0.25">
      <c r="T248" s="51">
        <f>IF(C248&lt;&gt;0,C248-Gear!$C$17,0)</f>
        <v>0</v>
      </c>
      <c r="U248" s="9">
        <f>IF(C248&lt;&gt;0,C248-Gear!$C$17,0)</f>
        <v>0</v>
      </c>
    </row>
    <row r="249" spans="20:21" x14ac:dyDescent="0.25">
      <c r="T249" s="51">
        <f>IF(C249&lt;&gt;0,C249-Gear!$C$17,0)</f>
        <v>0</v>
      </c>
      <c r="U249" s="9">
        <f>IF(C249&lt;&gt;0,C249-Gear!$C$17,0)</f>
        <v>0</v>
      </c>
    </row>
    <row r="250" spans="20:21" x14ac:dyDescent="0.25">
      <c r="T250" s="51">
        <f>IF(C250&lt;&gt;0,C250-Gear!$C$17,0)</f>
        <v>0</v>
      </c>
      <c r="U250" s="9">
        <f>IF(C250&lt;&gt;0,C250-Gear!$C$17,0)</f>
        <v>0</v>
      </c>
    </row>
    <row r="251" spans="20:21" x14ac:dyDescent="0.25">
      <c r="T251" s="51">
        <f>IF(C251&lt;&gt;0,C251-Gear!$C$17,0)</f>
        <v>0</v>
      </c>
      <c r="U251" s="9">
        <f>IF(C251&lt;&gt;0,C251-Gear!$C$17,0)</f>
        <v>0</v>
      </c>
    </row>
    <row r="252" spans="20:21" x14ac:dyDescent="0.25">
      <c r="T252" s="51">
        <f>IF(C252&lt;&gt;0,C252-Gear!$C$17,0)</f>
        <v>0</v>
      </c>
      <c r="U252" s="9">
        <f>IF(C252&lt;&gt;0,C252-Gear!$C$17,0)</f>
        <v>0</v>
      </c>
    </row>
    <row r="253" spans="20:21" x14ac:dyDescent="0.25">
      <c r="T253" s="51">
        <f>IF(C253&lt;&gt;0,C253-Gear!$C$17,0)</f>
        <v>0</v>
      </c>
      <c r="U253" s="9">
        <f>IF(C253&lt;&gt;0,C253-Gear!$C$17,0)</f>
        <v>0</v>
      </c>
    </row>
    <row r="254" spans="20:21" x14ac:dyDescent="0.25">
      <c r="T254" s="51">
        <f>IF(C254&lt;&gt;0,C254-Gear!$C$17,0)</f>
        <v>0</v>
      </c>
      <c r="U254" s="9">
        <f>IF(C254&lt;&gt;0,C254-Gear!$C$17,0)</f>
        <v>0</v>
      </c>
    </row>
    <row r="255" spans="20:21" x14ac:dyDescent="0.25">
      <c r="T255" s="51">
        <f>IF(C255&lt;&gt;0,C255-Gear!$C$17,0)</f>
        <v>0</v>
      </c>
      <c r="U255" s="9">
        <f>IF(C255&lt;&gt;0,C255-Gear!$C$17,0)</f>
        <v>0</v>
      </c>
    </row>
    <row r="256" spans="20:21" x14ac:dyDescent="0.25">
      <c r="T256" s="51">
        <f>IF(C256&lt;&gt;0,C256-Gear!$C$17,0)</f>
        <v>0</v>
      </c>
      <c r="U256" s="9">
        <f>IF(C256&lt;&gt;0,C256-Gear!$C$17,0)</f>
        <v>0</v>
      </c>
    </row>
    <row r="257" spans="20:21" x14ac:dyDescent="0.25">
      <c r="T257" s="51">
        <f>IF(C257&lt;&gt;0,C257-Gear!$C$17,0)</f>
        <v>0</v>
      </c>
      <c r="U257" s="9">
        <f>IF(C257&lt;&gt;0,C257-Gear!$C$17,0)</f>
        <v>0</v>
      </c>
    </row>
    <row r="258" spans="20:21" x14ac:dyDescent="0.25">
      <c r="T258" s="51">
        <f>IF(C258&lt;&gt;0,C258-Gear!$C$17,0)</f>
        <v>0</v>
      </c>
      <c r="U258" s="9">
        <f>IF(C258&lt;&gt;0,C258-Gear!$C$17,0)</f>
        <v>0</v>
      </c>
    </row>
    <row r="259" spans="20:21" x14ac:dyDescent="0.25">
      <c r="T259" s="51">
        <f>IF(C259&lt;&gt;0,C259-Gear!$C$17,0)</f>
        <v>0</v>
      </c>
      <c r="U259" s="9">
        <f>IF(C259&lt;&gt;0,C259-Gear!$C$17,0)</f>
        <v>0</v>
      </c>
    </row>
    <row r="260" spans="20:21" x14ac:dyDescent="0.25">
      <c r="T260" s="51">
        <f>IF(C260&lt;&gt;0,C260-Gear!$C$17,0)</f>
        <v>0</v>
      </c>
      <c r="U260" s="9">
        <f>IF(C260&lt;&gt;0,C260-Gear!$C$17,0)</f>
        <v>0</v>
      </c>
    </row>
    <row r="261" spans="20:21" x14ac:dyDescent="0.25">
      <c r="T261" s="51">
        <f>IF(C261&lt;&gt;0,C261-Gear!$C$17,0)</f>
        <v>0</v>
      </c>
      <c r="U261" s="9">
        <f>IF(C261&lt;&gt;0,C261-Gear!$C$17,0)</f>
        <v>0</v>
      </c>
    </row>
    <row r="262" spans="20:21" x14ac:dyDescent="0.25">
      <c r="T262" s="51">
        <f>IF(C262&lt;&gt;0,C262-Gear!$C$17,0)</f>
        <v>0</v>
      </c>
      <c r="U262" s="9">
        <f>IF(C262&lt;&gt;0,C262-Gear!$C$17,0)</f>
        <v>0</v>
      </c>
    </row>
    <row r="263" spans="20:21" x14ac:dyDescent="0.25">
      <c r="T263" s="51">
        <f>IF(C263&lt;&gt;0,C263-Gear!$C$17,0)</f>
        <v>0</v>
      </c>
      <c r="U263" s="9">
        <f>IF(C263&lt;&gt;0,C263-Gear!$C$17,0)</f>
        <v>0</v>
      </c>
    </row>
    <row r="264" spans="20:21" x14ac:dyDescent="0.25">
      <c r="T264" s="51">
        <f>IF(C264&lt;&gt;0,C264-Gear!$C$17,0)</f>
        <v>0</v>
      </c>
      <c r="U264" s="9">
        <f>IF(C264&lt;&gt;0,C264-Gear!$C$17,0)</f>
        <v>0</v>
      </c>
    </row>
    <row r="265" spans="20:21" x14ac:dyDescent="0.25">
      <c r="T265" s="51">
        <f>IF(C265&lt;&gt;0,C265-Gear!$C$17,0)</f>
        <v>0</v>
      </c>
      <c r="U265" s="9">
        <f>IF(C265&lt;&gt;0,C265-Gear!$C$17,0)</f>
        <v>0</v>
      </c>
    </row>
    <row r="266" spans="20:21" x14ac:dyDescent="0.25">
      <c r="T266" s="51">
        <f>IF(C266&lt;&gt;0,C266-Gear!$C$17,0)</f>
        <v>0</v>
      </c>
      <c r="U266" s="9">
        <f>IF(C266&lt;&gt;0,C266-Gear!$C$17,0)</f>
        <v>0</v>
      </c>
    </row>
    <row r="267" spans="20:21" x14ac:dyDescent="0.25">
      <c r="T267" s="51">
        <f>IF(C267&lt;&gt;0,C267-Gear!$C$17,0)</f>
        <v>0</v>
      </c>
      <c r="U267" s="9">
        <f>IF(C267&lt;&gt;0,C267-Gear!$C$17,0)</f>
        <v>0</v>
      </c>
    </row>
    <row r="268" spans="20:21" x14ac:dyDescent="0.25">
      <c r="T268" s="51">
        <f>IF(C268&lt;&gt;0,C268-Gear!$C$17,0)</f>
        <v>0</v>
      </c>
      <c r="U268" s="9">
        <f>IF(C268&lt;&gt;0,C268-Gear!$C$17,0)</f>
        <v>0</v>
      </c>
    </row>
    <row r="269" spans="20:21" x14ac:dyDescent="0.25">
      <c r="T269" s="51">
        <f>IF(C269&lt;&gt;0,C269-Gear!$C$17,0)</f>
        <v>0</v>
      </c>
      <c r="U269" s="9">
        <f>IF(C269&lt;&gt;0,C269-Gear!$C$17,0)</f>
        <v>0</v>
      </c>
    </row>
    <row r="270" spans="20:21" x14ac:dyDescent="0.25">
      <c r="T270" s="51">
        <f>IF(C270&lt;&gt;0,C270-Gear!$C$17,0)</f>
        <v>0</v>
      </c>
      <c r="U270" s="9">
        <f>IF(C270&lt;&gt;0,C270-Gear!$C$17,0)</f>
        <v>0</v>
      </c>
    </row>
    <row r="271" spans="20:21" x14ac:dyDescent="0.25">
      <c r="T271" s="51">
        <f>IF(C271&lt;&gt;0,C271-Gear!$C$17,0)</f>
        <v>0</v>
      </c>
      <c r="U271" s="9">
        <f>IF(C271&lt;&gt;0,C271-Gear!$C$17,0)</f>
        <v>0</v>
      </c>
    </row>
    <row r="272" spans="20:21" x14ac:dyDescent="0.25">
      <c r="T272" s="51">
        <f>IF(C272&lt;&gt;0,C272-Gear!$C$17,0)</f>
        <v>0</v>
      </c>
      <c r="U272" s="9">
        <f>IF(C272&lt;&gt;0,C272-Gear!$C$17,0)</f>
        <v>0</v>
      </c>
    </row>
    <row r="273" spans="20:21" x14ac:dyDescent="0.25">
      <c r="T273" s="51">
        <f>IF(C273&lt;&gt;0,C273-Gear!$C$17,0)</f>
        <v>0</v>
      </c>
      <c r="U273" s="9">
        <f>IF(C273&lt;&gt;0,C273-Gear!$C$17,0)</f>
        <v>0</v>
      </c>
    </row>
    <row r="274" spans="20:21" x14ac:dyDescent="0.25">
      <c r="T274" s="51">
        <f>IF(C274&lt;&gt;0,C274-Gear!$C$17,0)</f>
        <v>0</v>
      </c>
      <c r="U274" s="9">
        <f>IF(C274&lt;&gt;0,C274-Gear!$C$17,0)</f>
        <v>0</v>
      </c>
    </row>
    <row r="275" spans="20:21" x14ac:dyDescent="0.25">
      <c r="T275" s="51">
        <f>IF(C275&lt;&gt;0,C275-Gear!$C$17,0)</f>
        <v>0</v>
      </c>
      <c r="U275" s="9">
        <f>IF(C275&lt;&gt;0,C275-Gear!$C$17,0)</f>
        <v>0</v>
      </c>
    </row>
    <row r="276" spans="20:21" x14ac:dyDescent="0.25">
      <c r="T276" s="51">
        <f>IF(C276&lt;&gt;0,C276-Gear!$C$17,0)</f>
        <v>0</v>
      </c>
      <c r="U276" s="9">
        <f>IF(C276&lt;&gt;0,C276-Gear!$C$17,0)</f>
        <v>0</v>
      </c>
    </row>
    <row r="277" spans="20:21" x14ac:dyDescent="0.25">
      <c r="T277" s="51">
        <f>IF(C277&lt;&gt;0,C277-Gear!$C$17,0)</f>
        <v>0</v>
      </c>
      <c r="U277" s="9">
        <f>IF(C277&lt;&gt;0,C277-Gear!$C$17,0)</f>
        <v>0</v>
      </c>
    </row>
    <row r="278" spans="20:21" x14ac:dyDescent="0.25">
      <c r="T278" s="51">
        <f>IF(C278&lt;&gt;0,C278-Gear!$C$17,0)</f>
        <v>0</v>
      </c>
      <c r="U278" s="9">
        <f>IF(C278&lt;&gt;0,C278-Gear!$C$17,0)</f>
        <v>0</v>
      </c>
    </row>
    <row r="279" spans="20:21" x14ac:dyDescent="0.25">
      <c r="T279" s="51">
        <f>IF(C279&lt;&gt;0,C279-Gear!$C$17,0)</f>
        <v>0</v>
      </c>
      <c r="U279" s="9">
        <f>IF(C279&lt;&gt;0,C279-Gear!$C$17,0)</f>
        <v>0</v>
      </c>
    </row>
    <row r="280" spans="20:21" x14ac:dyDescent="0.25">
      <c r="T280" s="51">
        <f>IF(C280&lt;&gt;0,C280-Gear!$C$17,0)</f>
        <v>0</v>
      </c>
      <c r="U280" s="9">
        <f>IF(C280&lt;&gt;0,C280-Gear!$C$17,0)</f>
        <v>0</v>
      </c>
    </row>
    <row r="281" spans="20:21" x14ac:dyDescent="0.25">
      <c r="T281" s="51">
        <f>IF(C281&lt;&gt;0,C281-Gear!$C$17,0)</f>
        <v>0</v>
      </c>
      <c r="U281" s="9">
        <f>IF(C281&lt;&gt;0,C281-Gear!$C$17,0)</f>
        <v>0</v>
      </c>
    </row>
    <row r="282" spans="20:21" x14ac:dyDescent="0.25">
      <c r="T282" s="51">
        <f>IF(C282&lt;&gt;0,C282-Gear!$C$17,0)</f>
        <v>0</v>
      </c>
      <c r="U282" s="9">
        <f>IF(C282&lt;&gt;0,C282-Gear!$C$17,0)</f>
        <v>0</v>
      </c>
    </row>
    <row r="283" spans="20:21" x14ac:dyDescent="0.25">
      <c r="T283" s="51">
        <f>IF(C283&lt;&gt;0,C283-Gear!$C$17,0)</f>
        <v>0</v>
      </c>
      <c r="U283" s="9">
        <f>IF(C283&lt;&gt;0,C283-Gear!$C$17,0)</f>
        <v>0</v>
      </c>
    </row>
    <row r="284" spans="20:21" x14ac:dyDescent="0.25">
      <c r="T284" s="51">
        <f>IF(C284&lt;&gt;0,C284-Gear!$C$17,0)</f>
        <v>0</v>
      </c>
      <c r="U284" s="9">
        <f>IF(C284&lt;&gt;0,C284-Gear!$C$17,0)</f>
        <v>0</v>
      </c>
    </row>
    <row r="285" spans="20:21" x14ac:dyDescent="0.25">
      <c r="T285" s="51">
        <f>IF(C285&lt;&gt;0,C285-Gear!$C$17,0)</f>
        <v>0</v>
      </c>
      <c r="U285" s="9">
        <f>IF(C285&lt;&gt;0,C285-Gear!$C$17,0)</f>
        <v>0</v>
      </c>
    </row>
    <row r="286" spans="20:21" x14ac:dyDescent="0.25">
      <c r="T286" s="51">
        <f>IF(C286&lt;&gt;0,C286-Gear!$C$17,0)</f>
        <v>0</v>
      </c>
      <c r="U286" s="9">
        <f>IF(C286&lt;&gt;0,C286-Gear!$C$17,0)</f>
        <v>0</v>
      </c>
    </row>
    <row r="287" spans="20:21" x14ac:dyDescent="0.25">
      <c r="T287" s="51">
        <f>IF(C287&lt;&gt;0,C287-Gear!$C$17,0)</f>
        <v>0</v>
      </c>
      <c r="U287" s="9">
        <f>IF(C287&lt;&gt;0,C287-Gear!$C$17,0)</f>
        <v>0</v>
      </c>
    </row>
    <row r="288" spans="20:21" x14ac:dyDescent="0.25">
      <c r="T288" s="51">
        <f>IF(C288&lt;&gt;0,C288-Gear!$C$17,0)</f>
        <v>0</v>
      </c>
      <c r="U288" s="9">
        <f>IF(C288&lt;&gt;0,C288-Gear!$C$17,0)</f>
        <v>0</v>
      </c>
    </row>
    <row r="289" spans="20:21" x14ac:dyDescent="0.25">
      <c r="T289" s="51">
        <f>IF(C289&lt;&gt;0,C289-Gear!$C$17,0)</f>
        <v>0</v>
      </c>
      <c r="U289" s="9">
        <f>IF(C289&lt;&gt;0,C289-Gear!$C$17,0)</f>
        <v>0</v>
      </c>
    </row>
    <row r="290" spans="20:21" x14ac:dyDescent="0.25">
      <c r="T290" s="51">
        <f>IF(C290&lt;&gt;0,C290-Gear!$C$17,0)</f>
        <v>0</v>
      </c>
      <c r="U290" s="9">
        <f>IF(C290&lt;&gt;0,C290-Gear!$C$17,0)</f>
        <v>0</v>
      </c>
    </row>
    <row r="291" spans="20:21" x14ac:dyDescent="0.25">
      <c r="T291" s="51">
        <f>IF(C291&lt;&gt;0,C291-Gear!$C$17,0)</f>
        <v>0</v>
      </c>
      <c r="U291" s="9">
        <f>IF(C291&lt;&gt;0,C291-Gear!$C$17,0)</f>
        <v>0</v>
      </c>
    </row>
    <row r="292" spans="20:21" x14ac:dyDescent="0.25">
      <c r="T292" s="51">
        <f>IF(C292&lt;&gt;0,C292-Gear!$C$17,0)</f>
        <v>0</v>
      </c>
      <c r="U292" s="9">
        <f>IF(C292&lt;&gt;0,C292-Gear!$C$17,0)</f>
        <v>0</v>
      </c>
    </row>
    <row r="293" spans="20:21" x14ac:dyDescent="0.25">
      <c r="T293" s="51">
        <f>IF(C293&lt;&gt;0,C293-Gear!$C$17,0)</f>
        <v>0</v>
      </c>
      <c r="U293" s="9">
        <f>IF(C293&lt;&gt;0,C293-Gear!$C$17,0)</f>
        <v>0</v>
      </c>
    </row>
    <row r="294" spans="20:21" x14ac:dyDescent="0.25">
      <c r="T294" s="51">
        <f>IF(C294&lt;&gt;0,C294-Gear!$C$17,0)</f>
        <v>0</v>
      </c>
      <c r="U294" s="9">
        <f>IF(C294&lt;&gt;0,C294-Gear!$C$17,0)</f>
        <v>0</v>
      </c>
    </row>
    <row r="295" spans="20:21" x14ac:dyDescent="0.25">
      <c r="T295" s="51">
        <f>IF(C295&lt;&gt;0,C295-Gear!$C$17,0)</f>
        <v>0</v>
      </c>
      <c r="U295" s="9">
        <f>IF(C295&lt;&gt;0,C295-Gear!$C$17,0)</f>
        <v>0</v>
      </c>
    </row>
    <row r="296" spans="20:21" x14ac:dyDescent="0.25">
      <c r="T296" s="51">
        <f>IF(C296&lt;&gt;0,C296-Gear!$C$17,0)</f>
        <v>0</v>
      </c>
      <c r="U296" s="9">
        <f>IF(C296&lt;&gt;0,C296-Gear!$C$17,0)</f>
        <v>0</v>
      </c>
    </row>
    <row r="297" spans="20:21" x14ac:dyDescent="0.25">
      <c r="T297" s="51">
        <f>IF(C297&lt;&gt;0,C297-Gear!$C$17,0)</f>
        <v>0</v>
      </c>
      <c r="U297" s="9">
        <f>IF(C297&lt;&gt;0,C297-Gear!$C$17,0)</f>
        <v>0</v>
      </c>
    </row>
    <row r="298" spans="20:21" x14ac:dyDescent="0.25">
      <c r="T298" s="51">
        <f>IF(C298&lt;&gt;0,C298-Gear!$C$17,0)</f>
        <v>0</v>
      </c>
      <c r="U298" s="9">
        <f>IF(C298&lt;&gt;0,C298-Gear!$C$17,0)</f>
        <v>0</v>
      </c>
    </row>
    <row r="299" spans="20:21" x14ac:dyDescent="0.25">
      <c r="T299" s="51">
        <f>IF(C299&lt;&gt;0,C299-Gear!$C$17,0)</f>
        <v>0</v>
      </c>
      <c r="U299" s="9">
        <f>IF(C299&lt;&gt;0,C299-Gear!$C$17,0)</f>
        <v>0</v>
      </c>
    </row>
    <row r="300" spans="20:21" x14ac:dyDescent="0.25">
      <c r="T300" s="51">
        <f>IF(C300&lt;&gt;0,C300-Gear!$C$17,0)</f>
        <v>0</v>
      </c>
      <c r="U300" s="9">
        <f>IF(C300&lt;&gt;0,C300-Gear!$C$17,0)</f>
        <v>0</v>
      </c>
    </row>
    <row r="301" spans="20:21" x14ac:dyDescent="0.25">
      <c r="T301" s="51">
        <f>IF(C301&lt;&gt;0,C301-Gear!$C$17,0)</f>
        <v>0</v>
      </c>
      <c r="U301" s="9">
        <f>IF(C301&lt;&gt;0,C301-Gear!$C$17,0)</f>
        <v>0</v>
      </c>
    </row>
    <row r="302" spans="20:21" x14ac:dyDescent="0.25">
      <c r="T302" s="51">
        <f>IF(C302&lt;&gt;0,C302-Gear!$C$17,0)</f>
        <v>0</v>
      </c>
      <c r="U302" s="9">
        <f>IF(C302&lt;&gt;0,C302-Gear!$C$17,0)</f>
        <v>0</v>
      </c>
    </row>
    <row r="303" spans="20:21" x14ac:dyDescent="0.25">
      <c r="T303" s="51">
        <f>IF(C303&lt;&gt;0,C303-Gear!$C$17,0)</f>
        <v>0</v>
      </c>
      <c r="U303" s="9">
        <f>IF(C303&lt;&gt;0,C303-Gear!$C$17,0)</f>
        <v>0</v>
      </c>
    </row>
    <row r="304" spans="20:21" x14ac:dyDescent="0.25">
      <c r="T304" s="51">
        <f>IF(C304&lt;&gt;0,C304-Gear!$C$17,0)</f>
        <v>0</v>
      </c>
      <c r="U304" s="9">
        <f>IF(C304&lt;&gt;0,C304-Gear!$C$17,0)</f>
        <v>0</v>
      </c>
    </row>
    <row r="305" spans="20:21" x14ac:dyDescent="0.25">
      <c r="T305" s="51">
        <f>IF(C305&lt;&gt;0,C305-Gear!$C$17,0)</f>
        <v>0</v>
      </c>
      <c r="U305" s="9">
        <f>IF(C305&lt;&gt;0,C305-Gear!$C$17,0)</f>
        <v>0</v>
      </c>
    </row>
    <row r="306" spans="20:21" x14ac:dyDescent="0.25">
      <c r="T306" s="51">
        <f>IF(C306&lt;&gt;0,C306-Gear!$C$17,0)</f>
        <v>0</v>
      </c>
      <c r="U306" s="9">
        <f>IF(C306&lt;&gt;0,C306-Gear!$C$17,0)</f>
        <v>0</v>
      </c>
    </row>
    <row r="307" spans="20:21" x14ac:dyDescent="0.25">
      <c r="T307" s="51">
        <f>IF(C307&lt;&gt;0,C307-Gear!$C$17,0)</f>
        <v>0</v>
      </c>
      <c r="U307" s="9">
        <f>IF(C307&lt;&gt;0,C307-Gear!$C$17,0)</f>
        <v>0</v>
      </c>
    </row>
    <row r="308" spans="20:21" x14ac:dyDescent="0.25">
      <c r="T308" s="51">
        <f>IF(C308&lt;&gt;0,C308-Gear!$C$17,0)</f>
        <v>0</v>
      </c>
      <c r="U308" s="9">
        <f>IF(C308&lt;&gt;0,C308-Gear!$C$17,0)</f>
        <v>0</v>
      </c>
    </row>
    <row r="309" spans="20:21" x14ac:dyDescent="0.25">
      <c r="T309" s="51">
        <f>IF(C309&lt;&gt;0,C309-Gear!$C$17,0)</f>
        <v>0</v>
      </c>
      <c r="U309" s="9">
        <f>IF(C309&lt;&gt;0,C309-Gear!$C$17,0)</f>
        <v>0</v>
      </c>
    </row>
    <row r="310" spans="20:21" x14ac:dyDescent="0.25">
      <c r="T310" s="51">
        <f>IF(C310&lt;&gt;0,C310-Gear!$C$17,0)</f>
        <v>0</v>
      </c>
      <c r="U310" s="9">
        <f>IF(C310&lt;&gt;0,C310-Gear!$C$17,0)</f>
        <v>0</v>
      </c>
    </row>
    <row r="311" spans="20:21" x14ac:dyDescent="0.25">
      <c r="T311" s="51">
        <f>IF(C311&lt;&gt;0,C311-Gear!$C$17,0)</f>
        <v>0</v>
      </c>
      <c r="U311" s="9">
        <f>IF(C311&lt;&gt;0,C311-Gear!$C$17,0)</f>
        <v>0</v>
      </c>
    </row>
    <row r="312" spans="20:21" x14ac:dyDescent="0.25">
      <c r="T312" s="51">
        <f>IF(C312&lt;&gt;0,C312-Gear!$C$17,0)</f>
        <v>0</v>
      </c>
      <c r="U312" s="9">
        <f>IF(C312&lt;&gt;0,C312-Gear!$C$17,0)</f>
        <v>0</v>
      </c>
    </row>
    <row r="313" spans="20:21" x14ac:dyDescent="0.25">
      <c r="T313" s="51">
        <f>IF(C313&lt;&gt;0,C313-Gear!$C$17,0)</f>
        <v>0</v>
      </c>
      <c r="U313" s="9">
        <f>IF(C313&lt;&gt;0,C313-Gear!$C$17,0)</f>
        <v>0</v>
      </c>
    </row>
    <row r="314" spans="20:21" x14ac:dyDescent="0.25">
      <c r="T314" s="51">
        <f>IF(C314&lt;&gt;0,C314-Gear!$C$17,0)</f>
        <v>0</v>
      </c>
      <c r="U314" s="9">
        <f>IF(C314&lt;&gt;0,C314-Gear!$C$17,0)</f>
        <v>0</v>
      </c>
    </row>
    <row r="315" spans="20:21" x14ac:dyDescent="0.25">
      <c r="T315" s="51">
        <f>IF(C315&lt;&gt;0,C315-Gear!$C$17,0)</f>
        <v>0</v>
      </c>
      <c r="U315" s="9">
        <f>IF(C315&lt;&gt;0,C315-Gear!$C$17,0)</f>
        <v>0</v>
      </c>
    </row>
    <row r="316" spans="20:21" x14ac:dyDescent="0.25">
      <c r="T316" s="51">
        <f>IF(C316&lt;&gt;0,C316-Gear!$C$17,0)</f>
        <v>0</v>
      </c>
      <c r="U316" s="9">
        <f>IF(C316&lt;&gt;0,C316-Gear!$C$17,0)</f>
        <v>0</v>
      </c>
    </row>
    <row r="317" spans="20:21" x14ac:dyDescent="0.25">
      <c r="T317" s="51">
        <f>IF(C317&lt;&gt;0,C317-Gear!$C$17,0)</f>
        <v>0</v>
      </c>
      <c r="U317" s="9">
        <f>IF(C317&lt;&gt;0,C317-Gear!$C$17,0)</f>
        <v>0</v>
      </c>
    </row>
    <row r="318" spans="20:21" x14ac:dyDescent="0.25">
      <c r="T318" s="51">
        <f>IF(C318&lt;&gt;0,C318-Gear!$C$17,0)</f>
        <v>0</v>
      </c>
      <c r="U318" s="9">
        <f>IF(C318&lt;&gt;0,C318-Gear!$C$17,0)</f>
        <v>0</v>
      </c>
    </row>
    <row r="319" spans="20:21" x14ac:dyDescent="0.25">
      <c r="T319" s="51">
        <f>IF(C319&lt;&gt;0,C319-Gear!$C$17,0)</f>
        <v>0</v>
      </c>
      <c r="U319" s="9">
        <f>IF(C319&lt;&gt;0,C319-Gear!$C$17,0)</f>
        <v>0</v>
      </c>
    </row>
    <row r="320" spans="20:21" x14ac:dyDescent="0.25">
      <c r="T320" s="51">
        <f>IF(C320&lt;&gt;0,C320-Gear!$C$17,0)</f>
        <v>0</v>
      </c>
      <c r="U320" s="9">
        <f>IF(C320&lt;&gt;0,C320-Gear!$C$17,0)</f>
        <v>0</v>
      </c>
    </row>
    <row r="321" spans="20:21" x14ac:dyDescent="0.25">
      <c r="T321" s="51">
        <f>IF(C321&lt;&gt;0,C321-Gear!$C$17,0)</f>
        <v>0</v>
      </c>
      <c r="U321" s="9">
        <f>IF(C321&lt;&gt;0,C321-Gear!$C$17,0)</f>
        <v>0</v>
      </c>
    </row>
    <row r="322" spans="20:21" x14ac:dyDescent="0.25">
      <c r="T322" s="51">
        <f>IF(C322&lt;&gt;0,C322-Gear!$C$17,0)</f>
        <v>0</v>
      </c>
      <c r="U322" s="9">
        <f>IF(C322&lt;&gt;0,C322-Gear!$C$17,0)</f>
        <v>0</v>
      </c>
    </row>
    <row r="323" spans="20:21" x14ac:dyDescent="0.25">
      <c r="T323" s="51">
        <f>IF(C323&lt;&gt;0,C323-Gear!$C$17,0)</f>
        <v>0</v>
      </c>
      <c r="U323" s="9">
        <f>IF(C323&lt;&gt;0,C323-Gear!$C$17,0)</f>
        <v>0</v>
      </c>
    </row>
    <row r="324" spans="20:21" x14ac:dyDescent="0.25">
      <c r="T324" s="51">
        <f>IF(C324&lt;&gt;0,C324-Gear!$C$17,0)</f>
        <v>0</v>
      </c>
      <c r="U324" s="9">
        <f>IF(C324&lt;&gt;0,C324-Gear!$C$17,0)</f>
        <v>0</v>
      </c>
    </row>
    <row r="325" spans="20:21" x14ac:dyDescent="0.25">
      <c r="T325" s="51">
        <f>IF(C325&lt;&gt;0,C325-Gear!$C$17,0)</f>
        <v>0</v>
      </c>
      <c r="U325" s="9">
        <f>IF(C325&lt;&gt;0,C325-Gear!$C$17,0)</f>
        <v>0</v>
      </c>
    </row>
    <row r="326" spans="20:21" x14ac:dyDescent="0.25">
      <c r="T326" s="51">
        <f>IF(C326&lt;&gt;0,C326-Gear!$C$17,0)</f>
        <v>0</v>
      </c>
      <c r="U326" s="9">
        <f>IF(C326&lt;&gt;0,C326-Gear!$C$17,0)</f>
        <v>0</v>
      </c>
    </row>
    <row r="327" spans="20:21" x14ac:dyDescent="0.25">
      <c r="T327" s="51">
        <f>IF(C327&lt;&gt;0,C327-Gear!$C$17,0)</f>
        <v>0</v>
      </c>
      <c r="U327" s="9">
        <f>IF(C327&lt;&gt;0,C327-Gear!$C$17,0)</f>
        <v>0</v>
      </c>
    </row>
    <row r="328" spans="20:21" x14ac:dyDescent="0.25">
      <c r="T328" s="51">
        <f>IF(C328&lt;&gt;0,C328-Gear!$C$17,0)</f>
        <v>0</v>
      </c>
      <c r="U328" s="9">
        <f>IF(C328&lt;&gt;0,C328-Gear!$C$17,0)</f>
        <v>0</v>
      </c>
    </row>
    <row r="329" spans="20:21" x14ac:dyDescent="0.25">
      <c r="T329" s="51">
        <f>IF(C329&lt;&gt;0,C329-Gear!$C$17,0)</f>
        <v>0</v>
      </c>
      <c r="U329" s="9">
        <f>IF(C329&lt;&gt;0,C329-Gear!$C$17,0)</f>
        <v>0</v>
      </c>
    </row>
    <row r="330" spans="20:21" x14ac:dyDescent="0.25">
      <c r="T330" s="51">
        <f>IF(C330&lt;&gt;0,C330-Gear!$C$17,0)</f>
        <v>0</v>
      </c>
      <c r="U330" s="9">
        <f>IF(C330&lt;&gt;0,C330-Gear!$C$17,0)</f>
        <v>0</v>
      </c>
    </row>
    <row r="331" spans="20:21" x14ac:dyDescent="0.25">
      <c r="T331" s="51">
        <f>IF(C331&lt;&gt;0,C331-Gear!$C$17,0)</f>
        <v>0</v>
      </c>
      <c r="U331" s="9">
        <f>IF(C331&lt;&gt;0,C331-Gear!$C$17,0)</f>
        <v>0</v>
      </c>
    </row>
    <row r="332" spans="20:21" x14ac:dyDescent="0.25">
      <c r="T332" s="51">
        <f>IF(C332&lt;&gt;0,C332-Gear!$C$17,0)</f>
        <v>0</v>
      </c>
      <c r="U332" s="9">
        <f>IF(C332&lt;&gt;0,C332-Gear!$C$17,0)</f>
        <v>0</v>
      </c>
    </row>
    <row r="333" spans="20:21" x14ac:dyDescent="0.25">
      <c r="T333" s="51">
        <f>IF(C333&lt;&gt;0,C333-Gear!$C$17,0)</f>
        <v>0</v>
      </c>
      <c r="U333" s="9">
        <f>IF(C333&lt;&gt;0,C333-Gear!$C$17,0)</f>
        <v>0</v>
      </c>
    </row>
    <row r="334" spans="20:21" x14ac:dyDescent="0.25">
      <c r="T334" s="51">
        <f>IF(C334&lt;&gt;0,C334-Gear!$C$17,0)</f>
        <v>0</v>
      </c>
      <c r="U334" s="9">
        <f>IF(C334&lt;&gt;0,C334-Gear!$C$17,0)</f>
        <v>0</v>
      </c>
    </row>
    <row r="335" spans="20:21" x14ac:dyDescent="0.25">
      <c r="T335" s="51">
        <f>IF(C335&lt;&gt;0,C335-Gear!$C$17,0)</f>
        <v>0</v>
      </c>
      <c r="U335" s="9">
        <f>IF(C335&lt;&gt;0,C335-Gear!$C$17,0)</f>
        <v>0</v>
      </c>
    </row>
    <row r="336" spans="20:21" x14ac:dyDescent="0.25">
      <c r="T336" s="51">
        <f>IF(C336&lt;&gt;0,C336-Gear!$C$17,0)</f>
        <v>0</v>
      </c>
      <c r="U336" s="9">
        <f>IF(C336&lt;&gt;0,C336-Gear!$C$17,0)</f>
        <v>0</v>
      </c>
    </row>
    <row r="337" spans="20:21" x14ac:dyDescent="0.25">
      <c r="T337" s="51">
        <f>IF(C337&lt;&gt;0,C337-Gear!$C$17,0)</f>
        <v>0</v>
      </c>
      <c r="U337" s="9">
        <f>IF(C337&lt;&gt;0,C337-Gear!$C$17,0)</f>
        <v>0</v>
      </c>
    </row>
    <row r="338" spans="20:21" x14ac:dyDescent="0.25">
      <c r="T338" s="51">
        <f>IF(C338&lt;&gt;0,C338-Gear!$C$17,0)</f>
        <v>0</v>
      </c>
      <c r="U338" s="9">
        <f>IF(C338&lt;&gt;0,C338-Gear!$C$17,0)</f>
        <v>0</v>
      </c>
    </row>
    <row r="339" spans="20:21" x14ac:dyDescent="0.25">
      <c r="T339" s="51">
        <f>IF(C339&lt;&gt;0,C339-Gear!$C$17,0)</f>
        <v>0</v>
      </c>
      <c r="U339" s="9">
        <f>IF(C339&lt;&gt;0,C339-Gear!$C$17,0)</f>
        <v>0</v>
      </c>
    </row>
    <row r="340" spans="20:21" x14ac:dyDescent="0.25">
      <c r="T340" s="51">
        <f>IF(C340&lt;&gt;0,C340-Gear!$C$17,0)</f>
        <v>0</v>
      </c>
      <c r="U340" s="9">
        <f>IF(C340&lt;&gt;0,C340-Gear!$C$17,0)</f>
        <v>0</v>
      </c>
    </row>
    <row r="341" spans="20:21" x14ac:dyDescent="0.25">
      <c r="T341" s="51">
        <f>IF(C341&lt;&gt;0,C341-Gear!$C$17,0)</f>
        <v>0</v>
      </c>
      <c r="U341" s="9">
        <f>IF(C341&lt;&gt;0,C341-Gear!$C$17,0)</f>
        <v>0</v>
      </c>
    </row>
    <row r="342" spans="20:21" x14ac:dyDescent="0.25">
      <c r="T342" s="51">
        <f>IF(C342&lt;&gt;0,C342-Gear!$C$17,0)</f>
        <v>0</v>
      </c>
      <c r="U342" s="9">
        <f>IF(C342&lt;&gt;0,C342-Gear!$C$17,0)</f>
        <v>0</v>
      </c>
    </row>
    <row r="343" spans="20:21" x14ac:dyDescent="0.25">
      <c r="T343" s="51">
        <f>IF(C343&lt;&gt;0,C343-Gear!$C$17,0)</f>
        <v>0</v>
      </c>
      <c r="U343" s="9">
        <f>IF(C343&lt;&gt;0,C343-Gear!$C$17,0)</f>
        <v>0</v>
      </c>
    </row>
    <row r="344" spans="20:21" x14ac:dyDescent="0.25">
      <c r="T344" s="51">
        <f>IF(C344&lt;&gt;0,C344-Gear!$C$17,0)</f>
        <v>0</v>
      </c>
      <c r="U344" s="9">
        <f>IF(C344&lt;&gt;0,C344-Gear!$C$17,0)</f>
        <v>0</v>
      </c>
    </row>
    <row r="345" spans="20:21" x14ac:dyDescent="0.25">
      <c r="T345" s="51">
        <f>IF(C345&lt;&gt;0,C345-Gear!$C$17,0)</f>
        <v>0</v>
      </c>
      <c r="U345" s="9">
        <f>IF(C345&lt;&gt;0,C345-Gear!$C$17,0)</f>
        <v>0</v>
      </c>
    </row>
    <row r="346" spans="20:21" x14ac:dyDescent="0.25">
      <c r="T346" s="51">
        <f>IF(C346&lt;&gt;0,C346-Gear!$C$17,0)</f>
        <v>0</v>
      </c>
      <c r="U346" s="9">
        <f>IF(C346&lt;&gt;0,C346-Gear!$C$17,0)</f>
        <v>0</v>
      </c>
    </row>
    <row r="347" spans="20:21" x14ac:dyDescent="0.25">
      <c r="T347" s="51">
        <f>IF(C347&lt;&gt;0,C347-Gear!$C$17,0)</f>
        <v>0</v>
      </c>
      <c r="U347" s="9">
        <f>IF(C347&lt;&gt;0,C347-Gear!$C$17,0)</f>
        <v>0</v>
      </c>
    </row>
    <row r="348" spans="20:21" x14ac:dyDescent="0.25">
      <c r="T348" s="51">
        <f>IF(C348&lt;&gt;0,C348-Gear!$C$17,0)</f>
        <v>0</v>
      </c>
      <c r="U348" s="9">
        <f>IF(C348&lt;&gt;0,C348-Gear!$C$17,0)</f>
        <v>0</v>
      </c>
    </row>
    <row r="349" spans="20:21" x14ac:dyDescent="0.25">
      <c r="T349" s="51">
        <f>IF(C349&lt;&gt;0,C349-Gear!$C$17,0)</f>
        <v>0</v>
      </c>
      <c r="U349" s="9">
        <f>IF(C349&lt;&gt;0,C349-Gear!$C$17,0)</f>
        <v>0</v>
      </c>
    </row>
    <row r="350" spans="20:21" x14ac:dyDescent="0.25">
      <c r="T350" s="51">
        <f>IF(C350&lt;&gt;0,C350-Gear!$C$17,0)</f>
        <v>0</v>
      </c>
      <c r="U350" s="9">
        <f>IF(C350&lt;&gt;0,C350-Gear!$C$17,0)</f>
        <v>0</v>
      </c>
    </row>
    <row r="351" spans="20:21" x14ac:dyDescent="0.25">
      <c r="T351" s="51">
        <f>IF(C351&lt;&gt;0,C351-Gear!$C$17,0)</f>
        <v>0</v>
      </c>
      <c r="U351" s="9">
        <f>IF(C351&lt;&gt;0,C351-Gear!$C$17,0)</f>
        <v>0</v>
      </c>
    </row>
    <row r="352" spans="20:21" x14ac:dyDescent="0.25">
      <c r="T352" s="51">
        <f>IF(C352&lt;&gt;0,C352-Gear!$C$17,0)</f>
        <v>0</v>
      </c>
      <c r="U352" s="9">
        <f>IF(C352&lt;&gt;0,C352-Gear!$C$17,0)</f>
        <v>0</v>
      </c>
    </row>
    <row r="353" spans="20:21" x14ac:dyDescent="0.25">
      <c r="T353" s="51">
        <f>IF(C353&lt;&gt;0,C353-Gear!$C$17,0)</f>
        <v>0</v>
      </c>
      <c r="U353" s="9">
        <f>IF(C353&lt;&gt;0,C353-Gear!$C$17,0)</f>
        <v>0</v>
      </c>
    </row>
    <row r="354" spans="20:21" x14ac:dyDescent="0.25">
      <c r="T354" s="51">
        <f>IF(C354&lt;&gt;0,C354-Gear!$C$17,0)</f>
        <v>0</v>
      </c>
      <c r="U354" s="9">
        <f>IF(C354&lt;&gt;0,C354-Gear!$C$17,0)</f>
        <v>0</v>
      </c>
    </row>
    <row r="355" spans="20:21" x14ac:dyDescent="0.25">
      <c r="T355" s="51">
        <f>IF(C355&lt;&gt;0,C355-Gear!$C$17,0)</f>
        <v>0</v>
      </c>
      <c r="U355" s="9">
        <f>IF(C355&lt;&gt;0,C355-Gear!$C$17,0)</f>
        <v>0</v>
      </c>
    </row>
    <row r="356" spans="20:21" x14ac:dyDescent="0.25">
      <c r="T356" s="51">
        <f>IF(C356&lt;&gt;0,C356-Gear!$C$17,0)</f>
        <v>0</v>
      </c>
      <c r="U356" s="9">
        <f>IF(C356&lt;&gt;0,C356-Gear!$C$17,0)</f>
        <v>0</v>
      </c>
    </row>
    <row r="357" spans="20:21" x14ac:dyDescent="0.25">
      <c r="T357" s="51">
        <f>IF(C357&lt;&gt;0,C357-Gear!$C$17,0)</f>
        <v>0</v>
      </c>
      <c r="U357" s="9">
        <f>IF(C357&lt;&gt;0,C357-Gear!$C$17,0)</f>
        <v>0</v>
      </c>
    </row>
    <row r="358" spans="20:21" x14ac:dyDescent="0.25">
      <c r="T358" s="51">
        <f>IF(C358&lt;&gt;0,C358-Gear!$C$17,0)</f>
        <v>0</v>
      </c>
      <c r="U358" s="9">
        <f>IF(C358&lt;&gt;0,C358-Gear!$C$17,0)</f>
        <v>0</v>
      </c>
    </row>
    <row r="359" spans="20:21" x14ac:dyDescent="0.25">
      <c r="T359" s="51">
        <f>IF(C359&lt;&gt;0,C359-Gear!$C$17,0)</f>
        <v>0</v>
      </c>
      <c r="U359" s="9">
        <f>IF(C359&lt;&gt;0,C359-Gear!$C$17,0)</f>
        <v>0</v>
      </c>
    </row>
    <row r="360" spans="20:21" x14ac:dyDescent="0.25">
      <c r="T360" s="51">
        <f>IF(C360&lt;&gt;0,C360-Gear!$C$17,0)</f>
        <v>0</v>
      </c>
      <c r="U360" s="9">
        <f>IF(C360&lt;&gt;0,C360-Gear!$C$17,0)</f>
        <v>0</v>
      </c>
    </row>
    <row r="361" spans="20:21" x14ac:dyDescent="0.25">
      <c r="T361" s="51">
        <f>IF(C361&lt;&gt;0,C361-Gear!$C$17,0)</f>
        <v>0</v>
      </c>
      <c r="U361" s="9">
        <f>IF(C361&lt;&gt;0,C361-Gear!$C$17,0)</f>
        <v>0</v>
      </c>
    </row>
    <row r="362" spans="20:21" x14ac:dyDescent="0.25">
      <c r="T362" s="51">
        <f>IF(C362&lt;&gt;0,C362-Gear!$C$17,0)</f>
        <v>0</v>
      </c>
      <c r="U362" s="9">
        <f>IF(C362&lt;&gt;0,C362-Gear!$C$17,0)</f>
        <v>0</v>
      </c>
    </row>
    <row r="363" spans="20:21" x14ac:dyDescent="0.25">
      <c r="T363" s="51">
        <f>IF(C363&lt;&gt;0,C363-Gear!$C$17,0)</f>
        <v>0</v>
      </c>
      <c r="U363" s="9">
        <f>IF(C363&lt;&gt;0,C363-Gear!$C$17,0)</f>
        <v>0</v>
      </c>
    </row>
    <row r="364" spans="20:21" x14ac:dyDescent="0.25">
      <c r="T364" s="51">
        <f>IF(C364&lt;&gt;0,C364-Gear!$C$17,0)</f>
        <v>0</v>
      </c>
      <c r="U364" s="9">
        <f>IF(C364&lt;&gt;0,C364-Gear!$C$17,0)</f>
        <v>0</v>
      </c>
    </row>
    <row r="365" spans="20:21" x14ac:dyDescent="0.25">
      <c r="T365" s="51">
        <f>IF(C365&lt;&gt;0,C365-Gear!$C$17,0)</f>
        <v>0</v>
      </c>
      <c r="U365" s="9">
        <f>IF(C365&lt;&gt;0,C365-Gear!$C$17,0)</f>
        <v>0</v>
      </c>
    </row>
    <row r="366" spans="20:21" x14ac:dyDescent="0.25">
      <c r="T366" s="51">
        <f>IF(C366&lt;&gt;0,C366-Gear!$C$17,0)</f>
        <v>0</v>
      </c>
      <c r="U366" s="9">
        <f>IF(C366&lt;&gt;0,C366-Gear!$C$17,0)</f>
        <v>0</v>
      </c>
    </row>
    <row r="367" spans="20:21" x14ac:dyDescent="0.25">
      <c r="T367" s="51">
        <f>IF(C367&lt;&gt;0,C367-Gear!$C$17,0)</f>
        <v>0</v>
      </c>
      <c r="U367" s="9">
        <f>IF(C367&lt;&gt;0,C367-Gear!$C$17,0)</f>
        <v>0</v>
      </c>
    </row>
    <row r="368" spans="20:21" x14ac:dyDescent="0.25">
      <c r="T368" s="51">
        <f>IF(C368&lt;&gt;0,C368-Gear!$C$17,0)</f>
        <v>0</v>
      </c>
      <c r="U368" s="9">
        <f>IF(C368&lt;&gt;0,C368-Gear!$C$17,0)</f>
        <v>0</v>
      </c>
    </row>
    <row r="369" spans="20:21" x14ac:dyDescent="0.25">
      <c r="T369" s="51">
        <f>IF(C369&lt;&gt;0,C369-Gear!$C$17,0)</f>
        <v>0</v>
      </c>
      <c r="U369" s="9">
        <f>IF(C369&lt;&gt;0,C369-Gear!$C$17,0)</f>
        <v>0</v>
      </c>
    </row>
    <row r="370" spans="20:21" x14ac:dyDescent="0.25">
      <c r="T370" s="51">
        <f>IF(C370&lt;&gt;0,C370-Gear!$C$17,0)</f>
        <v>0</v>
      </c>
      <c r="U370" s="9">
        <f>IF(C370&lt;&gt;0,C370-Gear!$C$17,0)</f>
        <v>0</v>
      </c>
    </row>
    <row r="371" spans="20:21" x14ac:dyDescent="0.25">
      <c r="T371" s="51">
        <f>IF(C371&lt;&gt;0,C371-Gear!$C$17,0)</f>
        <v>0</v>
      </c>
      <c r="U371" s="9">
        <f>IF(C371&lt;&gt;0,C371-Gear!$C$17,0)</f>
        <v>0</v>
      </c>
    </row>
    <row r="372" spans="20:21" x14ac:dyDescent="0.25">
      <c r="T372" s="51">
        <f>IF(C372&lt;&gt;0,C372-Gear!$C$17,0)</f>
        <v>0</v>
      </c>
      <c r="U372" s="9">
        <f>IF(C372&lt;&gt;0,C372-Gear!$C$17,0)</f>
        <v>0</v>
      </c>
    </row>
    <row r="373" spans="20:21" x14ac:dyDescent="0.25">
      <c r="T373" s="51">
        <f>IF(C373&lt;&gt;0,C373-Gear!$C$17,0)</f>
        <v>0</v>
      </c>
      <c r="U373" s="9">
        <f>IF(C373&lt;&gt;0,C373-Gear!$C$17,0)</f>
        <v>0</v>
      </c>
    </row>
    <row r="374" spans="20:21" x14ac:dyDescent="0.25">
      <c r="T374" s="51">
        <f>IF(C374&lt;&gt;0,C374-Gear!$C$17,0)</f>
        <v>0</v>
      </c>
      <c r="U374" s="9">
        <f>IF(C374&lt;&gt;0,C374-Gear!$C$17,0)</f>
        <v>0</v>
      </c>
    </row>
    <row r="375" spans="20:21" x14ac:dyDescent="0.25">
      <c r="T375" s="51">
        <f>IF(C375&lt;&gt;0,C375-Gear!$C$17,0)</f>
        <v>0</v>
      </c>
      <c r="U375" s="9">
        <f>IF(C375&lt;&gt;0,C375-Gear!$C$17,0)</f>
        <v>0</v>
      </c>
    </row>
    <row r="376" spans="20:21" x14ac:dyDescent="0.25">
      <c r="T376" s="51">
        <f>IF(C376&lt;&gt;0,C376-Gear!$C$17,0)</f>
        <v>0</v>
      </c>
      <c r="U376" s="9">
        <f>IF(C376&lt;&gt;0,C376-Gear!$C$17,0)</f>
        <v>0</v>
      </c>
    </row>
    <row r="377" spans="20:21" x14ac:dyDescent="0.25">
      <c r="T377" s="51">
        <f>IF(C377&lt;&gt;0,C377-Gear!$C$17,0)</f>
        <v>0</v>
      </c>
      <c r="U377" s="9">
        <f>IF(C377&lt;&gt;0,C377-Gear!$C$17,0)</f>
        <v>0</v>
      </c>
    </row>
    <row r="378" spans="20:21" x14ac:dyDescent="0.25">
      <c r="T378" s="51">
        <f>IF(C378&lt;&gt;0,C378-Gear!$C$17,0)</f>
        <v>0</v>
      </c>
      <c r="U378" s="9">
        <f>IF(C378&lt;&gt;0,C378-Gear!$C$17,0)</f>
        <v>0</v>
      </c>
    </row>
    <row r="379" spans="20:21" x14ac:dyDescent="0.25">
      <c r="T379" s="51">
        <f>IF(C379&lt;&gt;0,C379-Gear!$C$17,0)</f>
        <v>0</v>
      </c>
      <c r="U379" s="9">
        <f>IF(C379&lt;&gt;0,C379-Gear!$C$17,0)</f>
        <v>0</v>
      </c>
    </row>
    <row r="380" spans="20:21" x14ac:dyDescent="0.25">
      <c r="T380" s="51">
        <f>IF(C380&lt;&gt;0,C380-Gear!$C$17,0)</f>
        <v>0</v>
      </c>
      <c r="U380" s="9">
        <f>IF(C380&lt;&gt;0,C380-Gear!$C$17,0)</f>
        <v>0</v>
      </c>
    </row>
    <row r="381" spans="20:21" x14ac:dyDescent="0.25">
      <c r="T381" s="51">
        <f>IF(C381&lt;&gt;0,C381-Gear!$C$17,0)</f>
        <v>0</v>
      </c>
      <c r="U381" s="9">
        <f>IF(C381&lt;&gt;0,C381-Gear!$C$17,0)</f>
        <v>0</v>
      </c>
    </row>
    <row r="382" spans="20:21" x14ac:dyDescent="0.25">
      <c r="T382" s="51">
        <f>IF(C382&lt;&gt;0,C382-Gear!$C$17,0)</f>
        <v>0</v>
      </c>
      <c r="U382" s="9">
        <f>IF(C382&lt;&gt;0,C382-Gear!$C$17,0)</f>
        <v>0</v>
      </c>
    </row>
    <row r="383" spans="20:21" x14ac:dyDescent="0.25">
      <c r="T383" s="51">
        <f>IF(C383&lt;&gt;0,C383-Gear!$C$17,0)</f>
        <v>0</v>
      </c>
      <c r="U383" s="9">
        <f>IF(C383&lt;&gt;0,C383-Gear!$C$17,0)</f>
        <v>0</v>
      </c>
    </row>
    <row r="384" spans="20:21" x14ac:dyDescent="0.25">
      <c r="T384" s="51">
        <f>IF(C384&lt;&gt;0,C384-Gear!$C$17,0)</f>
        <v>0</v>
      </c>
      <c r="U384" s="9">
        <f>IF(C384&lt;&gt;0,C384-Gear!$C$17,0)</f>
        <v>0</v>
      </c>
    </row>
    <row r="385" spans="20:21" x14ac:dyDescent="0.25">
      <c r="T385" s="51">
        <f>IF(C385&lt;&gt;0,C385-Gear!$C$17,0)</f>
        <v>0</v>
      </c>
      <c r="U385" s="9">
        <f>IF(C385&lt;&gt;0,C385-Gear!$C$17,0)</f>
        <v>0</v>
      </c>
    </row>
    <row r="386" spans="20:21" x14ac:dyDescent="0.25">
      <c r="T386" s="51">
        <f>IF(C386&lt;&gt;0,C386-Gear!$C$17,0)</f>
        <v>0</v>
      </c>
      <c r="U386" s="9">
        <f>IF(C386&lt;&gt;0,C386-Gear!$C$17,0)</f>
        <v>0</v>
      </c>
    </row>
    <row r="387" spans="20:21" x14ac:dyDescent="0.25">
      <c r="T387" s="51">
        <f>IF(C387&lt;&gt;0,C387-Gear!$C$17,0)</f>
        <v>0</v>
      </c>
      <c r="U387" s="9">
        <f>IF(C387&lt;&gt;0,C387-Gear!$C$17,0)</f>
        <v>0</v>
      </c>
    </row>
    <row r="388" spans="20:21" x14ac:dyDescent="0.25">
      <c r="T388" s="51">
        <f>IF(C388&lt;&gt;0,C388-Gear!$C$17,0)</f>
        <v>0</v>
      </c>
      <c r="U388" s="9">
        <f>IF(C388&lt;&gt;0,C388-Gear!$C$17,0)</f>
        <v>0</v>
      </c>
    </row>
    <row r="389" spans="20:21" x14ac:dyDescent="0.25">
      <c r="T389" s="51">
        <f>IF(C389&lt;&gt;0,C389-Gear!$C$17,0)</f>
        <v>0</v>
      </c>
      <c r="U389" s="9">
        <f>IF(C389&lt;&gt;0,C389-Gear!$C$17,0)</f>
        <v>0</v>
      </c>
    </row>
    <row r="390" spans="20:21" x14ac:dyDescent="0.25">
      <c r="T390" s="51">
        <f>IF(C390&lt;&gt;0,C390-Gear!$C$17,0)</f>
        <v>0</v>
      </c>
      <c r="U390" s="9">
        <f>IF(C390&lt;&gt;0,C390-Gear!$C$17,0)</f>
        <v>0</v>
      </c>
    </row>
    <row r="391" spans="20:21" x14ac:dyDescent="0.25">
      <c r="T391" s="51">
        <f>IF(C391&lt;&gt;0,C391-Gear!$C$17,0)</f>
        <v>0</v>
      </c>
      <c r="U391" s="9">
        <f>IF(C391&lt;&gt;0,C391-Gear!$C$17,0)</f>
        <v>0</v>
      </c>
    </row>
    <row r="392" spans="20:21" x14ac:dyDescent="0.25">
      <c r="T392" s="51">
        <f>IF(C392&lt;&gt;0,C392-Gear!$C$17,0)</f>
        <v>0</v>
      </c>
      <c r="U392" s="9">
        <f>IF(C392&lt;&gt;0,C392-Gear!$C$17,0)</f>
        <v>0</v>
      </c>
    </row>
    <row r="393" spans="20:21" x14ac:dyDescent="0.25">
      <c r="T393" s="51">
        <f>IF(C393&lt;&gt;0,C393-Gear!$C$17,0)</f>
        <v>0</v>
      </c>
      <c r="U393" s="9">
        <f>IF(C393&lt;&gt;0,C393-Gear!$C$17,0)</f>
        <v>0</v>
      </c>
    </row>
    <row r="394" spans="20:21" x14ac:dyDescent="0.25">
      <c r="T394" s="51">
        <f>IF(C394&lt;&gt;0,C394-Gear!$C$17,0)</f>
        <v>0</v>
      </c>
      <c r="U394" s="9">
        <f>IF(C394&lt;&gt;0,C394-Gear!$C$17,0)</f>
        <v>0</v>
      </c>
    </row>
    <row r="395" spans="20:21" x14ac:dyDescent="0.25">
      <c r="T395" s="51">
        <f>IF(C395&lt;&gt;0,C395-Gear!$C$17,0)</f>
        <v>0</v>
      </c>
      <c r="U395" s="9">
        <f>IF(C395&lt;&gt;0,C395-Gear!$C$17,0)</f>
        <v>0</v>
      </c>
    </row>
    <row r="396" spans="20:21" x14ac:dyDescent="0.25">
      <c r="T396" s="51">
        <f>IF(C396&lt;&gt;0,C396-Gear!$C$17,0)</f>
        <v>0</v>
      </c>
      <c r="U396" s="9">
        <f>IF(C396&lt;&gt;0,C396-Gear!$C$17,0)</f>
        <v>0</v>
      </c>
    </row>
    <row r="397" spans="20:21" x14ac:dyDescent="0.25">
      <c r="T397" s="51">
        <f>IF(C397&lt;&gt;0,C397-Gear!$C$17,0)</f>
        <v>0</v>
      </c>
      <c r="U397" s="9">
        <f>IF(C397&lt;&gt;0,C397-Gear!$C$17,0)</f>
        <v>0</v>
      </c>
    </row>
    <row r="398" spans="20:21" x14ac:dyDescent="0.25">
      <c r="T398" s="51">
        <f>IF(C398&lt;&gt;0,C398-Gear!$C$17,0)</f>
        <v>0</v>
      </c>
      <c r="U398" s="9">
        <f>IF(C398&lt;&gt;0,C398-Gear!$C$17,0)</f>
        <v>0</v>
      </c>
    </row>
    <row r="399" spans="20:21" x14ac:dyDescent="0.25">
      <c r="T399" s="51">
        <f>IF(C399&lt;&gt;0,C399-Gear!$C$17,0)</f>
        <v>0</v>
      </c>
      <c r="U399" s="9">
        <f>IF(C399&lt;&gt;0,C399-Gear!$C$17,0)</f>
        <v>0</v>
      </c>
    </row>
    <row r="400" spans="20:21" x14ac:dyDescent="0.25">
      <c r="T400" s="51">
        <f>IF(C400&lt;&gt;0,C400-Gear!$C$17,0)</f>
        <v>0</v>
      </c>
      <c r="U400" s="9">
        <f>IF(C400&lt;&gt;0,C400-Gear!$C$17,0)</f>
        <v>0</v>
      </c>
    </row>
    <row r="401" spans="20:21" x14ac:dyDescent="0.25">
      <c r="T401" s="51">
        <f>IF(C401&lt;&gt;0,C401-Gear!$C$17,0)</f>
        <v>0</v>
      </c>
      <c r="U401" s="9">
        <f>IF(C401&lt;&gt;0,C401-Gear!$C$17,0)</f>
        <v>0</v>
      </c>
    </row>
    <row r="402" spans="20:21" x14ac:dyDescent="0.25">
      <c r="T402" s="51">
        <f>IF(C402&lt;&gt;0,C402-Gear!$C$17,0)</f>
        <v>0</v>
      </c>
      <c r="U402" s="9">
        <f>IF(C402&lt;&gt;0,C402-Gear!$C$17,0)</f>
        <v>0</v>
      </c>
    </row>
    <row r="403" spans="20:21" x14ac:dyDescent="0.25">
      <c r="T403" s="51">
        <f>IF(C403&lt;&gt;0,C403-Gear!$C$17,0)</f>
        <v>0</v>
      </c>
      <c r="U403" s="9">
        <f>IF(C403&lt;&gt;0,C403-Gear!$C$17,0)</f>
        <v>0</v>
      </c>
    </row>
    <row r="404" spans="20:21" x14ac:dyDescent="0.25">
      <c r="T404" s="51">
        <f>IF(C404&lt;&gt;0,C404-Gear!$C$17,0)</f>
        <v>0</v>
      </c>
      <c r="U404" s="9">
        <f>IF(C404&lt;&gt;0,C404-Gear!$C$17,0)</f>
        <v>0</v>
      </c>
    </row>
    <row r="405" spans="20:21" x14ac:dyDescent="0.25">
      <c r="T405" s="51">
        <f>IF(C405&lt;&gt;0,C405-Gear!$C$17,0)</f>
        <v>0</v>
      </c>
      <c r="U405" s="9">
        <f>IF(C405&lt;&gt;0,C405-Gear!$C$17,0)</f>
        <v>0</v>
      </c>
    </row>
    <row r="406" spans="20:21" x14ac:dyDescent="0.25">
      <c r="T406" s="51">
        <f>IF(C406&lt;&gt;0,C406-Gear!$C$17,0)</f>
        <v>0</v>
      </c>
      <c r="U406" s="9">
        <f>IF(C406&lt;&gt;0,C406-Gear!$C$17,0)</f>
        <v>0</v>
      </c>
    </row>
    <row r="407" spans="20:21" x14ac:dyDescent="0.25">
      <c r="T407" s="51">
        <f>IF(C407&lt;&gt;0,C407-Gear!$C$17,0)</f>
        <v>0</v>
      </c>
      <c r="U407" s="9">
        <f>IF(C407&lt;&gt;0,C407-Gear!$C$17,0)</f>
        <v>0</v>
      </c>
    </row>
    <row r="408" spans="20:21" x14ac:dyDescent="0.25">
      <c r="T408" s="51">
        <f>IF(C408&lt;&gt;0,C408-Gear!$C$17,0)</f>
        <v>0</v>
      </c>
      <c r="U408" s="9">
        <f>IF(C408&lt;&gt;0,C408-Gear!$C$17,0)</f>
        <v>0</v>
      </c>
    </row>
    <row r="409" spans="20:21" x14ac:dyDescent="0.25">
      <c r="T409" s="51">
        <f>IF(C409&lt;&gt;0,C409-Gear!$C$17,0)</f>
        <v>0</v>
      </c>
      <c r="U409" s="9">
        <f>IF(C409&lt;&gt;0,C409-Gear!$C$17,0)</f>
        <v>0</v>
      </c>
    </row>
    <row r="410" spans="20:21" x14ac:dyDescent="0.25">
      <c r="T410" s="51">
        <f>IF(C410&lt;&gt;0,C410-Gear!$C$17,0)</f>
        <v>0</v>
      </c>
      <c r="U410" s="9">
        <f>IF(C410&lt;&gt;0,C410-Gear!$C$17,0)</f>
        <v>0</v>
      </c>
    </row>
    <row r="411" spans="20:21" x14ac:dyDescent="0.25">
      <c r="T411" s="51">
        <f>IF(C411&lt;&gt;0,C411-Gear!$C$17,0)</f>
        <v>0</v>
      </c>
      <c r="U411" s="9">
        <f>IF(C411&lt;&gt;0,C411-Gear!$C$17,0)</f>
        <v>0</v>
      </c>
    </row>
    <row r="412" spans="20:21" x14ac:dyDescent="0.25">
      <c r="T412" s="51">
        <f>IF(C412&lt;&gt;0,C412-Gear!$C$17,0)</f>
        <v>0</v>
      </c>
      <c r="U412" s="9">
        <f>IF(C412&lt;&gt;0,C412-Gear!$C$17,0)</f>
        <v>0</v>
      </c>
    </row>
    <row r="413" spans="20:21" x14ac:dyDescent="0.25">
      <c r="T413" s="51">
        <f>IF(C413&lt;&gt;0,C413-Gear!$C$17,0)</f>
        <v>0</v>
      </c>
      <c r="U413" s="9">
        <f>IF(C413&lt;&gt;0,C413-Gear!$C$17,0)</f>
        <v>0</v>
      </c>
    </row>
    <row r="414" spans="20:21" x14ac:dyDescent="0.25">
      <c r="T414" s="51">
        <f>IF(C414&lt;&gt;0,C414-Gear!$C$17,0)</f>
        <v>0</v>
      </c>
      <c r="U414" s="9">
        <f>IF(C414&lt;&gt;0,C414-Gear!$C$17,0)</f>
        <v>0</v>
      </c>
    </row>
    <row r="415" spans="20:21" x14ac:dyDescent="0.25">
      <c r="T415" s="51">
        <f>IF(C415&lt;&gt;0,C415-Gear!$C$17,0)</f>
        <v>0</v>
      </c>
      <c r="U415" s="9">
        <f>IF(C415&lt;&gt;0,C415-Gear!$C$17,0)</f>
        <v>0</v>
      </c>
    </row>
    <row r="416" spans="20:21" x14ac:dyDescent="0.25">
      <c r="T416" s="51">
        <f>IF(C416&lt;&gt;0,C416-Gear!$C$17,0)</f>
        <v>0</v>
      </c>
      <c r="U416" s="9">
        <f>IF(C416&lt;&gt;0,C416-Gear!$C$17,0)</f>
        <v>0</v>
      </c>
    </row>
    <row r="417" spans="20:21" x14ac:dyDescent="0.25">
      <c r="T417" s="51">
        <f>IF(C417&lt;&gt;0,C417-Gear!$C$17,0)</f>
        <v>0</v>
      </c>
      <c r="U417" s="9">
        <f>IF(C417&lt;&gt;0,C417-Gear!$C$17,0)</f>
        <v>0</v>
      </c>
    </row>
    <row r="418" spans="20:21" x14ac:dyDescent="0.25">
      <c r="T418" s="51">
        <f>IF(C418&lt;&gt;0,C418-Gear!$C$17,0)</f>
        <v>0</v>
      </c>
      <c r="U418" s="9">
        <f>IF(C418&lt;&gt;0,C418-Gear!$C$17,0)</f>
        <v>0</v>
      </c>
    </row>
    <row r="419" spans="20:21" x14ac:dyDescent="0.25">
      <c r="T419" s="51">
        <f>IF(C419&lt;&gt;0,C419-Gear!$C$17,0)</f>
        <v>0</v>
      </c>
      <c r="U419" s="9">
        <f>IF(C419&lt;&gt;0,C419-Gear!$C$17,0)</f>
        <v>0</v>
      </c>
    </row>
    <row r="420" spans="20:21" x14ac:dyDescent="0.25">
      <c r="T420" s="51">
        <f>IF(C420&lt;&gt;0,C420-Gear!$C$17,0)</f>
        <v>0</v>
      </c>
      <c r="U420" s="9">
        <f>IF(C420&lt;&gt;0,C420-Gear!$C$17,0)</f>
        <v>0</v>
      </c>
    </row>
    <row r="421" spans="20:21" x14ac:dyDescent="0.25">
      <c r="T421" s="51">
        <f>IF(C421&lt;&gt;0,C421-Gear!$C$17,0)</f>
        <v>0</v>
      </c>
      <c r="U421" s="9">
        <f>IF(C421&lt;&gt;0,C421-Gear!$C$17,0)</f>
        <v>0</v>
      </c>
    </row>
    <row r="422" spans="20:21" x14ac:dyDescent="0.25">
      <c r="T422" s="51">
        <f>IF(C422&lt;&gt;0,C422-Gear!$C$17,0)</f>
        <v>0</v>
      </c>
      <c r="U422" s="9">
        <f>IF(C422&lt;&gt;0,C422-Gear!$C$17,0)</f>
        <v>0</v>
      </c>
    </row>
    <row r="423" spans="20:21" x14ac:dyDescent="0.25">
      <c r="T423" s="51">
        <f>IF(C423&lt;&gt;0,C423-Gear!$C$17,0)</f>
        <v>0</v>
      </c>
      <c r="U423" s="9">
        <f>IF(C423&lt;&gt;0,C423-Gear!$C$17,0)</f>
        <v>0</v>
      </c>
    </row>
    <row r="424" spans="20:21" x14ac:dyDescent="0.25">
      <c r="T424" s="51">
        <f>IF(C424&lt;&gt;0,C424-Gear!$C$17,0)</f>
        <v>0</v>
      </c>
      <c r="U424" s="9">
        <f>IF(C424&lt;&gt;0,C424-Gear!$C$17,0)</f>
        <v>0</v>
      </c>
    </row>
    <row r="425" spans="20:21" x14ac:dyDescent="0.25">
      <c r="T425" s="51">
        <f>IF(C425&lt;&gt;0,C425-Gear!$C$17,0)</f>
        <v>0</v>
      </c>
      <c r="U425" s="9">
        <f>IF(C425&lt;&gt;0,C425-Gear!$C$17,0)</f>
        <v>0</v>
      </c>
    </row>
    <row r="426" spans="20:21" x14ac:dyDescent="0.25">
      <c r="T426" s="51">
        <f>IF(C426&lt;&gt;0,C426-Gear!$C$17,0)</f>
        <v>0</v>
      </c>
      <c r="U426" s="9">
        <f>IF(C426&lt;&gt;0,C426-Gear!$C$17,0)</f>
        <v>0</v>
      </c>
    </row>
    <row r="427" spans="20:21" x14ac:dyDescent="0.25">
      <c r="T427" s="51">
        <f>IF(C427&lt;&gt;0,C427-Gear!$C$17,0)</f>
        <v>0</v>
      </c>
      <c r="U427" s="9">
        <f>IF(C427&lt;&gt;0,C427-Gear!$C$17,0)</f>
        <v>0</v>
      </c>
    </row>
    <row r="428" spans="20:21" x14ac:dyDescent="0.25">
      <c r="T428" s="51">
        <f>IF(C428&lt;&gt;0,C428-Gear!$C$17,0)</f>
        <v>0</v>
      </c>
      <c r="U428" s="9">
        <f>IF(C428&lt;&gt;0,C428-Gear!$C$17,0)</f>
        <v>0</v>
      </c>
    </row>
    <row r="429" spans="20:21" x14ac:dyDescent="0.25">
      <c r="T429" s="51">
        <f>IF(C429&lt;&gt;0,C429-Gear!$C$17,0)</f>
        <v>0</v>
      </c>
      <c r="U429" s="9">
        <f>IF(C429&lt;&gt;0,C429-Gear!$C$17,0)</f>
        <v>0</v>
      </c>
    </row>
    <row r="430" spans="20:21" x14ac:dyDescent="0.25">
      <c r="T430" s="51">
        <f>IF(C430&lt;&gt;0,C430-Gear!$C$17,0)</f>
        <v>0</v>
      </c>
      <c r="U430" s="9">
        <f>IF(C430&lt;&gt;0,C430-Gear!$C$17,0)</f>
        <v>0</v>
      </c>
    </row>
    <row r="431" spans="20:21" x14ac:dyDescent="0.25">
      <c r="T431" s="51">
        <f>IF(C431&lt;&gt;0,C431-Gear!$C$17,0)</f>
        <v>0</v>
      </c>
      <c r="U431" s="9">
        <f>IF(C431&lt;&gt;0,C431-Gear!$C$17,0)</f>
        <v>0</v>
      </c>
    </row>
    <row r="432" spans="20:21" x14ac:dyDescent="0.25">
      <c r="T432" s="51">
        <f>IF(C432&lt;&gt;0,C432-Gear!$C$17,0)</f>
        <v>0</v>
      </c>
      <c r="U432" s="9">
        <f>IF(C432&lt;&gt;0,C432-Gear!$C$17,0)</f>
        <v>0</v>
      </c>
    </row>
    <row r="433" spans="20:21" x14ac:dyDescent="0.25">
      <c r="T433" s="51">
        <f>IF(C433&lt;&gt;0,C433-Gear!$C$17,0)</f>
        <v>0</v>
      </c>
      <c r="U433" s="9">
        <f>IF(C433&lt;&gt;0,C433-Gear!$C$17,0)</f>
        <v>0</v>
      </c>
    </row>
    <row r="434" spans="20:21" x14ac:dyDescent="0.25">
      <c r="T434" s="51">
        <f>IF(C434&lt;&gt;0,C434-Gear!$C$17,0)</f>
        <v>0</v>
      </c>
      <c r="U434" s="9">
        <f>IF(C434&lt;&gt;0,C434-Gear!$C$17,0)</f>
        <v>0</v>
      </c>
    </row>
    <row r="435" spans="20:21" x14ac:dyDescent="0.25">
      <c r="T435" s="51">
        <f>IF(C435&lt;&gt;0,C435-Gear!$C$17,0)</f>
        <v>0</v>
      </c>
      <c r="U435" s="9">
        <f>IF(C435&lt;&gt;0,C435-Gear!$C$17,0)</f>
        <v>0</v>
      </c>
    </row>
    <row r="436" spans="20:21" x14ac:dyDescent="0.25">
      <c r="T436" s="51">
        <f>IF(C436&lt;&gt;0,C436-Gear!$C$17,0)</f>
        <v>0</v>
      </c>
      <c r="U436" s="9">
        <f>IF(C436&lt;&gt;0,C436-Gear!$C$17,0)</f>
        <v>0</v>
      </c>
    </row>
    <row r="437" spans="20:21" x14ac:dyDescent="0.25">
      <c r="T437" s="51">
        <f>IF(C437&lt;&gt;0,C437-Gear!$C$17,0)</f>
        <v>0</v>
      </c>
      <c r="U437" s="9">
        <f>IF(C437&lt;&gt;0,C437-Gear!$C$17,0)</f>
        <v>0</v>
      </c>
    </row>
    <row r="438" spans="20:21" x14ac:dyDescent="0.25">
      <c r="T438" s="51">
        <f>IF(C438&lt;&gt;0,C438-Gear!$C$17,0)</f>
        <v>0</v>
      </c>
      <c r="U438" s="9">
        <f>IF(C438&lt;&gt;0,C438-Gear!$C$17,0)</f>
        <v>0</v>
      </c>
    </row>
    <row r="439" spans="20:21" x14ac:dyDescent="0.25">
      <c r="T439" s="51">
        <f>IF(C439&lt;&gt;0,C439-Gear!$C$17,0)</f>
        <v>0</v>
      </c>
      <c r="U439" s="9">
        <f>IF(C439&lt;&gt;0,C439-Gear!$C$17,0)</f>
        <v>0</v>
      </c>
    </row>
    <row r="440" spans="20:21" x14ac:dyDescent="0.25">
      <c r="T440" s="51">
        <f>IF(C440&lt;&gt;0,C440-Gear!$C$17,0)</f>
        <v>0</v>
      </c>
      <c r="U440" s="9">
        <f>IF(C440&lt;&gt;0,C440-Gear!$C$17,0)</f>
        <v>0</v>
      </c>
    </row>
    <row r="441" spans="20:21" x14ac:dyDescent="0.25">
      <c r="T441" s="51">
        <f>IF(C441&lt;&gt;0,C441-Gear!$C$17,0)</f>
        <v>0</v>
      </c>
      <c r="U441" s="9">
        <f>IF(C441&lt;&gt;0,C441-Gear!$C$17,0)</f>
        <v>0</v>
      </c>
    </row>
    <row r="442" spans="20:21" x14ac:dyDescent="0.25">
      <c r="T442" s="51">
        <f>IF(C442&lt;&gt;0,C442-Gear!$C$17,0)</f>
        <v>0</v>
      </c>
      <c r="U442" s="9">
        <f>IF(C442&lt;&gt;0,C442-Gear!$C$17,0)</f>
        <v>0</v>
      </c>
    </row>
    <row r="443" spans="20:21" x14ac:dyDescent="0.25">
      <c r="T443" s="51">
        <f>IF(C443&lt;&gt;0,C443-Gear!$C$17,0)</f>
        <v>0</v>
      </c>
      <c r="U443" s="9">
        <f>IF(C443&lt;&gt;0,C443-Gear!$C$17,0)</f>
        <v>0</v>
      </c>
    </row>
  </sheetData>
  <conditionalFormatting sqref="U2:U443">
    <cfRule type="cellIs" dxfId="0" priority="2" operator="greaterThan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Description</vt:lpstr>
      <vt:lpstr>Frost Calculation</vt:lpstr>
      <vt:lpstr>Enchants</vt:lpstr>
      <vt:lpstr>Races</vt:lpstr>
      <vt:lpstr>Gear</vt:lpstr>
      <vt:lpstr>Item Database</vt:lpstr>
      <vt:lpstr>Head</vt:lpstr>
      <vt:lpstr>Neck</vt:lpstr>
      <vt:lpstr>Shoulder</vt:lpstr>
      <vt:lpstr>Back</vt:lpstr>
      <vt:lpstr>Chest</vt:lpstr>
      <vt:lpstr>Wrist</vt:lpstr>
      <vt:lpstr>Hands</vt:lpstr>
      <vt:lpstr>Waist</vt:lpstr>
      <vt:lpstr>Legs</vt:lpstr>
      <vt:lpstr>Feet</vt:lpstr>
      <vt:lpstr>Ring</vt:lpstr>
      <vt:lpstr>Trinket</vt:lpstr>
      <vt:lpstr>Weapon</vt:lpstr>
      <vt:lpstr>Wand</vt:lpstr>
      <vt:lpstr>Offhand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Paavo</dc:creator>
  <cp:lastModifiedBy>Paavo</cp:lastModifiedBy>
  <dcterms:created xsi:type="dcterms:W3CDTF">2019-10-27T19:21:43Z</dcterms:created>
  <dcterms:modified xsi:type="dcterms:W3CDTF">2020-03-07T00:59:24Z</dcterms:modified>
</cp:coreProperties>
</file>